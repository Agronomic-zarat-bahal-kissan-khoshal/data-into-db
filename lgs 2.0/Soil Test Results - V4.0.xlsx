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codeName="ThisWorkbook"/>
  <mc:AlternateContent xmlns:mc="http://schemas.openxmlformats.org/markup-compatibility/2006">
    <mc:Choice Requires="x15">
      <x15ac:absPath xmlns:x15ac="http://schemas.microsoft.com/office/spreadsheetml/2010/11/ac" url="D:\Agronomics\Crop Suitability\Crop Growth Model\"/>
    </mc:Choice>
  </mc:AlternateContent>
  <xr:revisionPtr revIDLastSave="0" documentId="13_ncr:1_{BB6F0708-57D9-401A-A430-2EBDC688DAD5}" xr6:coauthVersionLast="47" xr6:coauthVersionMax="47" xr10:uidLastSave="{00000000-0000-0000-0000-000000000000}"/>
  <bookViews>
    <workbookView xWindow="28680" yWindow="-120" windowWidth="29040" windowHeight="17520" tabRatio="910" activeTab="2" xr2:uid="{00000000-000D-0000-FFFF-FFFF00000000}"/>
  </bookViews>
  <sheets>
    <sheet name="Soil" sheetId="12" r:id="rId1"/>
    <sheet name="C_N Ratio" sheetId="13" r:id="rId2"/>
    <sheet name="Soil_Samples" sheetId="18" r:id="rId3"/>
  </sheets>
  <definedNames>
    <definedName name="_xlnm._FilterDatabase" localSheetId="0" hidden="1">Soil!$V$67:$AD$130</definedName>
    <definedName name="_xlnm._FilterDatabase" localSheetId="2" hidden="1">Soil_Samples!$A$1:$S$68</definedName>
    <definedName name="_xlnm.Criteria" localSheetId="0">Soil!$X$67</definedName>
    <definedName name="_xlnm.Criteria" localSheetId="2">Soil_Samples!$D$1</definedName>
    <definedName name="_xlnm.Extract" localSheetId="0">Soil!$AG$38</definedName>
    <definedName name="_xlnm.Extract" localSheetId="2">Soil_Samples!$V$1</definedName>
    <definedName name="K_Deficiency">Soil!$C$96</definedName>
    <definedName name="K_Shortfall">Soil!$D$96</definedName>
    <definedName name="N_Deficiency">Soil!$C$94</definedName>
    <definedName name="N_Shortfall">Soil!$D$94</definedName>
    <definedName name="OM_Deficiency">Soil!$C$93</definedName>
    <definedName name="OM_Shortfall">Soil!$D$93</definedName>
    <definedName name="P_Deficiency">Soil!$C$95</definedName>
    <definedName name="P_Shortfall">Soil!$D$95</definedName>
    <definedName name="pH">Soil!$C$81</definedName>
    <definedName name="solver_adj" localSheetId="0" hidden="1">Soil!$O$56:$P$56</definedName>
    <definedName name="solver_cvg" localSheetId="0" hidden="1">0.0001</definedName>
    <definedName name="solver_drv" localSheetId="0" hidden="1">2</definedName>
    <definedName name="solver_eng" localSheetId="0" hidden="1">1</definedName>
    <definedName name="solver_est" localSheetId="0" hidden="1">1</definedName>
    <definedName name="solver_itr" localSheetId="0" hidden="1">2147483647</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0</definedName>
    <definedName name="solver_nwt" localSheetId="0" hidden="1">1</definedName>
    <definedName name="solver_opt" localSheetId="0" hidden="1">Soil!$AA$62</definedName>
    <definedName name="solver_pre" localSheetId="0" hidden="1">0.000001</definedName>
    <definedName name="solver_rbv" localSheetId="0" hidden="1">2</definedName>
    <definedName name="solver_rlx" localSheetId="0" hidden="1">2</definedName>
    <definedName name="solver_rsd" localSheetId="0" hidden="1">0</definedName>
    <definedName name="solver_scl" localSheetId="0" hidden="1">2</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3</definedName>
    <definedName name="solver_val" localSheetId="0" hidden="1">0</definedName>
    <definedName name="solver_ver" localSheetId="0" hidden="1">3</definedName>
    <definedName name="TextureIndex">'C_N Ratio'!$A$1:$D$13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13" i="18" l="1" a="1"/>
  <c r="AF13" i="18" s="1"/>
  <c r="AF12" i="18" a="1"/>
  <c r="AF12" i="18" s="1"/>
  <c r="AF11" i="18" a="1"/>
  <c r="AF11" i="18" s="1"/>
  <c r="AF10" i="18" a="1"/>
  <c r="AF10" i="18" s="1"/>
  <c r="AF9" i="18" a="1"/>
  <c r="AF9" i="18" s="1"/>
  <c r="AF8" i="18" a="1"/>
  <c r="AF8" i="18" s="1"/>
  <c r="AF7" i="18" a="1"/>
  <c r="AF7" i="18" s="1"/>
  <c r="AF6" i="18" a="1"/>
  <c r="AF6" i="18" s="1"/>
  <c r="AF5" i="18" a="1"/>
  <c r="AF5" i="18" s="1"/>
  <c r="AF4" i="18" a="1"/>
  <c r="AF4" i="18" s="1"/>
  <c r="AF3" i="18" a="1"/>
  <c r="AF3" i="18" s="1"/>
  <c r="AF2" i="18" a="1"/>
  <c r="AF2" i="18" s="1"/>
  <c r="P2" i="18" a="1"/>
  <c r="P2" i="18" s="1"/>
  <c r="P3" i="18" a="1"/>
  <c r="P3" i="18" s="1"/>
  <c r="P4" i="18" a="1"/>
  <c r="P4" i="18" s="1"/>
  <c r="P5" i="18" a="1"/>
  <c r="P5" i="18" s="1"/>
  <c r="P6" i="18" a="1"/>
  <c r="P6" i="18" s="1"/>
  <c r="P7" i="18" a="1"/>
  <c r="P7" i="18"/>
  <c r="P8" i="18" a="1"/>
  <c r="P8" i="18" s="1"/>
  <c r="P9" i="18" a="1"/>
  <c r="P9" i="18" s="1"/>
  <c r="P10" i="18" a="1"/>
  <c r="P10" i="18" s="1"/>
  <c r="P11" i="18" a="1"/>
  <c r="P11" i="18" s="1"/>
  <c r="P12" i="18" a="1"/>
  <c r="P12" i="18" s="1"/>
  <c r="P13" i="18" a="1"/>
  <c r="P13" i="18"/>
  <c r="P14" i="18" a="1"/>
  <c r="P14" i="18" s="1"/>
  <c r="P15" i="18" a="1"/>
  <c r="P15" i="18" s="1"/>
  <c r="P16" i="18" a="1"/>
  <c r="P16" i="18" s="1"/>
  <c r="P17" i="18" a="1"/>
  <c r="P17" i="18" s="1"/>
  <c r="P18" i="18" a="1"/>
  <c r="P18" i="18" s="1"/>
  <c r="P19" i="18" a="1"/>
  <c r="P19" i="18" s="1"/>
  <c r="P20" i="18" a="1"/>
  <c r="P20" i="18" s="1"/>
  <c r="P21" i="18" a="1"/>
  <c r="P21" i="18" s="1"/>
  <c r="P22" i="18" a="1"/>
  <c r="P22" i="18" s="1"/>
  <c r="P23" i="18" a="1"/>
  <c r="P23" i="18" s="1"/>
  <c r="P24" i="18" a="1"/>
  <c r="P24" i="18" s="1"/>
  <c r="P25" i="18" a="1"/>
  <c r="P25" i="18"/>
  <c r="P26" i="18" a="1"/>
  <c r="P26" i="18" s="1"/>
  <c r="P27" i="18" a="1"/>
  <c r="P27" i="18" s="1"/>
  <c r="P28" i="18" a="1"/>
  <c r="P28" i="18" s="1"/>
  <c r="P29" i="18" a="1"/>
  <c r="P29" i="18" s="1"/>
  <c r="P30" i="18" a="1"/>
  <c r="P30" i="18" s="1"/>
  <c r="P31" i="18" a="1"/>
  <c r="P31" i="18" s="1"/>
  <c r="P32" i="18" a="1"/>
  <c r="P32" i="18" s="1"/>
  <c r="P33" i="18" a="1"/>
  <c r="P33" i="18" s="1"/>
  <c r="P34" i="18" a="1"/>
  <c r="P34" i="18" s="1"/>
  <c r="P35" i="18" a="1"/>
  <c r="P35" i="18" s="1"/>
  <c r="P36" i="18" a="1"/>
  <c r="P36" i="18" s="1"/>
  <c r="P37" i="18" a="1"/>
  <c r="P37" i="18"/>
  <c r="P38" i="18" a="1"/>
  <c r="P38" i="18" s="1"/>
  <c r="P39" i="18" a="1"/>
  <c r="P39" i="18" s="1"/>
  <c r="P40" i="18" a="1"/>
  <c r="P40" i="18" s="1"/>
  <c r="P41" i="18" a="1"/>
  <c r="P41" i="18" s="1"/>
  <c r="P42" i="18" a="1"/>
  <c r="P42" i="18" s="1"/>
  <c r="P43" i="18" a="1"/>
  <c r="P43" i="18"/>
  <c r="P44" i="18" a="1"/>
  <c r="P44" i="18" s="1"/>
  <c r="P45" i="18" a="1"/>
  <c r="P45" i="18" s="1"/>
  <c r="P46" i="18" a="1"/>
  <c r="P46" i="18" s="1"/>
  <c r="P47" i="18" a="1"/>
  <c r="P47" i="18" s="1"/>
  <c r="P48" i="18" a="1"/>
  <c r="P48" i="18" s="1"/>
  <c r="P49" i="18" a="1"/>
  <c r="P49" i="18"/>
  <c r="P50" i="18" a="1"/>
  <c r="P50" i="18" s="1"/>
  <c r="P51" i="18" a="1"/>
  <c r="P51" i="18" s="1"/>
  <c r="P52" i="18" a="1"/>
  <c r="P52" i="18" s="1"/>
  <c r="P53" i="18" a="1"/>
  <c r="P53" i="18" s="1"/>
  <c r="P54" i="18" a="1"/>
  <c r="P54" i="18" s="1"/>
  <c r="P55" i="18" a="1"/>
  <c r="P55" i="18" s="1"/>
  <c r="P56" i="18" a="1"/>
  <c r="P56" i="18" s="1"/>
  <c r="P57" i="18" a="1"/>
  <c r="P57" i="18" s="1"/>
  <c r="P58" i="18" a="1"/>
  <c r="P58" i="18" s="1"/>
  <c r="P59" i="18" a="1"/>
  <c r="P59" i="18" s="1"/>
  <c r="P60" i="18" a="1"/>
  <c r="P60" i="18" s="1"/>
  <c r="P61" i="18" a="1"/>
  <c r="P61" i="18" s="1"/>
  <c r="P62" i="18" a="1"/>
  <c r="P62" i="18" s="1"/>
  <c r="P63" i="18" a="1"/>
  <c r="P63" i="18" s="1"/>
  <c r="P64" i="18" a="1"/>
  <c r="P64" i="18" s="1"/>
  <c r="P65" i="18" a="1"/>
  <c r="P65" i="18" s="1"/>
  <c r="P66" i="18" a="1"/>
  <c r="P66" i="18" s="1"/>
  <c r="P67" i="18" a="1"/>
  <c r="P67" i="18" s="1"/>
  <c r="P68" i="18" a="1"/>
  <c r="P68" i="18" s="1"/>
  <c r="AE13" i="18" a="1"/>
  <c r="AE13" i="18" s="1"/>
  <c r="AD13" i="18" a="1"/>
  <c r="AD13" i="18" s="1"/>
  <c r="AC13" i="18" a="1"/>
  <c r="AC13" i="18" s="1"/>
  <c r="AB13" i="18"/>
  <c r="AA13" i="18"/>
  <c r="Z13" i="18"/>
  <c r="Y13" i="18"/>
  <c r="X13" i="18"/>
  <c r="W13" i="18"/>
  <c r="D32" i="18"/>
  <c r="E32" i="18" a="1"/>
  <c r="E32" i="18" s="1"/>
  <c r="F32" i="18" a="1"/>
  <c r="F32" i="18" s="1"/>
  <c r="G32" i="18" a="1"/>
  <c r="G32" i="18" s="1"/>
  <c r="H32" i="18" a="1"/>
  <c r="H32" i="18" s="1"/>
  <c r="I32" i="18" a="1"/>
  <c r="I32" i="18" s="1"/>
  <c r="J32" i="18" a="1"/>
  <c r="J32" i="18" s="1"/>
  <c r="K32" i="18" a="1"/>
  <c r="K32" i="18" s="1"/>
  <c r="L32" i="18" a="1"/>
  <c r="L32" i="18" s="1"/>
  <c r="M32" i="18" a="1"/>
  <c r="M32" i="18" s="1"/>
  <c r="N32" i="18" a="1"/>
  <c r="N32" i="18" s="1"/>
  <c r="O32" i="18" a="1"/>
  <c r="O32" i="18" s="1"/>
  <c r="D33" i="18"/>
  <c r="E33" i="18" a="1"/>
  <c r="E33" i="18" s="1"/>
  <c r="F33" i="18" a="1"/>
  <c r="F33" i="18" s="1"/>
  <c r="G33" i="18" a="1"/>
  <c r="G33" i="18" s="1"/>
  <c r="H33" i="18" a="1"/>
  <c r="H33" i="18"/>
  <c r="I33" i="18" a="1"/>
  <c r="I33" i="18" s="1"/>
  <c r="J33" i="18" a="1"/>
  <c r="J33" i="18" s="1"/>
  <c r="K33" i="18" a="1"/>
  <c r="K33" i="18" s="1"/>
  <c r="L33" i="18" a="1"/>
  <c r="L33" i="18" s="1"/>
  <c r="M33" i="18" a="1"/>
  <c r="M33" i="18" s="1"/>
  <c r="N33" i="18" a="1"/>
  <c r="N33" i="18" s="1"/>
  <c r="O33" i="18" a="1"/>
  <c r="O33" i="18" s="1"/>
  <c r="D34" i="18"/>
  <c r="E34" i="18" a="1"/>
  <c r="E34" i="18" s="1"/>
  <c r="F34" i="18" a="1"/>
  <c r="F34" i="18" s="1"/>
  <c r="G34" i="18" a="1"/>
  <c r="G34" i="18" s="1"/>
  <c r="H34" i="18" a="1"/>
  <c r="H34" i="18" s="1"/>
  <c r="I34" i="18" a="1"/>
  <c r="I34" i="18" s="1"/>
  <c r="J34" i="18" a="1"/>
  <c r="J34" i="18" s="1"/>
  <c r="K34" i="18" a="1"/>
  <c r="K34" i="18" s="1"/>
  <c r="L34" i="18" a="1"/>
  <c r="L34" i="18" s="1"/>
  <c r="M34" i="18" a="1"/>
  <c r="M34" i="18" s="1"/>
  <c r="N34" i="18" a="1"/>
  <c r="N34" i="18" s="1"/>
  <c r="O34" i="18" a="1"/>
  <c r="O34" i="18" s="1"/>
  <c r="D35" i="18"/>
  <c r="E35" i="18" a="1"/>
  <c r="E35" i="18" s="1"/>
  <c r="F35" i="18" a="1"/>
  <c r="F35" i="18" s="1"/>
  <c r="G35" i="18" a="1"/>
  <c r="G35" i="18" s="1"/>
  <c r="H35" i="18" a="1"/>
  <c r="H35" i="18" s="1"/>
  <c r="I35" i="18" a="1"/>
  <c r="I35" i="18" s="1"/>
  <c r="J35" i="18" a="1"/>
  <c r="J35" i="18" s="1"/>
  <c r="K35" i="18" a="1"/>
  <c r="K35" i="18" s="1"/>
  <c r="L35" i="18" a="1"/>
  <c r="L35" i="18" s="1"/>
  <c r="M35" i="18" a="1"/>
  <c r="M35" i="18" s="1"/>
  <c r="N35" i="18" a="1"/>
  <c r="N35" i="18" s="1"/>
  <c r="O35" i="18" a="1"/>
  <c r="O35" i="18" s="1"/>
  <c r="Y39" i="12"/>
  <c r="Y40" i="12"/>
  <c r="Y41" i="12"/>
  <c r="Y42" i="12"/>
  <c r="Y43" i="12"/>
  <c r="Y44" i="12"/>
  <c r="Y45" i="12"/>
  <c r="Y46" i="12"/>
  <c r="Y47" i="12"/>
  <c r="Y48" i="12"/>
  <c r="Y49" i="12"/>
  <c r="Y50" i="12"/>
  <c r="W39" i="12"/>
  <c r="W40" i="12"/>
  <c r="W41" i="12"/>
  <c r="W42" i="12"/>
  <c r="W43" i="12"/>
  <c r="W44" i="12"/>
  <c r="W45" i="12"/>
  <c r="W46" i="12"/>
  <c r="W47" i="12"/>
  <c r="W48" i="12"/>
  <c r="W49" i="12"/>
  <c r="W50" i="12"/>
  <c r="U39" i="12"/>
  <c r="U40" i="12"/>
  <c r="U41" i="12"/>
  <c r="U42" i="12"/>
  <c r="U43" i="12"/>
  <c r="U44" i="12"/>
  <c r="U45" i="12"/>
  <c r="U46" i="12"/>
  <c r="U47" i="12"/>
  <c r="U48" i="12"/>
  <c r="U49" i="12"/>
  <c r="U50" i="12"/>
  <c r="Q844" i="12" a="1"/>
  <c r="Q844" i="12" s="1"/>
  <c r="Q843" i="12" a="1"/>
  <c r="Q843" i="12" s="1"/>
  <c r="Q842" i="12" a="1"/>
  <c r="Q842" i="12" s="1"/>
  <c r="Q841" i="12" a="1"/>
  <c r="Q841" i="12" s="1"/>
  <c r="Q840" i="12" a="1"/>
  <c r="Q840" i="12" s="1"/>
  <c r="Q839" i="12" a="1"/>
  <c r="Q839" i="12" s="1"/>
  <c r="Q838" i="12" a="1"/>
  <c r="Q838" i="12" s="1"/>
  <c r="Q837" i="12" a="1"/>
  <c r="Q837" i="12" s="1"/>
  <c r="Q836" i="12" a="1"/>
  <c r="Q836" i="12" s="1"/>
  <c r="Q835" i="12" a="1"/>
  <c r="Q835" i="12" s="1"/>
  <c r="Q834" i="12" a="1"/>
  <c r="Q834" i="12" s="1"/>
  <c r="Q832" i="12" a="1"/>
  <c r="Q832" i="12" s="1"/>
  <c r="Q831" i="12" a="1"/>
  <c r="Q831" i="12" s="1"/>
  <c r="Q830" i="12" a="1"/>
  <c r="Q830" i="12" s="1"/>
  <c r="Q829" i="12" a="1"/>
  <c r="Q829" i="12" s="1"/>
  <c r="Q828" i="12" a="1"/>
  <c r="Q828" i="12" s="1"/>
  <c r="Q827" i="12" a="1"/>
  <c r="Q827" i="12" s="1"/>
  <c r="Q826" i="12" a="1"/>
  <c r="Q826" i="12" s="1"/>
  <c r="Q825" i="12" a="1"/>
  <c r="Q825" i="12" s="1"/>
  <c r="Q824" i="12" a="1"/>
  <c r="Q824" i="12" s="1"/>
  <c r="Q823" i="12" a="1"/>
  <c r="Q823" i="12" s="1"/>
  <c r="Q822" i="12" a="1"/>
  <c r="Q822" i="12" s="1"/>
  <c r="Q820" i="12" a="1"/>
  <c r="Q820" i="12" s="1"/>
  <c r="Q819" i="12" a="1"/>
  <c r="Q819" i="12" s="1"/>
  <c r="Q818" i="12" a="1"/>
  <c r="Q818" i="12" s="1"/>
  <c r="Q817" i="12" a="1"/>
  <c r="Q817" i="12" s="1"/>
  <c r="Q816" i="12" a="1"/>
  <c r="Q816" i="12" s="1"/>
  <c r="Q815" i="12" a="1"/>
  <c r="Q815" i="12" s="1"/>
  <c r="Q814" i="12" a="1"/>
  <c r="Q814" i="12" s="1"/>
  <c r="Q813" i="12" a="1"/>
  <c r="Q813" i="12" s="1"/>
  <c r="Q812" i="12" a="1"/>
  <c r="Q812" i="12" s="1"/>
  <c r="Q811" i="12" a="1"/>
  <c r="Q811" i="12" s="1"/>
  <c r="Q810" i="12" a="1"/>
  <c r="Q810" i="12" s="1"/>
  <c r="Q784" i="12" a="1"/>
  <c r="Q784" i="12" s="1"/>
  <c r="Q783" i="12" a="1"/>
  <c r="Q783" i="12" s="1"/>
  <c r="Q782" i="12" a="1"/>
  <c r="Q782" i="12" s="1"/>
  <c r="Q781" i="12" a="1"/>
  <c r="Q781" i="12" s="1"/>
  <c r="Q780" i="12" a="1"/>
  <c r="Q780" i="12" s="1"/>
  <c r="Q779" i="12" a="1"/>
  <c r="Q779" i="12" s="1"/>
  <c r="Q778" i="12" a="1"/>
  <c r="Q778" i="12" s="1"/>
  <c r="Q777" i="12" a="1"/>
  <c r="Q777" i="12" s="1"/>
  <c r="Q776" i="12" a="1"/>
  <c r="Q776" i="12" s="1"/>
  <c r="Q775" i="12" a="1"/>
  <c r="Q775" i="12" s="1"/>
  <c r="Q774" i="12" a="1"/>
  <c r="Q774" i="12" s="1"/>
  <c r="Q724" i="12" a="1"/>
  <c r="Q724" i="12" s="1"/>
  <c r="Q723" i="12" a="1"/>
  <c r="Q723" i="12" s="1"/>
  <c r="Q722" i="12" a="1"/>
  <c r="Q722" i="12" s="1"/>
  <c r="Q721" i="12" a="1"/>
  <c r="Q721" i="12" s="1"/>
  <c r="Q720" i="12" a="1"/>
  <c r="Q720" i="12" s="1"/>
  <c r="Q719" i="12" a="1"/>
  <c r="Q719" i="12" s="1"/>
  <c r="Q718" i="12" a="1"/>
  <c r="Q718" i="12" s="1"/>
  <c r="Q717" i="12" a="1"/>
  <c r="Q717" i="12" s="1"/>
  <c r="Q716" i="12" a="1"/>
  <c r="Q716" i="12" s="1"/>
  <c r="Q715" i="12" a="1"/>
  <c r="Q715" i="12" s="1"/>
  <c r="Q714" i="12" a="1"/>
  <c r="Q714" i="12" s="1"/>
  <c r="Q676" i="12" a="1"/>
  <c r="Q676" i="12" s="1"/>
  <c r="Q675" i="12" a="1"/>
  <c r="Q675" i="12" s="1"/>
  <c r="Q674" i="12" a="1"/>
  <c r="Q674" i="12" s="1"/>
  <c r="Q673" i="12" a="1"/>
  <c r="Q673" i="12" s="1"/>
  <c r="Q672" i="12" a="1"/>
  <c r="Q672" i="12" s="1"/>
  <c r="Q671" i="12" a="1"/>
  <c r="Q671" i="12" s="1"/>
  <c r="Q670" i="12" a="1"/>
  <c r="Q670" i="12" s="1"/>
  <c r="Q669" i="12" a="1"/>
  <c r="Q669" i="12" s="1"/>
  <c r="Q668" i="12" a="1"/>
  <c r="Q668" i="12" s="1"/>
  <c r="Q667" i="12" a="1"/>
  <c r="Q667" i="12" s="1"/>
  <c r="Q666" i="12" a="1"/>
  <c r="Q666" i="12" s="1"/>
  <c r="Q652" i="12" a="1"/>
  <c r="Q652" i="12" s="1"/>
  <c r="Q651" i="12" a="1"/>
  <c r="Q651" i="12" s="1"/>
  <c r="Q650" i="12" a="1"/>
  <c r="Q650" i="12" s="1"/>
  <c r="Q649" i="12" a="1"/>
  <c r="Q649" i="12" s="1"/>
  <c r="Q648" i="12" a="1"/>
  <c r="Q648" i="12" s="1"/>
  <c r="Q647" i="12" a="1"/>
  <c r="Q647" i="12" s="1"/>
  <c r="Q646" i="12" a="1"/>
  <c r="Q646" i="12" s="1"/>
  <c r="Q645" i="12" a="1"/>
  <c r="Q645" i="12" s="1"/>
  <c r="Q644" i="12" a="1"/>
  <c r="Q644" i="12" s="1"/>
  <c r="Q643" i="12" a="1"/>
  <c r="Q643" i="12" s="1"/>
  <c r="Q642" i="12" a="1"/>
  <c r="Q642" i="12" s="1"/>
  <c r="Q640" i="12" a="1"/>
  <c r="Q640" i="12" s="1"/>
  <c r="Q639" i="12" a="1"/>
  <c r="Q639" i="12" s="1"/>
  <c r="Q638" i="12" a="1"/>
  <c r="Q638" i="12" s="1"/>
  <c r="Q637" i="12" a="1"/>
  <c r="Q637" i="12" s="1"/>
  <c r="Q636" i="12" a="1"/>
  <c r="Q636" i="12" s="1"/>
  <c r="Q635" i="12" a="1"/>
  <c r="Q635" i="12" s="1"/>
  <c r="Q634" i="12" a="1"/>
  <c r="Q634" i="12" s="1"/>
  <c r="Q633" i="12" a="1"/>
  <c r="Q633" i="12" s="1"/>
  <c r="Q632" i="12" a="1"/>
  <c r="Q632" i="12" s="1"/>
  <c r="Q631" i="12" a="1"/>
  <c r="Q631" i="12" s="1"/>
  <c r="Q630" i="12" a="1"/>
  <c r="Q630" i="12" s="1"/>
  <c r="Q628" i="12" a="1"/>
  <c r="Q628" i="12" s="1"/>
  <c r="Q627" i="12" a="1"/>
  <c r="Q627" i="12" s="1"/>
  <c r="Q626" i="12" a="1"/>
  <c r="Q626" i="12" s="1"/>
  <c r="Q625" i="12" a="1"/>
  <c r="Q625" i="12" s="1"/>
  <c r="Q624" i="12" a="1"/>
  <c r="Q624" i="12" s="1"/>
  <c r="Q623" i="12" a="1"/>
  <c r="Q623" i="12" s="1"/>
  <c r="Q622" i="12" a="1"/>
  <c r="Q622" i="12" s="1"/>
  <c r="Q621" i="12" a="1"/>
  <c r="Q621" i="12" s="1"/>
  <c r="Q620" i="12" a="1"/>
  <c r="Q620" i="12" s="1"/>
  <c r="Q619" i="12" a="1"/>
  <c r="Q619" i="12" s="1"/>
  <c r="Q618" i="12" a="1"/>
  <c r="Q618" i="12" s="1"/>
  <c r="Q604" i="12" a="1"/>
  <c r="Q604" i="12" s="1"/>
  <c r="Q603" i="12" a="1"/>
  <c r="Q603" i="12" s="1"/>
  <c r="Q602" i="12" a="1"/>
  <c r="Q602" i="12" s="1"/>
  <c r="Q601" i="12" a="1"/>
  <c r="Q601" i="12" s="1"/>
  <c r="Q600" i="12" a="1"/>
  <c r="Q600" i="12" s="1"/>
  <c r="Q599" i="12" a="1"/>
  <c r="Q599" i="12" s="1"/>
  <c r="Q598" i="12" a="1"/>
  <c r="Q598" i="12" s="1"/>
  <c r="Q597" i="12" a="1"/>
  <c r="Q597" i="12" s="1"/>
  <c r="Q596" i="12" a="1"/>
  <c r="Q596" i="12" s="1"/>
  <c r="Q595" i="12" a="1"/>
  <c r="Q595" i="12" s="1"/>
  <c r="Q594" i="12" a="1"/>
  <c r="Q594" i="12" s="1"/>
  <c r="Q592" i="12" a="1"/>
  <c r="Q592" i="12" s="1"/>
  <c r="Q591" i="12" a="1"/>
  <c r="Q591" i="12" s="1"/>
  <c r="Q590" i="12" a="1"/>
  <c r="Q590" i="12" s="1"/>
  <c r="Q589" i="12" a="1"/>
  <c r="Q589" i="12" s="1"/>
  <c r="Q588" i="12" a="1"/>
  <c r="Q588" i="12" s="1"/>
  <c r="Q587" i="12" a="1"/>
  <c r="Q587" i="12" s="1"/>
  <c r="Q586" i="12" a="1"/>
  <c r="Q586" i="12" s="1"/>
  <c r="Q585" i="12" a="1"/>
  <c r="Q585" i="12" s="1"/>
  <c r="Q584" i="12" a="1"/>
  <c r="Q584" i="12" s="1"/>
  <c r="Q583" i="12" a="1"/>
  <c r="Q583" i="12" s="1"/>
  <c r="Q582" i="12" a="1"/>
  <c r="Q582" i="12" s="1"/>
  <c r="Q568" i="12" a="1"/>
  <c r="Q568" i="12" s="1"/>
  <c r="Q567" i="12" a="1"/>
  <c r="Q567" i="12" s="1"/>
  <c r="Q566" i="12" a="1"/>
  <c r="Q566" i="12" s="1"/>
  <c r="Q565" i="12" a="1"/>
  <c r="Q565" i="12" s="1"/>
  <c r="Q564" i="12" a="1"/>
  <c r="Q564" i="12" s="1"/>
  <c r="Q563" i="12" a="1"/>
  <c r="Q563" i="12" s="1"/>
  <c r="Q562" i="12" a="1"/>
  <c r="Q562" i="12" s="1"/>
  <c r="Q561" i="12" a="1"/>
  <c r="Q561" i="12" s="1"/>
  <c r="Q560" i="12" a="1"/>
  <c r="Q560" i="12" s="1"/>
  <c r="Q559" i="12" a="1"/>
  <c r="Q559" i="12" s="1"/>
  <c r="Q558" i="12" a="1"/>
  <c r="Q558" i="12" s="1"/>
  <c r="Q544" i="12" a="1"/>
  <c r="Q544" i="12" s="1"/>
  <c r="Q543" i="12" a="1"/>
  <c r="Q543" i="12" s="1"/>
  <c r="Q542" i="12" a="1"/>
  <c r="Q542" i="12" s="1"/>
  <c r="Q541" i="12" a="1"/>
  <c r="Q541" i="12" s="1"/>
  <c r="Q540" i="12" a="1"/>
  <c r="Q540" i="12" s="1"/>
  <c r="Q539" i="12" a="1"/>
  <c r="Q539" i="12" s="1"/>
  <c r="Q538" i="12" a="1"/>
  <c r="Q538" i="12" s="1"/>
  <c r="Q537" i="12" a="1"/>
  <c r="Q537" i="12" s="1"/>
  <c r="Q536" i="12" a="1"/>
  <c r="Q536" i="12" s="1"/>
  <c r="Q535" i="12" a="1"/>
  <c r="Q535" i="12" s="1"/>
  <c r="Q534" i="12" a="1"/>
  <c r="Q534" i="12" s="1"/>
  <c r="Q532" i="12" a="1"/>
  <c r="Q532" i="12" s="1"/>
  <c r="Q531" i="12" a="1"/>
  <c r="Q531" i="12" s="1"/>
  <c r="Q530" i="12" a="1"/>
  <c r="Q530" i="12" s="1"/>
  <c r="Q529" i="12" a="1"/>
  <c r="Q529" i="12" s="1"/>
  <c r="Q528" i="12" a="1"/>
  <c r="Q528" i="12" s="1"/>
  <c r="Q527" i="12" a="1"/>
  <c r="Q527" i="12" s="1"/>
  <c r="Q526" i="12" a="1"/>
  <c r="Q526" i="12" s="1"/>
  <c r="Q525" i="12" a="1"/>
  <c r="Q525" i="12" s="1"/>
  <c r="Q524" i="12" a="1"/>
  <c r="Q524" i="12" s="1"/>
  <c r="Q523" i="12" a="1"/>
  <c r="Q523" i="12" s="1"/>
  <c r="Q522" i="12" a="1"/>
  <c r="Q522" i="12" s="1"/>
  <c r="Q508" i="12" a="1"/>
  <c r="Q508" i="12" s="1"/>
  <c r="Q507" i="12" a="1"/>
  <c r="Q507" i="12" s="1"/>
  <c r="Q506" i="12" a="1"/>
  <c r="Q506" i="12" s="1"/>
  <c r="Q505" i="12" a="1"/>
  <c r="Q505" i="12" s="1"/>
  <c r="Q504" i="12" a="1"/>
  <c r="Q504" i="12" s="1"/>
  <c r="Q503" i="12" a="1"/>
  <c r="Q503" i="12" s="1"/>
  <c r="Q502" i="12" a="1"/>
  <c r="Q502" i="12" s="1"/>
  <c r="Q501" i="12" a="1"/>
  <c r="Q501" i="12" s="1"/>
  <c r="Q500" i="12" a="1"/>
  <c r="Q500" i="12" s="1"/>
  <c r="Q499" i="12" a="1"/>
  <c r="Q499" i="12" s="1"/>
  <c r="Q498" i="12" a="1"/>
  <c r="Q498" i="12" s="1"/>
  <c r="Q496" i="12" a="1"/>
  <c r="Q496" i="12" s="1"/>
  <c r="Q495" i="12" a="1"/>
  <c r="Q495" i="12" s="1"/>
  <c r="Q494" i="12" a="1"/>
  <c r="Q494" i="12" s="1"/>
  <c r="Q493" i="12" a="1"/>
  <c r="Q493" i="12" s="1"/>
  <c r="Q492" i="12" a="1"/>
  <c r="Q492" i="12" s="1"/>
  <c r="Q491" i="12" a="1"/>
  <c r="Q491" i="12" s="1"/>
  <c r="Q490" i="12" a="1"/>
  <c r="Q490" i="12" s="1"/>
  <c r="Q489" i="12" a="1"/>
  <c r="Q489" i="12" s="1"/>
  <c r="Q488" i="12" a="1"/>
  <c r="Q488" i="12" s="1"/>
  <c r="Q487" i="12" a="1"/>
  <c r="Q487" i="12" s="1"/>
  <c r="Q486" i="12" a="1"/>
  <c r="Q486" i="12" s="1"/>
  <c r="Q484" i="12" a="1"/>
  <c r="Q484" i="12" s="1"/>
  <c r="Q483" i="12" a="1"/>
  <c r="Q483" i="12" s="1"/>
  <c r="Q482" i="12" a="1"/>
  <c r="Q482" i="12" s="1"/>
  <c r="Q481" i="12" a="1"/>
  <c r="Q481" i="12" s="1"/>
  <c r="Q480" i="12" a="1"/>
  <c r="Q480" i="12" s="1"/>
  <c r="Q479" i="12" a="1"/>
  <c r="Q479" i="12" s="1"/>
  <c r="Q478" i="12" a="1"/>
  <c r="Q478" i="12" s="1"/>
  <c r="Q477" i="12" a="1"/>
  <c r="Q477" i="12" s="1"/>
  <c r="Q476" i="12" a="1"/>
  <c r="Q476" i="12" s="1"/>
  <c r="Q475" i="12" a="1"/>
  <c r="Q475" i="12" s="1"/>
  <c r="Q474" i="12" a="1"/>
  <c r="Q474" i="12" s="1"/>
  <c r="Q412" i="12" a="1"/>
  <c r="Q412" i="12" s="1"/>
  <c r="Q411" i="12" a="1"/>
  <c r="Q411" i="12" s="1"/>
  <c r="Q410" i="12" a="1"/>
  <c r="Q410" i="12" s="1"/>
  <c r="Q409" i="12" a="1"/>
  <c r="Q409" i="12" s="1"/>
  <c r="Q408" i="12" a="1"/>
  <c r="Q408" i="12" s="1"/>
  <c r="Q407" i="12" a="1"/>
  <c r="Q407" i="12" s="1"/>
  <c r="Q406" i="12" a="1"/>
  <c r="Q406" i="12" s="1"/>
  <c r="Q405" i="12" a="1"/>
  <c r="Q405" i="12" s="1"/>
  <c r="Q404" i="12" a="1"/>
  <c r="Q404" i="12" s="1"/>
  <c r="Q403" i="12" a="1"/>
  <c r="Q403" i="12" s="1"/>
  <c r="Q402" i="12" a="1"/>
  <c r="Q402" i="12" s="1"/>
  <c r="Q400" i="12" a="1"/>
  <c r="Q400" i="12" s="1"/>
  <c r="Q399" i="12" a="1"/>
  <c r="Q399" i="12" s="1"/>
  <c r="Q398" i="12" a="1"/>
  <c r="Q398" i="12" s="1"/>
  <c r="Q397" i="12" a="1"/>
  <c r="Q397" i="12" s="1"/>
  <c r="Q396" i="12" a="1"/>
  <c r="Q396" i="12" s="1"/>
  <c r="Q395" i="12" a="1"/>
  <c r="Q395" i="12" s="1"/>
  <c r="Q394" i="12" a="1"/>
  <c r="Q394" i="12" s="1"/>
  <c r="Q393" i="12" a="1"/>
  <c r="Q393" i="12" s="1"/>
  <c r="Q392" i="12" a="1"/>
  <c r="Q392" i="12" s="1"/>
  <c r="Q391" i="12" a="1"/>
  <c r="Q391" i="12" s="1"/>
  <c r="Q390" i="12" a="1"/>
  <c r="Q390" i="12" s="1"/>
  <c r="Q388" i="12" a="1"/>
  <c r="Q388" i="12" s="1"/>
  <c r="Q387" i="12" a="1"/>
  <c r="Q387" i="12" s="1"/>
  <c r="Q386" i="12" a="1"/>
  <c r="Q386" i="12" s="1"/>
  <c r="Q385" i="12" a="1"/>
  <c r="Q385" i="12" s="1"/>
  <c r="Q384" i="12" a="1"/>
  <c r="Q384" i="12" s="1"/>
  <c r="Q383" i="12" a="1"/>
  <c r="Q383" i="12" s="1"/>
  <c r="Q382" i="12" a="1"/>
  <c r="Q382" i="12" s="1"/>
  <c r="Q381" i="12" a="1"/>
  <c r="Q381" i="12" s="1"/>
  <c r="Q380" i="12" a="1"/>
  <c r="Q380" i="12" s="1"/>
  <c r="Q379" i="12" a="1"/>
  <c r="Q379" i="12" s="1"/>
  <c r="Q378" i="12" a="1"/>
  <c r="Q378" i="12" s="1"/>
  <c r="Q376" i="12" a="1"/>
  <c r="Q376" i="12" s="1"/>
  <c r="Q375" i="12" a="1"/>
  <c r="Q375" i="12" s="1"/>
  <c r="Q374" i="12" a="1"/>
  <c r="Q374" i="12" s="1"/>
  <c r="Q373" i="12" a="1"/>
  <c r="Q373" i="12" s="1"/>
  <c r="Q372" i="12" a="1"/>
  <c r="Q372" i="12" s="1"/>
  <c r="Q371" i="12" a="1"/>
  <c r="Q371" i="12" s="1"/>
  <c r="Q370" i="12" a="1"/>
  <c r="Q370" i="12" s="1"/>
  <c r="Q369" i="12" a="1"/>
  <c r="Q369" i="12" s="1"/>
  <c r="Q368" i="12" a="1"/>
  <c r="Q368" i="12" s="1"/>
  <c r="Q367" i="12" a="1"/>
  <c r="Q367" i="12" s="1"/>
  <c r="Q366" i="12" a="1"/>
  <c r="Q366" i="12" s="1"/>
  <c r="Q352" i="12" a="1"/>
  <c r="Q352" i="12" s="1"/>
  <c r="Q351" i="12" a="1"/>
  <c r="Q351" i="12" s="1"/>
  <c r="Q350" i="12" a="1"/>
  <c r="Q350" i="12" s="1"/>
  <c r="Q349" i="12" a="1"/>
  <c r="Q349" i="12" s="1"/>
  <c r="Q348" i="12" a="1"/>
  <c r="Q348" i="12" s="1"/>
  <c r="Q347" i="12" a="1"/>
  <c r="Q347" i="12" s="1"/>
  <c r="Q346" i="12" a="1"/>
  <c r="Q346" i="12" s="1"/>
  <c r="Q345" i="12" a="1"/>
  <c r="Q345" i="12" s="1"/>
  <c r="Q344" i="12" a="1"/>
  <c r="Q344" i="12" s="1"/>
  <c r="Q343" i="12" a="1"/>
  <c r="Q343" i="12" s="1"/>
  <c r="Q342" i="12" a="1"/>
  <c r="Q342" i="12" s="1"/>
  <c r="Q340" i="12" a="1"/>
  <c r="Q340" i="12" s="1"/>
  <c r="Q339" i="12" a="1"/>
  <c r="Q339" i="12" s="1"/>
  <c r="Q338" i="12" a="1"/>
  <c r="Q338" i="12" s="1"/>
  <c r="Q337" i="12" a="1"/>
  <c r="Q337" i="12" s="1"/>
  <c r="Q336" i="12" a="1"/>
  <c r="Q336" i="12" s="1"/>
  <c r="Q335" i="12" a="1"/>
  <c r="Q335" i="12" s="1"/>
  <c r="Q334" i="12" a="1"/>
  <c r="Q334" i="12" s="1"/>
  <c r="Q333" i="12" a="1"/>
  <c r="Q333" i="12" s="1"/>
  <c r="Q332" i="12" a="1"/>
  <c r="Q332" i="12" s="1"/>
  <c r="Q331" i="12" a="1"/>
  <c r="Q331" i="12" s="1"/>
  <c r="Q330" i="12" a="1"/>
  <c r="Q330" i="12" s="1"/>
  <c r="Q328" i="12" a="1"/>
  <c r="Q328" i="12" s="1"/>
  <c r="Q327" i="12" a="1"/>
  <c r="Q327" i="12" s="1"/>
  <c r="Q326" i="12" a="1"/>
  <c r="Q326" i="12" s="1"/>
  <c r="Q325" i="12" a="1"/>
  <c r="Q325" i="12" s="1"/>
  <c r="Q324" i="12" a="1"/>
  <c r="Q324" i="12" s="1"/>
  <c r="Q323" i="12" a="1"/>
  <c r="Q323" i="12" s="1"/>
  <c r="Q322" i="12" a="1"/>
  <c r="Q322" i="12" s="1"/>
  <c r="Q321" i="12" a="1"/>
  <c r="Q321" i="12" s="1"/>
  <c r="Q320" i="12" a="1"/>
  <c r="Q320" i="12" s="1"/>
  <c r="Q319" i="12" a="1"/>
  <c r="Q319" i="12" s="1"/>
  <c r="Q318" i="12" a="1"/>
  <c r="Q318" i="12" s="1"/>
  <c r="Q316" i="12" a="1"/>
  <c r="Q316" i="12" s="1"/>
  <c r="Q315" i="12" a="1"/>
  <c r="Q315" i="12" s="1"/>
  <c r="Q314" i="12" a="1"/>
  <c r="Q314" i="12" s="1"/>
  <c r="Q313" i="12" a="1"/>
  <c r="Q313" i="12" s="1"/>
  <c r="Q312" i="12" a="1"/>
  <c r="Q312" i="12" s="1"/>
  <c r="Q311" i="12" a="1"/>
  <c r="Q311" i="12" s="1"/>
  <c r="Q310" i="12" a="1"/>
  <c r="Q310" i="12" s="1"/>
  <c r="Q309" i="12" a="1"/>
  <c r="Q309" i="12" s="1"/>
  <c r="Q308" i="12" a="1"/>
  <c r="Q308" i="12" s="1"/>
  <c r="Q307" i="12" a="1"/>
  <c r="Q307" i="12" s="1"/>
  <c r="Q306" i="12" a="1"/>
  <c r="Q306" i="12" s="1"/>
  <c r="Q304" i="12" a="1"/>
  <c r="Q304" i="12" s="1"/>
  <c r="Q303" i="12" a="1"/>
  <c r="Q303" i="12" s="1"/>
  <c r="Q302" i="12" a="1"/>
  <c r="Q302" i="12" s="1"/>
  <c r="Q301" i="12" a="1"/>
  <c r="Q301" i="12" s="1"/>
  <c r="Q300" i="12" a="1"/>
  <c r="Q300" i="12" s="1"/>
  <c r="Q299" i="12" a="1"/>
  <c r="Q299" i="12" s="1"/>
  <c r="Q298" i="12" a="1"/>
  <c r="Q298" i="12" s="1"/>
  <c r="Q297" i="12" a="1"/>
  <c r="Q297" i="12" s="1"/>
  <c r="Q296" i="12" a="1"/>
  <c r="Q296" i="12" s="1"/>
  <c r="Q295" i="12" a="1"/>
  <c r="Q295" i="12" s="1"/>
  <c r="Q294" i="12" a="1"/>
  <c r="Q294" i="12" s="1"/>
  <c r="Q292" i="12" a="1"/>
  <c r="Q292" i="12" s="1"/>
  <c r="Q291" i="12" a="1"/>
  <c r="Q291" i="12" s="1"/>
  <c r="Q290" i="12" a="1"/>
  <c r="Q290" i="12" s="1"/>
  <c r="Q289" i="12" a="1"/>
  <c r="Q289" i="12" s="1"/>
  <c r="Q288" i="12" a="1"/>
  <c r="Q288" i="12" s="1"/>
  <c r="Q287" i="12" a="1"/>
  <c r="Q287" i="12" s="1"/>
  <c r="Q286" i="12" a="1"/>
  <c r="Q286" i="12" s="1"/>
  <c r="Q285" i="12" a="1"/>
  <c r="Q285" i="12" s="1"/>
  <c r="Q284" i="12" a="1"/>
  <c r="Q284" i="12" s="1"/>
  <c r="Q283" i="12" a="1"/>
  <c r="Q283" i="12" s="1"/>
  <c r="Q282" i="12" a="1"/>
  <c r="Q282" i="12" s="1"/>
  <c r="Q280" i="12" a="1"/>
  <c r="Q280" i="12" s="1"/>
  <c r="Q279" i="12" a="1"/>
  <c r="Q279" i="12" s="1"/>
  <c r="Q278" i="12" a="1"/>
  <c r="Q278" i="12" s="1"/>
  <c r="Q277" i="12" a="1"/>
  <c r="Q277" i="12" s="1"/>
  <c r="Q276" i="12" a="1"/>
  <c r="Q276" i="12" s="1"/>
  <c r="Q275" i="12" a="1"/>
  <c r="Q275" i="12" s="1"/>
  <c r="Q274" i="12" a="1"/>
  <c r="Q274" i="12" s="1"/>
  <c r="Q273" i="12" a="1"/>
  <c r="Q273" i="12" s="1"/>
  <c r="Q272" i="12" a="1"/>
  <c r="Q272" i="12" s="1"/>
  <c r="Q271" i="12" a="1"/>
  <c r="Q271" i="12" s="1"/>
  <c r="Q270" i="12" a="1"/>
  <c r="Q270" i="12" s="1"/>
  <c r="Q268" i="12" a="1"/>
  <c r="Q268" i="12" s="1"/>
  <c r="Q267" i="12" a="1"/>
  <c r="Q267" i="12" s="1"/>
  <c r="Q266" i="12" a="1"/>
  <c r="Q266" i="12" s="1"/>
  <c r="Q265" i="12" a="1"/>
  <c r="Q265" i="12" s="1"/>
  <c r="Q264" i="12" a="1"/>
  <c r="Q264" i="12" s="1"/>
  <c r="Q263" i="12" a="1"/>
  <c r="Q263" i="12" s="1"/>
  <c r="Q262" i="12" a="1"/>
  <c r="Q262" i="12" s="1"/>
  <c r="Q261" i="12" a="1"/>
  <c r="Q261" i="12" s="1"/>
  <c r="Q260" i="12" a="1"/>
  <c r="Q260" i="12" s="1"/>
  <c r="Q259" i="12" a="1"/>
  <c r="Q259" i="12" s="1"/>
  <c r="Q258" i="12" a="1"/>
  <c r="Q258" i="12" s="1"/>
  <c r="Q256" i="12" a="1"/>
  <c r="Q256" i="12" s="1"/>
  <c r="Q255" i="12" a="1"/>
  <c r="Q255" i="12" s="1"/>
  <c r="Q254" i="12" a="1"/>
  <c r="Q254" i="12" s="1"/>
  <c r="Q253" i="12" a="1"/>
  <c r="Q253" i="12" s="1"/>
  <c r="Q252" i="12" a="1"/>
  <c r="Q252" i="12" s="1"/>
  <c r="Q251" i="12" a="1"/>
  <c r="Q251" i="12" s="1"/>
  <c r="Q250" i="12" a="1"/>
  <c r="Q250" i="12" s="1"/>
  <c r="Q249" i="12" a="1"/>
  <c r="Q249" i="12" s="1"/>
  <c r="Q248" i="12" a="1"/>
  <c r="Q248" i="12" s="1"/>
  <c r="Q247" i="12" a="1"/>
  <c r="Q247" i="12" s="1"/>
  <c r="Q246" i="12" a="1"/>
  <c r="Q246" i="12" s="1"/>
  <c r="Q244" i="12" a="1"/>
  <c r="Q244" i="12" s="1"/>
  <c r="Q243" i="12" a="1"/>
  <c r="Q243" i="12" s="1"/>
  <c r="Q242" i="12" a="1"/>
  <c r="Q242" i="12" s="1"/>
  <c r="Q241" i="12" a="1"/>
  <c r="Q241" i="12" s="1"/>
  <c r="Q240" i="12" a="1"/>
  <c r="Q240" i="12" s="1"/>
  <c r="Q239" i="12" a="1"/>
  <c r="Q239" i="12" s="1"/>
  <c r="Q238" i="12" a="1"/>
  <c r="Q238" i="12" s="1"/>
  <c r="Q237" i="12" a="1"/>
  <c r="Q237" i="12" s="1"/>
  <c r="Q236" i="12" a="1"/>
  <c r="Q236" i="12" s="1"/>
  <c r="Q235" i="12" a="1"/>
  <c r="Q235" i="12" s="1"/>
  <c r="Q234" i="12" a="1"/>
  <c r="Q234" i="12" s="1"/>
  <c r="Q232" i="12" a="1"/>
  <c r="Q232" i="12" s="1"/>
  <c r="Q231" i="12" a="1"/>
  <c r="Q231" i="12" s="1"/>
  <c r="Q230" i="12" a="1"/>
  <c r="Q230" i="12" s="1"/>
  <c r="Q229" i="12" a="1"/>
  <c r="Q229" i="12" s="1"/>
  <c r="Q228" i="12" a="1"/>
  <c r="Q228" i="12" s="1"/>
  <c r="Q227" i="12" a="1"/>
  <c r="Q227" i="12" s="1"/>
  <c r="Q226" i="12" a="1"/>
  <c r="Q226" i="12" s="1"/>
  <c r="Q225" i="12" a="1"/>
  <c r="Q225" i="12" s="1"/>
  <c r="Q224" i="12" a="1"/>
  <c r="Q224" i="12" s="1"/>
  <c r="Q223" i="12" a="1"/>
  <c r="Q223" i="12" s="1"/>
  <c r="Q222" i="12" a="1"/>
  <c r="Q222" i="12" s="1"/>
  <c r="Q220" i="12" a="1"/>
  <c r="Q220" i="12" s="1"/>
  <c r="Q219" i="12" a="1"/>
  <c r="Q219" i="12" s="1"/>
  <c r="Q218" i="12" a="1"/>
  <c r="Q218" i="12" s="1"/>
  <c r="Q217" i="12" a="1"/>
  <c r="Q217" i="12" s="1"/>
  <c r="Q216" i="12" a="1"/>
  <c r="Q216" i="12" s="1"/>
  <c r="Q215" i="12" a="1"/>
  <c r="Q215" i="12" s="1"/>
  <c r="Q214" i="12" a="1"/>
  <c r="Q214" i="12" s="1"/>
  <c r="Q213" i="12" a="1"/>
  <c r="Q213" i="12" s="1"/>
  <c r="Q212" i="12" a="1"/>
  <c r="Q212" i="12" s="1"/>
  <c r="Q211" i="12" a="1"/>
  <c r="Q211" i="12" s="1"/>
  <c r="Q210" i="12" a="1"/>
  <c r="Q210" i="12" s="1"/>
  <c r="Q208" i="12" a="1"/>
  <c r="Q208" i="12" s="1"/>
  <c r="Q207" i="12" a="1"/>
  <c r="Q207" i="12" s="1"/>
  <c r="Q206" i="12" a="1"/>
  <c r="Q206" i="12" s="1"/>
  <c r="Q205" i="12" a="1"/>
  <c r="Q205" i="12" s="1"/>
  <c r="Q204" i="12" a="1"/>
  <c r="Q204" i="12" s="1"/>
  <c r="Q203" i="12" a="1"/>
  <c r="Q203" i="12" s="1"/>
  <c r="Q202" i="12" a="1"/>
  <c r="Q202" i="12" s="1"/>
  <c r="Q201" i="12" a="1"/>
  <c r="Q201" i="12" s="1"/>
  <c r="Q200" i="12" a="1"/>
  <c r="Q200" i="12" s="1"/>
  <c r="Q199" i="12" a="1"/>
  <c r="Q199" i="12" s="1"/>
  <c r="Q198" i="12" a="1"/>
  <c r="Q198" i="12" s="1"/>
  <c r="Q196" i="12" a="1"/>
  <c r="Q196" i="12" s="1"/>
  <c r="Q195" i="12" a="1"/>
  <c r="Q195" i="12" s="1"/>
  <c r="Q194" i="12" a="1"/>
  <c r="Q194" i="12" s="1"/>
  <c r="Q193" i="12" a="1"/>
  <c r="Q193" i="12" s="1"/>
  <c r="Q192" i="12" a="1"/>
  <c r="Q192" i="12" s="1"/>
  <c r="Q191" i="12" a="1"/>
  <c r="Q191" i="12" s="1"/>
  <c r="Q190" i="12" a="1"/>
  <c r="Q190" i="12" s="1"/>
  <c r="Q189" i="12" a="1"/>
  <c r="Q189" i="12" s="1"/>
  <c r="Q188" i="12" a="1"/>
  <c r="Q188" i="12" s="1"/>
  <c r="Q187" i="12" a="1"/>
  <c r="Q187" i="12" s="1"/>
  <c r="Q186" i="12" a="1"/>
  <c r="Q186" i="12" s="1"/>
  <c r="Q184" i="12" a="1"/>
  <c r="Q184" i="12" s="1"/>
  <c r="Q183" i="12" a="1"/>
  <c r="Q183" i="12" s="1"/>
  <c r="Q182" i="12" a="1"/>
  <c r="Q182" i="12" s="1"/>
  <c r="Q181" i="12" a="1"/>
  <c r="Q181" i="12" s="1"/>
  <c r="Q180" i="12" a="1"/>
  <c r="Q180" i="12" s="1"/>
  <c r="Q179" i="12" a="1"/>
  <c r="Q179" i="12" s="1"/>
  <c r="Q178" i="12" a="1"/>
  <c r="Q178" i="12" s="1"/>
  <c r="Q177" i="12" a="1"/>
  <c r="Q177" i="12" s="1"/>
  <c r="Q176" i="12" a="1"/>
  <c r="Q176" i="12" s="1"/>
  <c r="Q175" i="12" a="1"/>
  <c r="Q175" i="12" s="1"/>
  <c r="Q174" i="12" a="1"/>
  <c r="Q174" i="12" s="1"/>
  <c r="Q172" i="12" a="1"/>
  <c r="Q172" i="12" s="1"/>
  <c r="Q171" i="12" a="1"/>
  <c r="Q171" i="12" s="1"/>
  <c r="Q170" i="12" a="1"/>
  <c r="Q170" i="12" s="1"/>
  <c r="Q169" i="12" a="1"/>
  <c r="Q169" i="12" s="1"/>
  <c r="Q168" i="12" a="1"/>
  <c r="Q168" i="12" s="1"/>
  <c r="Q167" i="12" a="1"/>
  <c r="Q167" i="12" s="1"/>
  <c r="Q166" i="12" a="1"/>
  <c r="Q166" i="12" s="1"/>
  <c r="Q165" i="12" a="1"/>
  <c r="Q165" i="12" s="1"/>
  <c r="Q164" i="12" a="1"/>
  <c r="Q164" i="12" s="1"/>
  <c r="Q163" i="12" a="1"/>
  <c r="Q163" i="12" s="1"/>
  <c r="Q162" i="12" a="1"/>
  <c r="Q162" i="12" s="1"/>
  <c r="Q160" i="12" a="1"/>
  <c r="Q160" i="12" s="1"/>
  <c r="Q159" i="12" a="1"/>
  <c r="Q159" i="12" s="1"/>
  <c r="Q158" i="12" a="1"/>
  <c r="Q158" i="12" s="1"/>
  <c r="Q157" i="12" a="1"/>
  <c r="Q157" i="12" s="1"/>
  <c r="Q156" i="12" a="1"/>
  <c r="Q156" i="12" s="1"/>
  <c r="Q155" i="12" a="1"/>
  <c r="Q155" i="12" s="1"/>
  <c r="Q154" i="12" a="1"/>
  <c r="Q154" i="12" s="1"/>
  <c r="Q153" i="12" a="1"/>
  <c r="Q153" i="12" s="1"/>
  <c r="Q152" i="12" a="1"/>
  <c r="Q152" i="12" s="1"/>
  <c r="Q151" i="12" a="1"/>
  <c r="Q151" i="12" s="1"/>
  <c r="Q150" i="12" a="1"/>
  <c r="Q150" i="12" s="1"/>
  <c r="Q148" i="12" a="1"/>
  <c r="Q148" i="12" s="1"/>
  <c r="Q147" i="12" a="1"/>
  <c r="Q147" i="12" s="1"/>
  <c r="Q146" i="12" a="1"/>
  <c r="Q146" i="12" s="1"/>
  <c r="Q145" i="12" a="1"/>
  <c r="Q145" i="12" s="1"/>
  <c r="Q144" i="12" a="1"/>
  <c r="Q144" i="12" s="1"/>
  <c r="Q143" i="12" a="1"/>
  <c r="Q143" i="12" s="1"/>
  <c r="Q142" i="12" a="1"/>
  <c r="Q142" i="12" s="1"/>
  <c r="Q141" i="12" a="1"/>
  <c r="Q141" i="12" s="1"/>
  <c r="Q140" i="12" a="1"/>
  <c r="Q140" i="12" s="1"/>
  <c r="Q139" i="12" a="1"/>
  <c r="Q139" i="12" s="1"/>
  <c r="Q138" i="12" a="1"/>
  <c r="Q138" i="12" s="1"/>
  <c r="Q136" i="12" a="1"/>
  <c r="Q136" i="12" s="1"/>
  <c r="Q135" i="12" a="1"/>
  <c r="Q135" i="12" s="1"/>
  <c r="Q134" i="12" a="1"/>
  <c r="Q134" i="12" s="1"/>
  <c r="Q133" i="12" a="1"/>
  <c r="Q133" i="12" s="1"/>
  <c r="Q132" i="12" a="1"/>
  <c r="Q132" i="12" s="1"/>
  <c r="Q131" i="12" a="1"/>
  <c r="Q131" i="12" s="1"/>
  <c r="Q130" i="12" a="1"/>
  <c r="Q130" i="12" s="1"/>
  <c r="Q129" i="12" a="1"/>
  <c r="Q129" i="12" s="1"/>
  <c r="Q128" i="12" a="1"/>
  <c r="Q128" i="12" s="1"/>
  <c r="Q127" i="12" a="1"/>
  <c r="Q127" i="12" s="1"/>
  <c r="Q126" i="12" a="1"/>
  <c r="Q126" i="12" s="1"/>
  <c r="Q124" i="12" a="1"/>
  <c r="Q124" i="12" s="1"/>
  <c r="Q123" i="12" a="1"/>
  <c r="Q123" i="12" s="1"/>
  <c r="Q122" i="12" a="1"/>
  <c r="Q122" i="12" s="1"/>
  <c r="Q121" i="12" a="1"/>
  <c r="Q121" i="12" s="1"/>
  <c r="Q120" i="12" a="1"/>
  <c r="Q120" i="12" s="1"/>
  <c r="Q119" i="12" a="1"/>
  <c r="Q119" i="12" s="1"/>
  <c r="Q118" i="12" a="1"/>
  <c r="Q118" i="12" s="1"/>
  <c r="Q117" i="12" a="1"/>
  <c r="Q117" i="12" s="1"/>
  <c r="Q116" i="12" a="1"/>
  <c r="Q116" i="12" s="1"/>
  <c r="Q115" i="12" a="1"/>
  <c r="Q115" i="12" s="1"/>
  <c r="Q114" i="12" a="1"/>
  <c r="Q114" i="12" s="1"/>
  <c r="Q112" i="12" a="1"/>
  <c r="Q112" i="12" s="1"/>
  <c r="Q111" i="12" a="1"/>
  <c r="Q111" i="12" s="1"/>
  <c r="Q110" i="12" a="1"/>
  <c r="Q110" i="12" s="1"/>
  <c r="Q109" i="12" a="1"/>
  <c r="Q109" i="12" s="1"/>
  <c r="Q108" i="12" a="1"/>
  <c r="Q108" i="12" s="1"/>
  <c r="Q107" i="12" a="1"/>
  <c r="Q107" i="12" s="1"/>
  <c r="Q106" i="12" a="1"/>
  <c r="Q106" i="12" s="1"/>
  <c r="Q105" i="12" a="1"/>
  <c r="Q105" i="12" s="1"/>
  <c r="Q104" i="12" a="1"/>
  <c r="Q104" i="12" s="1"/>
  <c r="Q103" i="12" a="1"/>
  <c r="Q103" i="12" s="1"/>
  <c r="Q102" i="12" a="1"/>
  <c r="Q102" i="12" s="1"/>
  <c r="Q100" i="12" a="1"/>
  <c r="Q100" i="12" s="1"/>
  <c r="Q99" i="12" a="1"/>
  <c r="Q99" i="12" s="1"/>
  <c r="Q98" i="12" a="1"/>
  <c r="Q98" i="12" s="1"/>
  <c r="Q97" i="12" a="1"/>
  <c r="Q97" i="12" s="1"/>
  <c r="Q96" i="12" a="1"/>
  <c r="Q96" i="12" s="1"/>
  <c r="Q95" i="12" a="1"/>
  <c r="Q95" i="12" s="1"/>
  <c r="Q94" i="12" a="1"/>
  <c r="Q94" i="12" s="1"/>
  <c r="Q93" i="12" a="1"/>
  <c r="Q93" i="12" s="1"/>
  <c r="Q92" i="12" a="1"/>
  <c r="Q92" i="12" s="1"/>
  <c r="Q91" i="12" a="1"/>
  <c r="Q91" i="12" s="1"/>
  <c r="Q90" i="12" a="1"/>
  <c r="Q90" i="12" s="1"/>
  <c r="Q88" i="12" a="1"/>
  <c r="Q88" i="12" s="1"/>
  <c r="Q87" i="12" a="1"/>
  <c r="Q87" i="12" s="1"/>
  <c r="Q86" i="12" a="1"/>
  <c r="Q86" i="12" s="1"/>
  <c r="Q85" i="12" a="1"/>
  <c r="Q85" i="12" s="1"/>
  <c r="Q84" i="12" a="1"/>
  <c r="Q84" i="12" s="1"/>
  <c r="Q83" i="12" a="1"/>
  <c r="Q83" i="12" s="1"/>
  <c r="Q82" i="12" a="1"/>
  <c r="Q82" i="12" s="1"/>
  <c r="Q81" i="12" a="1"/>
  <c r="Q81" i="12" s="1"/>
  <c r="Q80" i="12" a="1"/>
  <c r="Q80" i="12" s="1"/>
  <c r="Q79" i="12" a="1"/>
  <c r="Q79" i="12" s="1"/>
  <c r="Q78" i="12" a="1"/>
  <c r="Q78" i="12" s="1"/>
  <c r="Q64" i="12" a="1"/>
  <c r="Q64" i="12" s="1"/>
  <c r="Q63" i="12" a="1"/>
  <c r="Q63" i="12" s="1"/>
  <c r="Q62" i="12" a="1"/>
  <c r="Q62" i="12" s="1"/>
  <c r="Q61" i="12" a="1"/>
  <c r="Q61" i="12" s="1"/>
  <c r="Q60" i="12" a="1"/>
  <c r="Q60" i="12" s="1"/>
  <c r="Q59" i="12" a="1"/>
  <c r="Q59" i="12" s="1"/>
  <c r="Q58" i="12" a="1"/>
  <c r="Q58" i="12" s="1"/>
  <c r="Q57" i="12" a="1"/>
  <c r="Q57" i="12" s="1"/>
  <c r="Q56" i="12" a="1"/>
  <c r="Q56" i="12" s="1"/>
  <c r="Q55" i="12" a="1"/>
  <c r="Q55" i="12" s="1"/>
  <c r="Q54" i="12" a="1"/>
  <c r="Q54" i="12" s="1"/>
  <c r="Q365" i="12" a="1"/>
  <c r="Q365" i="12" s="1"/>
  <c r="Q857" i="12" a="1"/>
  <c r="Q857" i="12" s="1"/>
  <c r="P857" i="12" a="1"/>
  <c r="P857" i="12" s="1"/>
  <c r="O857" i="12" a="1"/>
  <c r="O857" i="12" s="1"/>
  <c r="N857" i="12" a="1"/>
  <c r="N857" i="12" s="1"/>
  <c r="M857" i="12" a="1"/>
  <c r="M857" i="12" s="1"/>
  <c r="L857" i="12" a="1"/>
  <c r="L857" i="12" s="1"/>
  <c r="P845" i="12" a="1"/>
  <c r="P845" i="12" s="1"/>
  <c r="O845" i="12" a="1"/>
  <c r="O845" i="12" s="1"/>
  <c r="N845" i="12" a="1"/>
  <c r="N845" i="12" s="1"/>
  <c r="M845" i="12" a="1"/>
  <c r="M845" i="12" s="1"/>
  <c r="L845" i="12" a="1"/>
  <c r="L845" i="12" s="1"/>
  <c r="P833" i="12" a="1"/>
  <c r="P833" i="12" s="1"/>
  <c r="O833" i="12" a="1"/>
  <c r="O833" i="12" s="1"/>
  <c r="N833" i="12" a="1"/>
  <c r="N833" i="12" s="1"/>
  <c r="M833" i="12" a="1"/>
  <c r="M833" i="12" s="1"/>
  <c r="L833" i="12" a="1"/>
  <c r="L833" i="12" s="1"/>
  <c r="P821" i="12" a="1"/>
  <c r="P821" i="12" s="1"/>
  <c r="O821" i="12" a="1"/>
  <c r="O821" i="12" s="1"/>
  <c r="N821" i="12" a="1"/>
  <c r="N821" i="12" s="1"/>
  <c r="M821" i="12" a="1"/>
  <c r="M821" i="12" s="1"/>
  <c r="L821" i="12" a="1"/>
  <c r="L821" i="12" s="1"/>
  <c r="Q809" i="12" a="1"/>
  <c r="Q809" i="12" s="1"/>
  <c r="P809" i="12" a="1"/>
  <c r="P809" i="12" s="1"/>
  <c r="O809" i="12" a="1"/>
  <c r="O809" i="12" s="1"/>
  <c r="N809" i="12" a="1"/>
  <c r="N809" i="12" s="1"/>
  <c r="M809" i="12" a="1"/>
  <c r="M809" i="12" s="1"/>
  <c r="L809" i="12" a="1"/>
  <c r="L809" i="12" s="1"/>
  <c r="Q797" i="12" a="1"/>
  <c r="Q797" i="12" s="1"/>
  <c r="P797" i="12" a="1"/>
  <c r="P797" i="12" s="1"/>
  <c r="O797" i="12" a="1"/>
  <c r="O797" i="12" s="1"/>
  <c r="N797" i="12" a="1"/>
  <c r="N797" i="12" s="1"/>
  <c r="M797" i="12" a="1"/>
  <c r="M797" i="12" s="1"/>
  <c r="L797" i="12" a="1"/>
  <c r="L797" i="12" s="1"/>
  <c r="P785" i="12" a="1"/>
  <c r="P785" i="12" s="1"/>
  <c r="O785" i="12" a="1"/>
  <c r="O785" i="12" s="1"/>
  <c r="N785" i="12" a="1"/>
  <c r="N785" i="12" s="1"/>
  <c r="M785" i="12" a="1"/>
  <c r="M785" i="12" s="1"/>
  <c r="L785" i="12" a="1"/>
  <c r="L785" i="12" s="1"/>
  <c r="Q773" i="12" a="1"/>
  <c r="Q773" i="12" s="1"/>
  <c r="P773" i="12" a="1"/>
  <c r="P773" i="12" s="1"/>
  <c r="O773" i="12" a="1"/>
  <c r="O773" i="12" s="1"/>
  <c r="N773" i="12" a="1"/>
  <c r="N773" i="12" s="1"/>
  <c r="M773" i="12" a="1"/>
  <c r="M773" i="12" s="1"/>
  <c r="L773" i="12" a="1"/>
  <c r="L773" i="12" s="1"/>
  <c r="Q761" i="12" a="1"/>
  <c r="Q761" i="12" s="1"/>
  <c r="P761" i="12" a="1"/>
  <c r="P761" i="12" s="1"/>
  <c r="O761" i="12" a="1"/>
  <c r="O761" i="12" s="1"/>
  <c r="N761" i="12" a="1"/>
  <c r="N761" i="12" s="1"/>
  <c r="M761" i="12" a="1"/>
  <c r="M761" i="12" s="1"/>
  <c r="L761" i="12" a="1"/>
  <c r="L761" i="12" s="1"/>
  <c r="Q749" i="12" a="1"/>
  <c r="Q749" i="12" s="1"/>
  <c r="P749" i="12" a="1"/>
  <c r="P749" i="12" s="1"/>
  <c r="O749" i="12" a="1"/>
  <c r="O749" i="12" s="1"/>
  <c r="N749" i="12" a="1"/>
  <c r="N749" i="12" s="1"/>
  <c r="M749" i="12" a="1"/>
  <c r="M749" i="12" s="1"/>
  <c r="L749" i="12" a="1"/>
  <c r="L749" i="12" s="1"/>
  <c r="Q737" i="12" a="1"/>
  <c r="Q737" i="12" s="1"/>
  <c r="P737" i="12" a="1"/>
  <c r="P737" i="12" s="1"/>
  <c r="O737" i="12" a="1"/>
  <c r="O737" i="12" s="1"/>
  <c r="N737" i="12" a="1"/>
  <c r="N737" i="12" s="1"/>
  <c r="M737" i="12" a="1"/>
  <c r="M737" i="12" s="1"/>
  <c r="L737" i="12" a="1"/>
  <c r="L737" i="12" s="1"/>
  <c r="P725" i="12" a="1"/>
  <c r="P725" i="12" s="1"/>
  <c r="O725" i="12" a="1"/>
  <c r="O725" i="12" s="1"/>
  <c r="N725" i="12" a="1"/>
  <c r="N725" i="12" s="1"/>
  <c r="M725" i="12" a="1"/>
  <c r="M725" i="12" s="1"/>
  <c r="L725" i="12" a="1"/>
  <c r="L725" i="12" s="1"/>
  <c r="Q713" i="12" a="1"/>
  <c r="Q713" i="12" s="1"/>
  <c r="P713" i="12" a="1"/>
  <c r="P713" i="12" s="1"/>
  <c r="O713" i="12" a="1"/>
  <c r="O713" i="12" s="1"/>
  <c r="N713" i="12" a="1"/>
  <c r="N713" i="12" s="1"/>
  <c r="M713" i="12" a="1"/>
  <c r="M713" i="12" s="1"/>
  <c r="L713" i="12" a="1"/>
  <c r="L713" i="12" s="1"/>
  <c r="Q701" i="12" a="1"/>
  <c r="Q701" i="12" s="1"/>
  <c r="P701" i="12" a="1"/>
  <c r="P701" i="12" s="1"/>
  <c r="O701" i="12" a="1"/>
  <c r="O701" i="12" s="1"/>
  <c r="N701" i="12" a="1"/>
  <c r="N701" i="12" s="1"/>
  <c r="M701" i="12" a="1"/>
  <c r="M701" i="12" s="1"/>
  <c r="L701" i="12" a="1"/>
  <c r="L701" i="12" s="1"/>
  <c r="Q689" i="12" a="1"/>
  <c r="Q689" i="12" s="1"/>
  <c r="P689" i="12" a="1"/>
  <c r="P689" i="12" s="1"/>
  <c r="O689" i="12" a="1"/>
  <c r="O689" i="12" s="1"/>
  <c r="N689" i="12" a="1"/>
  <c r="N689" i="12" s="1"/>
  <c r="M689" i="12" a="1"/>
  <c r="M689" i="12" s="1"/>
  <c r="L689" i="12" a="1"/>
  <c r="L689" i="12" s="1"/>
  <c r="P677" i="12" a="1"/>
  <c r="P677" i="12" s="1"/>
  <c r="O677" i="12" a="1"/>
  <c r="O677" i="12" s="1"/>
  <c r="N677" i="12" a="1"/>
  <c r="N677" i="12" s="1"/>
  <c r="M677" i="12" a="1"/>
  <c r="M677" i="12" s="1"/>
  <c r="L677" i="12" a="1"/>
  <c r="L677" i="12" s="1"/>
  <c r="Q665" i="12" a="1"/>
  <c r="Q665" i="12" s="1"/>
  <c r="P665" i="12" a="1"/>
  <c r="P665" i="12" s="1"/>
  <c r="O665" i="12" a="1"/>
  <c r="O665" i="12" s="1"/>
  <c r="N665" i="12" a="1"/>
  <c r="N665" i="12" s="1"/>
  <c r="M665" i="12" a="1"/>
  <c r="M665" i="12" s="1"/>
  <c r="L665" i="12" a="1"/>
  <c r="L665" i="12" s="1"/>
  <c r="P653" i="12" a="1"/>
  <c r="P653" i="12" s="1"/>
  <c r="O653" i="12" a="1"/>
  <c r="O653" i="12" s="1"/>
  <c r="N653" i="12" a="1"/>
  <c r="N653" i="12" s="1"/>
  <c r="M653" i="12" a="1"/>
  <c r="M653" i="12" s="1"/>
  <c r="L653" i="12" a="1"/>
  <c r="L653" i="12" s="1"/>
  <c r="P641" i="12" a="1"/>
  <c r="P641" i="12" s="1"/>
  <c r="O641" i="12" a="1"/>
  <c r="O641" i="12" s="1"/>
  <c r="N641" i="12" a="1"/>
  <c r="N641" i="12" s="1"/>
  <c r="M641" i="12" a="1"/>
  <c r="M641" i="12" s="1"/>
  <c r="L641" i="12" a="1"/>
  <c r="L641" i="12" s="1"/>
  <c r="P629" i="12" a="1"/>
  <c r="P629" i="12" s="1"/>
  <c r="O629" i="12" a="1"/>
  <c r="O629" i="12" s="1"/>
  <c r="N629" i="12" a="1"/>
  <c r="N629" i="12" s="1"/>
  <c r="M629" i="12" a="1"/>
  <c r="M629" i="12" s="1"/>
  <c r="L629" i="12" a="1"/>
  <c r="L629" i="12" s="1"/>
  <c r="Q617" i="12" a="1"/>
  <c r="Q617" i="12" s="1"/>
  <c r="P617" i="12" a="1"/>
  <c r="P617" i="12" s="1"/>
  <c r="O617" i="12" a="1"/>
  <c r="O617" i="12" s="1"/>
  <c r="N617" i="12" a="1"/>
  <c r="N617" i="12" s="1"/>
  <c r="M617" i="12" a="1"/>
  <c r="M617" i="12" s="1"/>
  <c r="L617" i="12" a="1"/>
  <c r="L617" i="12" s="1"/>
  <c r="P605" i="12" a="1"/>
  <c r="P605" i="12" s="1"/>
  <c r="O605" i="12" a="1"/>
  <c r="O605" i="12" s="1"/>
  <c r="N605" i="12" a="1"/>
  <c r="N605" i="12" s="1"/>
  <c r="M605" i="12" a="1"/>
  <c r="M605" i="12" s="1"/>
  <c r="L605" i="12" a="1"/>
  <c r="L605" i="12" s="1"/>
  <c r="P593" i="12" a="1"/>
  <c r="P593" i="12" s="1"/>
  <c r="O593" i="12" a="1"/>
  <c r="O593" i="12" s="1"/>
  <c r="N593" i="12" a="1"/>
  <c r="N593" i="12" s="1"/>
  <c r="M593" i="12" a="1"/>
  <c r="M593" i="12" s="1"/>
  <c r="L593" i="12" a="1"/>
  <c r="L593" i="12" s="1"/>
  <c r="Q581" i="12" a="1"/>
  <c r="Q581" i="12" s="1"/>
  <c r="P581" i="12" a="1"/>
  <c r="P581" i="12" s="1"/>
  <c r="O581" i="12" a="1"/>
  <c r="O581" i="12" s="1"/>
  <c r="N581" i="12" a="1"/>
  <c r="N581" i="12" s="1"/>
  <c r="M581" i="12" a="1"/>
  <c r="M581" i="12" s="1"/>
  <c r="L581" i="12" a="1"/>
  <c r="L581" i="12" s="1"/>
  <c r="P569" i="12" a="1"/>
  <c r="P569" i="12" s="1"/>
  <c r="O569" i="12" a="1"/>
  <c r="O569" i="12" s="1"/>
  <c r="N569" i="12" a="1"/>
  <c r="N569" i="12" s="1"/>
  <c r="M569" i="12" a="1"/>
  <c r="M569" i="12" s="1"/>
  <c r="L569" i="12" a="1"/>
  <c r="L569" i="12" s="1"/>
  <c r="Q557" i="12" a="1"/>
  <c r="Q557" i="12" s="1"/>
  <c r="P557" i="12" a="1"/>
  <c r="P557" i="12" s="1"/>
  <c r="O557" i="12" a="1"/>
  <c r="O557" i="12" s="1"/>
  <c r="N557" i="12" a="1"/>
  <c r="N557" i="12" s="1"/>
  <c r="M557" i="12" a="1"/>
  <c r="M557" i="12" s="1"/>
  <c r="L557" i="12" a="1"/>
  <c r="L557" i="12" s="1"/>
  <c r="P545" i="12" a="1"/>
  <c r="P545" i="12" s="1"/>
  <c r="O545" i="12" a="1"/>
  <c r="O545" i="12" s="1"/>
  <c r="N545" i="12" a="1"/>
  <c r="N545" i="12" s="1"/>
  <c r="M545" i="12" a="1"/>
  <c r="M545" i="12" s="1"/>
  <c r="L545" i="12" a="1"/>
  <c r="L545" i="12" s="1"/>
  <c r="P533" i="12" a="1"/>
  <c r="P533" i="12" s="1"/>
  <c r="O533" i="12" a="1"/>
  <c r="O533" i="12" s="1"/>
  <c r="N533" i="12" a="1"/>
  <c r="N533" i="12" s="1"/>
  <c r="M533" i="12" a="1"/>
  <c r="M533" i="12" s="1"/>
  <c r="L533" i="12" a="1"/>
  <c r="L533" i="12" s="1"/>
  <c r="Q521" i="12" a="1"/>
  <c r="Q521" i="12" s="1"/>
  <c r="P521" i="12" a="1"/>
  <c r="P521" i="12" s="1"/>
  <c r="O521" i="12" a="1"/>
  <c r="O521" i="12" s="1"/>
  <c r="N521" i="12" a="1"/>
  <c r="N521" i="12" s="1"/>
  <c r="M521" i="12" a="1"/>
  <c r="M521" i="12" s="1"/>
  <c r="L521" i="12" a="1"/>
  <c r="L521" i="12" s="1"/>
  <c r="P509" i="12" a="1"/>
  <c r="P509" i="12" s="1"/>
  <c r="O509" i="12" a="1"/>
  <c r="O509" i="12" s="1"/>
  <c r="N509" i="12" a="1"/>
  <c r="N509" i="12" s="1"/>
  <c r="M509" i="12" a="1"/>
  <c r="M509" i="12" s="1"/>
  <c r="L509" i="12" a="1"/>
  <c r="L509" i="12" s="1"/>
  <c r="P497" i="12" a="1"/>
  <c r="P497" i="12" s="1"/>
  <c r="O497" i="12" a="1"/>
  <c r="O497" i="12" s="1"/>
  <c r="N497" i="12" a="1"/>
  <c r="N497" i="12" s="1"/>
  <c r="M497" i="12" a="1"/>
  <c r="M497" i="12" s="1"/>
  <c r="L497" i="12" a="1"/>
  <c r="L497" i="12" s="1"/>
  <c r="P485" i="12" a="1"/>
  <c r="P485" i="12" s="1"/>
  <c r="O485" i="12" a="1"/>
  <c r="O485" i="12" s="1"/>
  <c r="N485" i="12" a="1"/>
  <c r="N485" i="12" s="1"/>
  <c r="M485" i="12" a="1"/>
  <c r="M485" i="12" s="1"/>
  <c r="L485" i="12" a="1"/>
  <c r="L485" i="12" s="1"/>
  <c r="Q473" i="12" a="1"/>
  <c r="Q473" i="12" s="1"/>
  <c r="P473" i="12" a="1"/>
  <c r="P473" i="12" s="1"/>
  <c r="O473" i="12" a="1"/>
  <c r="O473" i="12" s="1"/>
  <c r="N473" i="12" a="1"/>
  <c r="N473" i="12" s="1"/>
  <c r="M473" i="12" a="1"/>
  <c r="M473" i="12" s="1"/>
  <c r="L473" i="12" a="1"/>
  <c r="L473" i="12" s="1"/>
  <c r="Q461" i="12" a="1"/>
  <c r="Q461" i="12" s="1"/>
  <c r="P461" i="12" a="1"/>
  <c r="P461" i="12" s="1"/>
  <c r="O461" i="12" a="1"/>
  <c r="O461" i="12" s="1"/>
  <c r="N461" i="12" a="1"/>
  <c r="N461" i="12" s="1"/>
  <c r="M461" i="12" a="1"/>
  <c r="M461" i="12" s="1"/>
  <c r="L461" i="12" a="1"/>
  <c r="L461" i="12" s="1"/>
  <c r="Q449" i="12" a="1"/>
  <c r="Q449" i="12" s="1"/>
  <c r="P449" i="12" a="1"/>
  <c r="P449" i="12" s="1"/>
  <c r="O449" i="12" a="1"/>
  <c r="O449" i="12" s="1"/>
  <c r="N449" i="12" a="1"/>
  <c r="N449" i="12" s="1"/>
  <c r="M449" i="12" a="1"/>
  <c r="M449" i="12" s="1"/>
  <c r="L449" i="12" a="1"/>
  <c r="L449" i="12" s="1"/>
  <c r="Q437" i="12" a="1"/>
  <c r="Q437" i="12" s="1"/>
  <c r="P437" i="12" a="1"/>
  <c r="P437" i="12" s="1"/>
  <c r="O437" i="12" a="1"/>
  <c r="O437" i="12" s="1"/>
  <c r="N437" i="12" a="1"/>
  <c r="N437" i="12" s="1"/>
  <c r="M437" i="12" a="1"/>
  <c r="M437" i="12" s="1"/>
  <c r="L437" i="12" a="1"/>
  <c r="L437" i="12" s="1"/>
  <c r="Q425" i="12" a="1"/>
  <c r="Q425" i="12" s="1"/>
  <c r="P425" i="12" a="1"/>
  <c r="P425" i="12" s="1"/>
  <c r="O425" i="12" a="1"/>
  <c r="O425" i="12" s="1"/>
  <c r="N425" i="12" a="1"/>
  <c r="N425" i="12" s="1"/>
  <c r="M425" i="12" a="1"/>
  <c r="M425" i="12" s="1"/>
  <c r="L425" i="12" a="1"/>
  <c r="L425" i="12" s="1"/>
  <c r="P413" i="12" a="1"/>
  <c r="P413" i="12" s="1"/>
  <c r="O413" i="12" a="1"/>
  <c r="O413" i="12" s="1"/>
  <c r="N413" i="12" a="1"/>
  <c r="N413" i="12" s="1"/>
  <c r="M413" i="12" a="1"/>
  <c r="M413" i="12" s="1"/>
  <c r="L413" i="12" a="1"/>
  <c r="L413" i="12" s="1"/>
  <c r="P401" i="12" a="1"/>
  <c r="P401" i="12" s="1"/>
  <c r="O401" i="12" a="1"/>
  <c r="O401" i="12" s="1"/>
  <c r="N401" i="12" a="1"/>
  <c r="N401" i="12" s="1"/>
  <c r="M401" i="12" a="1"/>
  <c r="M401" i="12" s="1"/>
  <c r="L401" i="12" a="1"/>
  <c r="L401" i="12" s="1"/>
  <c r="P389" i="12" a="1"/>
  <c r="P389" i="12" s="1"/>
  <c r="O389" i="12" a="1"/>
  <c r="O389" i="12" s="1"/>
  <c r="N389" i="12" a="1"/>
  <c r="N389" i="12" s="1"/>
  <c r="M389" i="12" a="1"/>
  <c r="M389" i="12" s="1"/>
  <c r="L389" i="12" a="1"/>
  <c r="L389" i="12" s="1"/>
  <c r="P377" i="12" a="1"/>
  <c r="P377" i="12" s="1"/>
  <c r="O377" i="12" a="1"/>
  <c r="O377" i="12" s="1"/>
  <c r="N377" i="12" a="1"/>
  <c r="N377" i="12" s="1"/>
  <c r="M377" i="12" a="1"/>
  <c r="M377" i="12" s="1"/>
  <c r="L377" i="12" a="1"/>
  <c r="L377" i="12" s="1"/>
  <c r="P365" i="12" a="1"/>
  <c r="P365" i="12" s="1"/>
  <c r="O365" i="12" a="1"/>
  <c r="O365" i="12" s="1"/>
  <c r="N365" i="12" a="1"/>
  <c r="N365" i="12" s="1"/>
  <c r="M365" i="12" a="1"/>
  <c r="M365" i="12" s="1"/>
  <c r="L365" i="12" a="1"/>
  <c r="L365" i="12" s="1"/>
  <c r="P353" i="12" a="1"/>
  <c r="P353" i="12" s="1"/>
  <c r="O353" i="12" a="1"/>
  <c r="O353" i="12" s="1"/>
  <c r="N353" i="12" a="1"/>
  <c r="N353" i="12" s="1"/>
  <c r="M353" i="12" a="1"/>
  <c r="M353" i="12" s="1"/>
  <c r="L353" i="12" a="1"/>
  <c r="L353" i="12" s="1"/>
  <c r="P341" i="12" a="1"/>
  <c r="P341" i="12" s="1"/>
  <c r="O341" i="12" a="1"/>
  <c r="O341" i="12" s="1"/>
  <c r="N341" i="12" a="1"/>
  <c r="N341" i="12" s="1"/>
  <c r="M341" i="12" a="1"/>
  <c r="M341" i="12" s="1"/>
  <c r="L341" i="12" a="1"/>
  <c r="L341" i="12" s="1"/>
  <c r="P329" i="12" a="1"/>
  <c r="P329" i="12" s="1"/>
  <c r="O329" i="12" a="1"/>
  <c r="O329" i="12" s="1"/>
  <c r="N329" i="12" a="1"/>
  <c r="N329" i="12" s="1"/>
  <c r="M329" i="12" a="1"/>
  <c r="M329" i="12" s="1"/>
  <c r="L329" i="12" a="1"/>
  <c r="L329" i="12" s="1"/>
  <c r="P317" i="12" a="1"/>
  <c r="P317" i="12" s="1"/>
  <c r="O317" i="12" a="1"/>
  <c r="O317" i="12" s="1"/>
  <c r="N317" i="12" a="1"/>
  <c r="N317" i="12" s="1"/>
  <c r="M317" i="12" a="1"/>
  <c r="M317" i="12" s="1"/>
  <c r="L317" i="12" a="1"/>
  <c r="L317" i="12" s="1"/>
  <c r="P305" i="12" a="1"/>
  <c r="P305" i="12" s="1"/>
  <c r="O305" i="12" a="1"/>
  <c r="O305" i="12" s="1"/>
  <c r="N305" i="12" a="1"/>
  <c r="N305" i="12" s="1"/>
  <c r="M305" i="12" a="1"/>
  <c r="M305" i="12" s="1"/>
  <c r="L305" i="12" a="1"/>
  <c r="L305" i="12" s="1"/>
  <c r="P293" i="12" a="1"/>
  <c r="P293" i="12" s="1"/>
  <c r="O293" i="12" a="1"/>
  <c r="O293" i="12" s="1"/>
  <c r="N293" i="12" a="1"/>
  <c r="N293" i="12" s="1"/>
  <c r="M293" i="12" a="1"/>
  <c r="M293" i="12" s="1"/>
  <c r="L293" i="12" a="1"/>
  <c r="L293" i="12" s="1"/>
  <c r="P281" i="12" a="1"/>
  <c r="P281" i="12" s="1"/>
  <c r="O281" i="12" a="1"/>
  <c r="O281" i="12" s="1"/>
  <c r="N281" i="12" a="1"/>
  <c r="N281" i="12" s="1"/>
  <c r="M281" i="12" a="1"/>
  <c r="M281" i="12" s="1"/>
  <c r="L281" i="12" a="1"/>
  <c r="L281" i="12" s="1"/>
  <c r="P269" i="12" a="1"/>
  <c r="P269" i="12" s="1"/>
  <c r="O269" i="12" a="1"/>
  <c r="O269" i="12" s="1"/>
  <c r="N269" i="12" a="1"/>
  <c r="N269" i="12" s="1"/>
  <c r="M269" i="12" a="1"/>
  <c r="M269" i="12" s="1"/>
  <c r="L269" i="12" a="1"/>
  <c r="L269" i="12" s="1"/>
  <c r="P257" i="12" a="1"/>
  <c r="P257" i="12" s="1"/>
  <c r="O257" i="12" a="1"/>
  <c r="O257" i="12" s="1"/>
  <c r="N257" i="12" a="1"/>
  <c r="N257" i="12" s="1"/>
  <c r="M257" i="12" a="1"/>
  <c r="M257" i="12" s="1"/>
  <c r="L257" i="12" a="1"/>
  <c r="L257" i="12" s="1"/>
  <c r="P245" i="12" a="1"/>
  <c r="P245" i="12" s="1"/>
  <c r="O245" i="12" a="1"/>
  <c r="O245" i="12" s="1"/>
  <c r="N245" i="12" a="1"/>
  <c r="N245" i="12" s="1"/>
  <c r="M245" i="12" a="1"/>
  <c r="M245" i="12" s="1"/>
  <c r="L245" i="12" a="1"/>
  <c r="L245" i="12" s="1"/>
  <c r="P233" i="12" a="1"/>
  <c r="P233" i="12" s="1"/>
  <c r="O233" i="12" a="1"/>
  <c r="O233" i="12" s="1"/>
  <c r="N233" i="12" a="1"/>
  <c r="N233" i="12" s="1"/>
  <c r="M233" i="12" a="1"/>
  <c r="M233" i="12" s="1"/>
  <c r="L233" i="12" a="1"/>
  <c r="L233" i="12" s="1"/>
  <c r="P221" i="12" a="1"/>
  <c r="P221" i="12" s="1"/>
  <c r="O221" i="12" a="1"/>
  <c r="O221" i="12" s="1"/>
  <c r="N221" i="12" a="1"/>
  <c r="N221" i="12" s="1"/>
  <c r="M221" i="12" a="1"/>
  <c r="M221" i="12" s="1"/>
  <c r="L221" i="12" a="1"/>
  <c r="L221" i="12" s="1"/>
  <c r="P209" i="12" a="1"/>
  <c r="P209" i="12" s="1"/>
  <c r="O209" i="12" a="1"/>
  <c r="O209" i="12" s="1"/>
  <c r="N209" i="12" a="1"/>
  <c r="N209" i="12" s="1"/>
  <c r="M209" i="12" a="1"/>
  <c r="M209" i="12" s="1"/>
  <c r="L209" i="12" a="1"/>
  <c r="L209" i="12" s="1"/>
  <c r="P197" i="12" a="1"/>
  <c r="P197" i="12" s="1"/>
  <c r="O197" i="12" a="1"/>
  <c r="O197" i="12" s="1"/>
  <c r="N197" i="12" a="1"/>
  <c r="N197" i="12" s="1"/>
  <c r="M197" i="12" a="1"/>
  <c r="M197" i="12" s="1"/>
  <c r="L197" i="12" a="1"/>
  <c r="L197" i="12" s="1"/>
  <c r="P185" i="12" a="1"/>
  <c r="P185" i="12" s="1"/>
  <c r="O185" i="12" a="1"/>
  <c r="O185" i="12" s="1"/>
  <c r="N185" i="12" a="1"/>
  <c r="N185" i="12" s="1"/>
  <c r="M185" i="12" a="1"/>
  <c r="M185" i="12" s="1"/>
  <c r="L185" i="12" a="1"/>
  <c r="L185" i="12" s="1"/>
  <c r="P173" i="12" a="1"/>
  <c r="P173" i="12" s="1"/>
  <c r="O173" i="12" a="1"/>
  <c r="O173" i="12" s="1"/>
  <c r="N173" i="12" a="1"/>
  <c r="N173" i="12" s="1"/>
  <c r="M173" i="12" a="1"/>
  <c r="M173" i="12" s="1"/>
  <c r="L173" i="12" a="1"/>
  <c r="L173" i="12" s="1"/>
  <c r="P161" i="12" a="1"/>
  <c r="P161" i="12" s="1"/>
  <c r="O161" i="12" a="1"/>
  <c r="O161" i="12" s="1"/>
  <c r="N161" i="12" a="1"/>
  <c r="N161" i="12" s="1"/>
  <c r="M161" i="12" a="1"/>
  <c r="M161" i="12" s="1"/>
  <c r="L161" i="12" a="1"/>
  <c r="L161" i="12" s="1"/>
  <c r="P149" i="12" a="1"/>
  <c r="P149" i="12" s="1"/>
  <c r="O149" i="12" a="1"/>
  <c r="O149" i="12" s="1"/>
  <c r="N149" i="12" a="1"/>
  <c r="N149" i="12" s="1"/>
  <c r="M149" i="12" a="1"/>
  <c r="M149" i="12" s="1"/>
  <c r="L149" i="12" a="1"/>
  <c r="L149" i="12" s="1"/>
  <c r="P137" i="12" a="1"/>
  <c r="P137" i="12" s="1"/>
  <c r="O137" i="12" a="1"/>
  <c r="O137" i="12" s="1"/>
  <c r="N137" i="12" a="1"/>
  <c r="N137" i="12" s="1"/>
  <c r="M137" i="12" a="1"/>
  <c r="M137" i="12" s="1"/>
  <c r="L137" i="12" a="1"/>
  <c r="L137" i="12" s="1"/>
  <c r="P125" i="12" a="1"/>
  <c r="P125" i="12" s="1"/>
  <c r="O125" i="12" a="1"/>
  <c r="O125" i="12" s="1"/>
  <c r="N125" i="12" a="1"/>
  <c r="N125" i="12" s="1"/>
  <c r="M125" i="12" a="1"/>
  <c r="M125" i="12" s="1"/>
  <c r="L125" i="12" a="1"/>
  <c r="L125" i="12" s="1"/>
  <c r="P113" i="12" a="1"/>
  <c r="P113" i="12" s="1"/>
  <c r="O113" i="12" a="1"/>
  <c r="O113" i="12" s="1"/>
  <c r="N113" i="12" a="1"/>
  <c r="N113" i="12" s="1"/>
  <c r="M113" i="12" a="1"/>
  <c r="M113" i="12" s="1"/>
  <c r="L113" i="12" a="1"/>
  <c r="L113" i="12" s="1"/>
  <c r="P101" i="12" a="1"/>
  <c r="P101" i="12" s="1"/>
  <c r="O101" i="12" a="1"/>
  <c r="O101" i="12" s="1"/>
  <c r="N101" i="12" a="1"/>
  <c r="N101" i="12" s="1"/>
  <c r="M101" i="12" a="1"/>
  <c r="M101" i="12" s="1"/>
  <c r="L101" i="12" a="1"/>
  <c r="L101" i="12" s="1"/>
  <c r="P89" i="12" a="1"/>
  <c r="P89" i="12" s="1"/>
  <c r="O89" i="12" a="1"/>
  <c r="O89" i="12" s="1"/>
  <c r="N89" i="12" a="1"/>
  <c r="N89" i="12" s="1"/>
  <c r="M89" i="12" a="1"/>
  <c r="M89" i="12" s="1"/>
  <c r="L89" i="12" a="1"/>
  <c r="L89" i="12" s="1"/>
  <c r="Q77" i="12" a="1"/>
  <c r="Q77" i="12" s="1"/>
  <c r="P77" i="12" a="1"/>
  <c r="P77" i="12" s="1"/>
  <c r="O77" i="12" a="1"/>
  <c r="O77" i="12" s="1"/>
  <c r="N77" i="12" a="1"/>
  <c r="N77" i="12" s="1"/>
  <c r="M77" i="12" a="1"/>
  <c r="M77" i="12" s="1"/>
  <c r="L77" i="12" a="1"/>
  <c r="L77" i="12" s="1"/>
  <c r="P65" i="12" a="1"/>
  <c r="P65" i="12" s="1"/>
  <c r="O65" i="12" a="1"/>
  <c r="O65" i="12" s="1"/>
  <c r="N65" i="12" a="1"/>
  <c r="N65" i="12" s="1"/>
  <c r="M65" i="12" a="1"/>
  <c r="M65" i="12" s="1"/>
  <c r="L65" i="12" a="1"/>
  <c r="L65" i="12" s="1"/>
  <c r="M316" i="12"/>
  <c r="R35" i="18" l="1" a="1"/>
  <c r="R35" i="18" s="1"/>
  <c r="Q35" i="18" a="1"/>
  <c r="Q35" i="18" s="1"/>
  <c r="S35" i="18" s="1"/>
  <c r="R34" i="18" a="1"/>
  <c r="R34" i="18" s="1"/>
  <c r="Q34" i="18" a="1"/>
  <c r="Q34" i="18" s="1"/>
  <c r="R33" i="18" a="1"/>
  <c r="R33" i="18" s="1"/>
  <c r="Q33" i="18" a="1"/>
  <c r="Q33" i="18" s="1"/>
  <c r="Q32" i="18" a="1"/>
  <c r="Q32" i="18" s="1"/>
  <c r="R32" i="18" a="1"/>
  <c r="R32" i="18" s="1"/>
  <c r="Q185" i="12" a="1"/>
  <c r="Q185" i="12" s="1"/>
  <c r="Q641" i="12" a="1"/>
  <c r="Q641" i="12" s="1"/>
  <c r="Q629" i="12" a="1"/>
  <c r="Q629" i="12" s="1"/>
  <c r="Q605" i="12" a="1"/>
  <c r="Q605" i="12" s="1"/>
  <c r="Q89" i="12" a="1"/>
  <c r="Q89" i="12" s="1"/>
  <c r="Q317" i="12" a="1"/>
  <c r="Q317" i="12" s="1"/>
  <c r="Q305" i="12" a="1"/>
  <c r="Q305" i="12" s="1"/>
  <c r="Q125" i="12" a="1"/>
  <c r="Q125" i="12" s="1"/>
  <c r="Q149" i="12" a="1"/>
  <c r="Q149" i="12" s="1"/>
  <c r="Q173" i="12" a="1"/>
  <c r="Q173" i="12" s="1"/>
  <c r="Q113" i="12" a="1"/>
  <c r="Q113" i="12" s="1"/>
  <c r="Q569" i="12" a="1"/>
  <c r="Q569" i="12" s="1"/>
  <c r="Q353" i="12" a="1"/>
  <c r="Q353" i="12" s="1"/>
  <c r="Q677" i="12" a="1"/>
  <c r="Q677" i="12" s="1"/>
  <c r="Q725" i="12" a="1"/>
  <c r="Q725" i="12" s="1"/>
  <c r="Q593" i="12" a="1"/>
  <c r="Q593" i="12" s="1"/>
  <c r="Q269" i="12" a="1"/>
  <c r="Q269" i="12" s="1"/>
  <c r="Q281" i="12" a="1"/>
  <c r="Q281" i="12" s="1"/>
  <c r="Q257" i="12" a="1"/>
  <c r="Q257" i="12" s="1"/>
  <c r="Q533" i="12" a="1"/>
  <c r="Q533" i="12" s="1"/>
  <c r="Q245" i="12" a="1"/>
  <c r="Q245" i="12" s="1"/>
  <c r="Q197" i="12" a="1"/>
  <c r="Q197" i="12" s="1"/>
  <c r="Q221" i="12" a="1"/>
  <c r="Q221" i="12" s="1"/>
  <c r="Q233" i="12" a="1"/>
  <c r="Q233" i="12" s="1"/>
  <c r="Q509" i="12" a="1"/>
  <c r="Q509" i="12" s="1"/>
  <c r="Q497" i="12" a="1"/>
  <c r="Q497" i="12" s="1"/>
  <c r="Q413" i="12" a="1"/>
  <c r="Q413" i="12" s="1"/>
  <c r="Q389" i="12" a="1"/>
  <c r="Q389" i="12" s="1"/>
  <c r="Q821" i="12" a="1"/>
  <c r="Q821" i="12" s="1"/>
  <c r="Q377" i="12" a="1"/>
  <c r="Q377" i="12" s="1"/>
  <c r="Q845" i="12" a="1"/>
  <c r="Q845" i="12" s="1"/>
  <c r="Q833" i="12" a="1"/>
  <c r="Q833" i="12" s="1"/>
  <c r="Q785" i="12" a="1"/>
  <c r="Q785" i="12" s="1"/>
  <c r="Q653" i="12" a="1"/>
  <c r="Q653" i="12" s="1"/>
  <c r="Q545" i="12" a="1"/>
  <c r="Q545" i="12" s="1"/>
  <c r="Q485" i="12" a="1"/>
  <c r="Q485" i="12" s="1"/>
  <c r="Q401" i="12" a="1"/>
  <c r="Q401" i="12" s="1"/>
  <c r="Q341" i="12" a="1"/>
  <c r="Q341" i="12" s="1"/>
  <c r="Q329" i="12" a="1"/>
  <c r="Q329" i="12" s="1"/>
  <c r="Q293" i="12" a="1"/>
  <c r="Q293" i="12" s="1"/>
  <c r="Q209" i="12" a="1"/>
  <c r="Q209" i="12" s="1"/>
  <c r="Q161" i="12" a="1"/>
  <c r="Q161" i="12" s="1"/>
  <c r="Q137" i="12" a="1"/>
  <c r="Q137" i="12" s="1"/>
  <c r="Q101" i="12" a="1"/>
  <c r="Q101" i="12" s="1"/>
  <c r="E127" i="12"/>
  <c r="E126" i="12"/>
  <c r="E125" i="12"/>
  <c r="E124" i="12"/>
  <c r="E123" i="12"/>
  <c r="E122" i="12"/>
  <c r="E121" i="12"/>
  <c r="E120" i="12"/>
  <c r="E119" i="12"/>
  <c r="E118" i="12"/>
  <c r="E117" i="12"/>
  <c r="S34" i="18" l="1"/>
  <c r="S32" i="18"/>
  <c r="S33" i="18"/>
  <c r="C60" i="12" a="1"/>
  <c r="C60" i="12" s="1"/>
  <c r="C59" i="12" a="1"/>
  <c r="C59" i="12" s="1"/>
  <c r="D59" i="12" s="1"/>
  <c r="C58" i="12" a="1"/>
  <c r="C58" i="12" s="1"/>
  <c r="D58" i="12" s="1"/>
  <c r="C61" i="12" a="1"/>
  <c r="C61" i="12" s="1"/>
  <c r="D61" i="12" s="1"/>
  <c r="C62" i="12" a="1"/>
  <c r="C62" i="12" s="1"/>
  <c r="D62" i="12" s="1"/>
  <c r="D142" i="12"/>
  <c r="C142" i="12"/>
  <c r="D141" i="12"/>
  <c r="C141" i="12"/>
  <c r="D140" i="12"/>
  <c r="C140" i="12"/>
  <c r="D139" i="12"/>
  <c r="C139" i="12"/>
  <c r="D138" i="12"/>
  <c r="C138" i="12"/>
  <c r="D137" i="12"/>
  <c r="C137" i="12"/>
  <c r="D136" i="12"/>
  <c r="C136" i="12"/>
  <c r="M102" i="12"/>
  <c r="M97" i="12"/>
  <c r="M54" i="12"/>
  <c r="M55" i="12"/>
  <c r="M56" i="12"/>
  <c r="M57" i="12"/>
  <c r="M58" i="12"/>
  <c r="M59" i="12"/>
  <c r="M60" i="12"/>
  <c r="M61" i="12"/>
  <c r="M62" i="12"/>
  <c r="M63" i="12"/>
  <c r="M64" i="12"/>
  <c r="M66" i="12"/>
  <c r="M67" i="12"/>
  <c r="M68" i="12"/>
  <c r="M69" i="12"/>
  <c r="M70" i="12"/>
  <c r="M71" i="12"/>
  <c r="M72" i="12"/>
  <c r="M73" i="12"/>
  <c r="M74" i="12"/>
  <c r="M75" i="12"/>
  <c r="M76" i="12"/>
  <c r="M78" i="12"/>
  <c r="M79" i="12"/>
  <c r="M80" i="12"/>
  <c r="M81" i="12"/>
  <c r="M82" i="12"/>
  <c r="M83" i="12"/>
  <c r="M84" i="12"/>
  <c r="M85" i="12"/>
  <c r="M86" i="12"/>
  <c r="M87" i="12"/>
  <c r="M88" i="12"/>
  <c r="M90" i="12"/>
  <c r="M91" i="12"/>
  <c r="M92" i="12"/>
  <c r="M93" i="12"/>
  <c r="M94" i="12"/>
  <c r="M95" i="12"/>
  <c r="M96" i="12"/>
  <c r="M98" i="12"/>
  <c r="M99" i="12"/>
  <c r="M100" i="12"/>
  <c r="M103" i="12"/>
  <c r="M104" i="12"/>
  <c r="M105" i="12"/>
  <c r="M106" i="12"/>
  <c r="M107" i="12"/>
  <c r="M108" i="12"/>
  <c r="M109" i="12"/>
  <c r="M110" i="12"/>
  <c r="M111" i="12"/>
  <c r="M112" i="12"/>
  <c r="M114" i="12"/>
  <c r="M115" i="12"/>
  <c r="M116" i="12"/>
  <c r="M117" i="12"/>
  <c r="M118" i="12"/>
  <c r="M119" i="12"/>
  <c r="M120" i="12"/>
  <c r="M121" i="12"/>
  <c r="M122" i="12"/>
  <c r="M123" i="12"/>
  <c r="M124" i="12"/>
  <c r="M126" i="12"/>
  <c r="M127" i="12"/>
  <c r="M128" i="12"/>
  <c r="M129" i="12"/>
  <c r="M130" i="12"/>
  <c r="M131" i="12"/>
  <c r="M132" i="12"/>
  <c r="M133" i="12"/>
  <c r="M134" i="12"/>
  <c r="M135" i="12"/>
  <c r="M136" i="12"/>
  <c r="M138" i="12"/>
  <c r="M139" i="12"/>
  <c r="M140" i="12"/>
  <c r="M141" i="12"/>
  <c r="M142" i="12"/>
  <c r="M143" i="12"/>
  <c r="M144" i="12"/>
  <c r="M145" i="12"/>
  <c r="M146" i="12"/>
  <c r="M147" i="12"/>
  <c r="M148" i="12"/>
  <c r="M150" i="12"/>
  <c r="M151" i="12"/>
  <c r="M152" i="12"/>
  <c r="M153" i="12"/>
  <c r="M154" i="12"/>
  <c r="M155" i="12"/>
  <c r="M156" i="12"/>
  <c r="M157" i="12"/>
  <c r="M158" i="12"/>
  <c r="M159" i="12"/>
  <c r="M160" i="12"/>
  <c r="M162" i="12"/>
  <c r="M163" i="12"/>
  <c r="M164" i="12"/>
  <c r="M165" i="12"/>
  <c r="M166" i="12"/>
  <c r="M167" i="12"/>
  <c r="M168" i="12"/>
  <c r="M169" i="12"/>
  <c r="M170" i="12"/>
  <c r="M171" i="12"/>
  <c r="M172" i="12"/>
  <c r="M174" i="12"/>
  <c r="M175" i="12"/>
  <c r="M176" i="12"/>
  <c r="M177" i="12"/>
  <c r="M178" i="12"/>
  <c r="M179" i="12"/>
  <c r="M180" i="12"/>
  <c r="M181" i="12"/>
  <c r="M182" i="12"/>
  <c r="M183" i="12"/>
  <c r="M184" i="12"/>
  <c r="M186" i="12"/>
  <c r="M187" i="12"/>
  <c r="M188" i="12"/>
  <c r="M189" i="12"/>
  <c r="M190" i="12"/>
  <c r="M191" i="12"/>
  <c r="M192" i="12"/>
  <c r="M193" i="12"/>
  <c r="M194" i="12"/>
  <c r="M195" i="12"/>
  <c r="M196" i="12"/>
  <c r="M198" i="12"/>
  <c r="M199" i="12"/>
  <c r="M200" i="12"/>
  <c r="M201" i="12"/>
  <c r="M202" i="12"/>
  <c r="M203" i="12"/>
  <c r="M204" i="12"/>
  <c r="M205" i="12"/>
  <c r="M206" i="12"/>
  <c r="M207" i="12"/>
  <c r="M208" i="12"/>
  <c r="M210" i="12"/>
  <c r="M211" i="12"/>
  <c r="M212" i="12"/>
  <c r="M213" i="12"/>
  <c r="M214" i="12"/>
  <c r="M215" i="12"/>
  <c r="M216" i="12"/>
  <c r="M217" i="12"/>
  <c r="M218" i="12"/>
  <c r="M219" i="12"/>
  <c r="M220" i="12"/>
  <c r="M222" i="12"/>
  <c r="M223" i="12"/>
  <c r="M224" i="12"/>
  <c r="M225" i="12"/>
  <c r="M226" i="12"/>
  <c r="M227" i="12"/>
  <c r="M228" i="12"/>
  <c r="M229" i="12"/>
  <c r="M230" i="12"/>
  <c r="M231" i="12"/>
  <c r="M232" i="12"/>
  <c r="M234" i="12"/>
  <c r="M235" i="12"/>
  <c r="M236" i="12"/>
  <c r="M237" i="12"/>
  <c r="M238" i="12"/>
  <c r="M239" i="12"/>
  <c r="M240" i="12"/>
  <c r="M241" i="12"/>
  <c r="M242" i="12"/>
  <c r="M243" i="12"/>
  <c r="M244" i="12"/>
  <c r="M246" i="12"/>
  <c r="M247" i="12"/>
  <c r="M248" i="12"/>
  <c r="M249" i="12"/>
  <c r="M250" i="12"/>
  <c r="M251" i="12"/>
  <c r="M252" i="12"/>
  <c r="M253" i="12"/>
  <c r="M254" i="12"/>
  <c r="M255" i="12"/>
  <c r="M256" i="12"/>
  <c r="M258" i="12"/>
  <c r="M259" i="12"/>
  <c r="M260" i="12"/>
  <c r="M261" i="12"/>
  <c r="M262" i="12"/>
  <c r="M263" i="12"/>
  <c r="M264" i="12"/>
  <c r="M265" i="12"/>
  <c r="M266" i="12"/>
  <c r="M267" i="12"/>
  <c r="M268" i="12"/>
  <c r="M270" i="12"/>
  <c r="M271" i="12"/>
  <c r="M272" i="12"/>
  <c r="M273" i="12"/>
  <c r="M274" i="12"/>
  <c r="M275" i="12"/>
  <c r="M276" i="12"/>
  <c r="M277" i="12"/>
  <c r="M278" i="12"/>
  <c r="M279" i="12"/>
  <c r="M280" i="12"/>
  <c r="M282" i="12"/>
  <c r="M283" i="12"/>
  <c r="M284" i="12"/>
  <c r="M285" i="12"/>
  <c r="M286" i="12"/>
  <c r="M287" i="12"/>
  <c r="M288" i="12"/>
  <c r="M289" i="12"/>
  <c r="M290" i="12"/>
  <c r="M291" i="12"/>
  <c r="M292" i="12"/>
  <c r="M294" i="12"/>
  <c r="M295" i="12"/>
  <c r="M296" i="12"/>
  <c r="M297" i="12"/>
  <c r="M298" i="12"/>
  <c r="M299" i="12"/>
  <c r="M300" i="12"/>
  <c r="M301" i="12"/>
  <c r="M302" i="12"/>
  <c r="M303" i="12"/>
  <c r="M304" i="12"/>
  <c r="M306" i="12"/>
  <c r="M307" i="12"/>
  <c r="M308" i="12"/>
  <c r="M309" i="12"/>
  <c r="M310" i="12"/>
  <c r="M311" i="12"/>
  <c r="M312" i="12"/>
  <c r="M313" i="12"/>
  <c r="M314" i="12"/>
  <c r="M315" i="12"/>
  <c r="M318" i="12"/>
  <c r="M319" i="12"/>
  <c r="M320" i="12"/>
  <c r="M321" i="12"/>
  <c r="M322" i="12"/>
  <c r="M323" i="12"/>
  <c r="M324" i="12"/>
  <c r="M325" i="12"/>
  <c r="M326" i="12"/>
  <c r="M327" i="12"/>
  <c r="M328" i="12"/>
  <c r="M330" i="12"/>
  <c r="M331" i="12"/>
  <c r="M332" i="12"/>
  <c r="M333" i="12"/>
  <c r="M334" i="12"/>
  <c r="M335" i="12"/>
  <c r="M336" i="12"/>
  <c r="M337" i="12"/>
  <c r="M338" i="12"/>
  <c r="M339" i="12"/>
  <c r="M340" i="12"/>
  <c r="M342" i="12"/>
  <c r="M343" i="12"/>
  <c r="M344" i="12"/>
  <c r="M345" i="12"/>
  <c r="M346" i="12"/>
  <c r="M347" i="12"/>
  <c r="M348" i="12"/>
  <c r="M349" i="12"/>
  <c r="M350" i="12"/>
  <c r="M351" i="12"/>
  <c r="M352" i="12"/>
  <c r="M354" i="12"/>
  <c r="M355" i="12"/>
  <c r="M356" i="12"/>
  <c r="M357" i="12"/>
  <c r="M358" i="12"/>
  <c r="M359" i="12"/>
  <c r="M360" i="12"/>
  <c r="M361" i="12"/>
  <c r="M362" i="12"/>
  <c r="M363" i="12"/>
  <c r="M364" i="12"/>
  <c r="M366" i="12"/>
  <c r="M367" i="12"/>
  <c r="M368" i="12"/>
  <c r="M369" i="12"/>
  <c r="M370" i="12"/>
  <c r="M371" i="12"/>
  <c r="M372" i="12"/>
  <c r="M373" i="12"/>
  <c r="M374" i="12"/>
  <c r="M375" i="12"/>
  <c r="M376" i="12"/>
  <c r="M378" i="12"/>
  <c r="M379" i="12"/>
  <c r="M380" i="12"/>
  <c r="M381" i="12"/>
  <c r="M382" i="12"/>
  <c r="M383" i="12"/>
  <c r="M384" i="12"/>
  <c r="M385" i="12"/>
  <c r="M386" i="12"/>
  <c r="M387" i="12"/>
  <c r="M388" i="12"/>
  <c r="M390" i="12"/>
  <c r="M391" i="12"/>
  <c r="M392" i="12"/>
  <c r="M393" i="12"/>
  <c r="M394" i="12"/>
  <c r="M395" i="12"/>
  <c r="M396" i="12"/>
  <c r="M397" i="12"/>
  <c r="M398" i="12"/>
  <c r="M399" i="12"/>
  <c r="M400" i="12"/>
  <c r="M402" i="12"/>
  <c r="M403" i="12"/>
  <c r="M404" i="12"/>
  <c r="M405" i="12"/>
  <c r="M406" i="12"/>
  <c r="M407" i="12"/>
  <c r="M408" i="12"/>
  <c r="M409" i="12"/>
  <c r="M410" i="12"/>
  <c r="M411" i="12"/>
  <c r="M412" i="12"/>
  <c r="M414" i="12"/>
  <c r="M415" i="12"/>
  <c r="M416" i="12"/>
  <c r="M417" i="12"/>
  <c r="M418" i="12"/>
  <c r="M419" i="12"/>
  <c r="M420" i="12"/>
  <c r="M421" i="12"/>
  <c r="M422" i="12"/>
  <c r="M423" i="12"/>
  <c r="M424" i="12"/>
  <c r="M426" i="12"/>
  <c r="M427" i="12"/>
  <c r="M428" i="12"/>
  <c r="M429" i="12"/>
  <c r="M430" i="12"/>
  <c r="M431" i="12"/>
  <c r="M432" i="12"/>
  <c r="M433" i="12"/>
  <c r="M434" i="12"/>
  <c r="M435" i="12"/>
  <c r="M436" i="12"/>
  <c r="M438" i="12"/>
  <c r="M439" i="12"/>
  <c r="M440" i="12"/>
  <c r="M441" i="12"/>
  <c r="M442" i="12"/>
  <c r="M443" i="12"/>
  <c r="M444" i="12"/>
  <c r="M445" i="12"/>
  <c r="M446" i="12"/>
  <c r="M447" i="12"/>
  <c r="M448" i="12"/>
  <c r="M450" i="12"/>
  <c r="M451" i="12"/>
  <c r="M452" i="12"/>
  <c r="M453" i="12"/>
  <c r="M454" i="12"/>
  <c r="M455" i="12"/>
  <c r="M456" i="12"/>
  <c r="M457" i="12"/>
  <c r="M458" i="12"/>
  <c r="M459" i="12"/>
  <c r="M460" i="12"/>
  <c r="M462" i="12"/>
  <c r="M463" i="12"/>
  <c r="M464" i="12"/>
  <c r="M465" i="12"/>
  <c r="M466" i="12"/>
  <c r="M467" i="12"/>
  <c r="M468" i="12"/>
  <c r="M469" i="12"/>
  <c r="M470" i="12"/>
  <c r="M471" i="12"/>
  <c r="M472" i="12"/>
  <c r="M474" i="12"/>
  <c r="M475" i="12"/>
  <c r="M476" i="12"/>
  <c r="M477" i="12"/>
  <c r="M478" i="12"/>
  <c r="M479" i="12"/>
  <c r="M480" i="12"/>
  <c r="M481" i="12"/>
  <c r="M482" i="12"/>
  <c r="M483" i="12"/>
  <c r="M484" i="12"/>
  <c r="M486" i="12"/>
  <c r="M487" i="12"/>
  <c r="M488" i="12"/>
  <c r="M489" i="12"/>
  <c r="M490" i="12"/>
  <c r="M491" i="12"/>
  <c r="M492" i="12"/>
  <c r="M493" i="12"/>
  <c r="M494" i="12"/>
  <c r="M495" i="12"/>
  <c r="M496" i="12"/>
  <c r="M498" i="12"/>
  <c r="M499" i="12"/>
  <c r="M500" i="12"/>
  <c r="M501" i="12"/>
  <c r="M502" i="12"/>
  <c r="M503" i="12"/>
  <c r="M504" i="12"/>
  <c r="M505" i="12"/>
  <c r="M506" i="12"/>
  <c r="M507" i="12"/>
  <c r="M508" i="12"/>
  <c r="M510" i="12"/>
  <c r="M511" i="12"/>
  <c r="M512" i="12"/>
  <c r="M513" i="12"/>
  <c r="M514" i="12"/>
  <c r="M515" i="12"/>
  <c r="M516" i="12"/>
  <c r="M517" i="12"/>
  <c r="M518" i="12"/>
  <c r="M519" i="12"/>
  <c r="M520" i="12"/>
  <c r="M522" i="12"/>
  <c r="M523" i="12"/>
  <c r="M524" i="12"/>
  <c r="M525" i="12"/>
  <c r="M526" i="12"/>
  <c r="M527" i="12"/>
  <c r="M528" i="12"/>
  <c r="M529" i="12"/>
  <c r="M530" i="12"/>
  <c r="M531" i="12"/>
  <c r="M532" i="12"/>
  <c r="M534" i="12"/>
  <c r="M535" i="12"/>
  <c r="M536" i="12"/>
  <c r="M537" i="12"/>
  <c r="M538" i="12"/>
  <c r="M539" i="12"/>
  <c r="M540" i="12"/>
  <c r="M541" i="12"/>
  <c r="M542" i="12"/>
  <c r="M543" i="12"/>
  <c r="M544" i="12"/>
  <c r="M546" i="12"/>
  <c r="M547" i="12"/>
  <c r="M548" i="12"/>
  <c r="M549" i="12"/>
  <c r="M550" i="12"/>
  <c r="M551" i="12"/>
  <c r="M552" i="12"/>
  <c r="M553" i="12"/>
  <c r="M554" i="12"/>
  <c r="M555" i="12"/>
  <c r="M556" i="12"/>
  <c r="M558" i="12"/>
  <c r="M559" i="12"/>
  <c r="M560" i="12"/>
  <c r="M561" i="12"/>
  <c r="M562" i="12"/>
  <c r="M563" i="12"/>
  <c r="M564" i="12"/>
  <c r="M565" i="12"/>
  <c r="M566" i="12"/>
  <c r="M567" i="12"/>
  <c r="M568" i="12"/>
  <c r="M570" i="12"/>
  <c r="M571" i="12"/>
  <c r="M572" i="12"/>
  <c r="M573" i="12"/>
  <c r="M574" i="12"/>
  <c r="M575" i="12"/>
  <c r="M576" i="12"/>
  <c r="M577" i="12"/>
  <c r="M578" i="12"/>
  <c r="M579" i="12"/>
  <c r="M580" i="12"/>
  <c r="M582" i="12"/>
  <c r="M583" i="12"/>
  <c r="M584" i="12"/>
  <c r="M585" i="12"/>
  <c r="M586" i="12"/>
  <c r="M587" i="12"/>
  <c r="M588" i="12"/>
  <c r="M589" i="12"/>
  <c r="M590" i="12"/>
  <c r="M591" i="12"/>
  <c r="M592" i="12"/>
  <c r="M594" i="12"/>
  <c r="M595" i="12"/>
  <c r="M596" i="12"/>
  <c r="M597" i="12"/>
  <c r="M598" i="12"/>
  <c r="M599" i="12"/>
  <c r="M600" i="12"/>
  <c r="M601" i="12"/>
  <c r="M602" i="12"/>
  <c r="M603" i="12"/>
  <c r="M604" i="12"/>
  <c r="M606" i="12"/>
  <c r="M607" i="12"/>
  <c r="M608" i="12"/>
  <c r="M609" i="12"/>
  <c r="M610" i="12"/>
  <c r="M611" i="12"/>
  <c r="M612" i="12"/>
  <c r="M613" i="12"/>
  <c r="M614" i="12"/>
  <c r="M615" i="12"/>
  <c r="M616" i="12"/>
  <c r="M618" i="12"/>
  <c r="M619" i="12"/>
  <c r="M620" i="12"/>
  <c r="M621" i="12"/>
  <c r="M622" i="12"/>
  <c r="M623" i="12"/>
  <c r="M624" i="12"/>
  <c r="M625" i="12"/>
  <c r="M626" i="12"/>
  <c r="M627" i="12"/>
  <c r="M628" i="12"/>
  <c r="M630" i="12"/>
  <c r="M631" i="12"/>
  <c r="M632" i="12"/>
  <c r="M633" i="12"/>
  <c r="M634" i="12"/>
  <c r="M635" i="12"/>
  <c r="M636" i="12"/>
  <c r="M637" i="12"/>
  <c r="M638" i="12"/>
  <c r="M639" i="12"/>
  <c r="M640" i="12"/>
  <c r="M642" i="12"/>
  <c r="M643" i="12"/>
  <c r="M644" i="12"/>
  <c r="M645" i="12"/>
  <c r="M646" i="12"/>
  <c r="M647" i="12"/>
  <c r="M648" i="12"/>
  <c r="M649" i="12"/>
  <c r="M650" i="12"/>
  <c r="M651" i="12"/>
  <c r="M652" i="12"/>
  <c r="M654" i="12"/>
  <c r="M655" i="12"/>
  <c r="M656" i="12"/>
  <c r="M657" i="12"/>
  <c r="M658" i="12"/>
  <c r="M659" i="12"/>
  <c r="M660" i="12"/>
  <c r="M661" i="12"/>
  <c r="M662" i="12"/>
  <c r="M663" i="12"/>
  <c r="M664" i="12"/>
  <c r="M666" i="12"/>
  <c r="M667" i="12"/>
  <c r="M668" i="12"/>
  <c r="M669" i="12"/>
  <c r="M670" i="12"/>
  <c r="M671" i="12"/>
  <c r="M672" i="12"/>
  <c r="M673" i="12"/>
  <c r="M674" i="12"/>
  <c r="M675" i="12"/>
  <c r="M676" i="12"/>
  <c r="M678" i="12"/>
  <c r="M679" i="12"/>
  <c r="M680" i="12"/>
  <c r="M681" i="12"/>
  <c r="M682" i="12"/>
  <c r="M683" i="12"/>
  <c r="M684" i="12"/>
  <c r="M685" i="12"/>
  <c r="M686" i="12"/>
  <c r="M687" i="12"/>
  <c r="M688" i="12"/>
  <c r="M690" i="12"/>
  <c r="M691" i="12"/>
  <c r="M692" i="12"/>
  <c r="M693" i="12"/>
  <c r="M694" i="12"/>
  <c r="M695" i="12"/>
  <c r="M696" i="12"/>
  <c r="M697" i="12"/>
  <c r="M698" i="12"/>
  <c r="M699" i="12"/>
  <c r="M700" i="12"/>
  <c r="M702" i="12"/>
  <c r="M703" i="12"/>
  <c r="M704" i="12"/>
  <c r="M705" i="12"/>
  <c r="M706" i="12"/>
  <c r="M707" i="12"/>
  <c r="M708" i="12"/>
  <c r="M709" i="12"/>
  <c r="M710" i="12"/>
  <c r="M711" i="12"/>
  <c r="M712" i="12"/>
  <c r="M714" i="12"/>
  <c r="M715" i="12"/>
  <c r="M716" i="12"/>
  <c r="M717" i="12"/>
  <c r="M718" i="12"/>
  <c r="M719" i="12"/>
  <c r="M720" i="12"/>
  <c r="M721" i="12"/>
  <c r="M722" i="12"/>
  <c r="M723" i="12"/>
  <c r="M724" i="12"/>
  <c r="M726" i="12"/>
  <c r="M727" i="12"/>
  <c r="M728" i="12"/>
  <c r="M729" i="12"/>
  <c r="M730" i="12"/>
  <c r="M731" i="12"/>
  <c r="M732" i="12"/>
  <c r="M733" i="12"/>
  <c r="M734" i="12"/>
  <c r="M735" i="12"/>
  <c r="M736" i="12"/>
  <c r="M738" i="12"/>
  <c r="M739" i="12"/>
  <c r="M740" i="12"/>
  <c r="M741" i="12"/>
  <c r="M742" i="12"/>
  <c r="M743" i="12"/>
  <c r="M744" i="12"/>
  <c r="M745" i="12"/>
  <c r="M746" i="12"/>
  <c r="M747" i="12"/>
  <c r="M748" i="12"/>
  <c r="M750" i="12"/>
  <c r="M751" i="12"/>
  <c r="M752" i="12"/>
  <c r="M753" i="12"/>
  <c r="M754" i="12"/>
  <c r="M755" i="12"/>
  <c r="M756" i="12"/>
  <c r="M757" i="12"/>
  <c r="M758" i="12"/>
  <c r="M759" i="12"/>
  <c r="M760" i="12"/>
  <c r="M762" i="12"/>
  <c r="M763" i="12"/>
  <c r="M764" i="12"/>
  <c r="M765" i="12"/>
  <c r="M766" i="12"/>
  <c r="M767" i="12"/>
  <c r="M768" i="12"/>
  <c r="M769" i="12"/>
  <c r="M770" i="12"/>
  <c r="M771" i="12"/>
  <c r="M772" i="12"/>
  <c r="M774" i="12"/>
  <c r="M775" i="12"/>
  <c r="M776" i="12"/>
  <c r="M777" i="12"/>
  <c r="M778" i="12"/>
  <c r="M779" i="12"/>
  <c r="M780" i="12"/>
  <c r="M781" i="12"/>
  <c r="M782" i="12"/>
  <c r="M783" i="12"/>
  <c r="M784" i="12"/>
  <c r="M786" i="12"/>
  <c r="M787" i="12"/>
  <c r="M788" i="12"/>
  <c r="M789" i="12"/>
  <c r="M790" i="12"/>
  <c r="M791" i="12"/>
  <c r="M792" i="12"/>
  <c r="M793" i="12"/>
  <c r="M794" i="12"/>
  <c r="M795" i="12"/>
  <c r="M796" i="12"/>
  <c r="M798" i="12"/>
  <c r="M799" i="12"/>
  <c r="M800" i="12"/>
  <c r="M801" i="12"/>
  <c r="M802" i="12"/>
  <c r="M803" i="12"/>
  <c r="M804" i="12"/>
  <c r="M805" i="12"/>
  <c r="M806" i="12"/>
  <c r="M807" i="12"/>
  <c r="M808" i="12"/>
  <c r="M810" i="12"/>
  <c r="M811" i="12"/>
  <c r="M812" i="12"/>
  <c r="M813" i="12"/>
  <c r="M814" i="12"/>
  <c r="M815" i="12"/>
  <c r="M816" i="12"/>
  <c r="M817" i="12"/>
  <c r="M818" i="12"/>
  <c r="M819" i="12"/>
  <c r="M820" i="12"/>
  <c r="M822" i="12"/>
  <c r="M823" i="12"/>
  <c r="M824" i="12"/>
  <c r="M825" i="12"/>
  <c r="M826" i="12"/>
  <c r="M827" i="12"/>
  <c r="M828" i="12"/>
  <c r="M829" i="12"/>
  <c r="M830" i="12"/>
  <c r="M831" i="12"/>
  <c r="M832" i="12"/>
  <c r="M834" i="12"/>
  <c r="M835" i="12"/>
  <c r="M836" i="12"/>
  <c r="M837" i="12"/>
  <c r="M838" i="12"/>
  <c r="M839" i="12"/>
  <c r="M840" i="12"/>
  <c r="M841" i="12"/>
  <c r="M842" i="12"/>
  <c r="M843" i="12"/>
  <c r="M844" i="12"/>
  <c r="M846" i="12"/>
  <c r="M847" i="12"/>
  <c r="M848" i="12"/>
  <c r="M849" i="12"/>
  <c r="M850" i="12"/>
  <c r="M851" i="12"/>
  <c r="M852" i="12"/>
  <c r="M853" i="12"/>
  <c r="M854" i="12"/>
  <c r="M855" i="12"/>
  <c r="M856" i="12"/>
  <c r="AB12" i="18"/>
  <c r="AB11" i="18"/>
  <c r="AB10" i="18"/>
  <c r="AB9" i="18"/>
  <c r="AB8" i="18"/>
  <c r="AB7" i="18"/>
  <c r="AB6" i="18"/>
  <c r="AB5" i="18"/>
  <c r="AB4" i="18"/>
  <c r="AB3" i="18"/>
  <c r="AB2" i="18"/>
  <c r="U3" i="18"/>
  <c r="U4" i="18" s="1"/>
  <c r="U5" i="18" s="1"/>
  <c r="U6" i="18" s="1"/>
  <c r="U7" i="18" s="1"/>
  <c r="U8" i="18" s="1"/>
  <c r="U9" i="18" s="1"/>
  <c r="U10" i="18" s="1"/>
  <c r="U11" i="18" s="1"/>
  <c r="U12" i="18" s="1"/>
  <c r="AA12" i="18"/>
  <c r="Z12" i="18"/>
  <c r="Y12" i="18"/>
  <c r="X12" i="18"/>
  <c r="AA11" i="18"/>
  <c r="Z11" i="18"/>
  <c r="Y11" i="18"/>
  <c r="X11" i="18"/>
  <c r="AA10" i="18"/>
  <c r="Z10" i="18"/>
  <c r="Y10" i="18"/>
  <c r="X10" i="18"/>
  <c r="AA9" i="18"/>
  <c r="Z9" i="18"/>
  <c r="Y9" i="18"/>
  <c r="X9" i="18"/>
  <c r="AA8" i="18"/>
  <c r="Z8" i="18"/>
  <c r="Y8" i="18"/>
  <c r="X8" i="18"/>
  <c r="AA7" i="18"/>
  <c r="Z7" i="18"/>
  <c r="Y7" i="18"/>
  <c r="X7" i="18"/>
  <c r="AA6" i="18"/>
  <c r="Z6" i="18"/>
  <c r="Y6" i="18"/>
  <c r="X6" i="18"/>
  <c r="AA5" i="18"/>
  <c r="Z5" i="18"/>
  <c r="Y5" i="18"/>
  <c r="X5" i="18"/>
  <c r="AA4" i="18"/>
  <c r="Z4" i="18"/>
  <c r="Y4" i="18"/>
  <c r="X4" i="18"/>
  <c r="AA3" i="18"/>
  <c r="Z3" i="18"/>
  <c r="Y3" i="18"/>
  <c r="X3" i="18"/>
  <c r="AA2" i="18"/>
  <c r="Z2" i="18"/>
  <c r="Y2" i="18"/>
  <c r="X2" i="18"/>
  <c r="D3" i="18"/>
  <c r="D4" i="18"/>
  <c r="D5" i="18"/>
  <c r="D6" i="18"/>
  <c r="D7" i="18"/>
  <c r="D8" i="18"/>
  <c r="D9" i="18"/>
  <c r="D10" i="18"/>
  <c r="D11" i="18"/>
  <c r="D12" i="18"/>
  <c r="D13" i="18"/>
  <c r="D14" i="18"/>
  <c r="D15" i="18"/>
  <c r="D16" i="18"/>
  <c r="D17" i="18"/>
  <c r="D18" i="18"/>
  <c r="D19" i="18"/>
  <c r="D20" i="18"/>
  <c r="D21" i="18"/>
  <c r="D22" i="18"/>
  <c r="D23" i="18"/>
  <c r="D24" i="18"/>
  <c r="D25" i="18"/>
  <c r="D26" i="18"/>
  <c r="D27" i="18"/>
  <c r="D28" i="18"/>
  <c r="D29" i="18"/>
  <c r="D30" i="18"/>
  <c r="D31" i="18"/>
  <c r="D36" i="18"/>
  <c r="D37" i="18"/>
  <c r="D38" i="18"/>
  <c r="D39" i="18"/>
  <c r="D40" i="18"/>
  <c r="D41" i="18"/>
  <c r="D42" i="18"/>
  <c r="D43" i="18"/>
  <c r="D44" i="18"/>
  <c r="D45" i="18"/>
  <c r="D46" i="18"/>
  <c r="D47" i="18"/>
  <c r="D48" i="18"/>
  <c r="D49" i="18"/>
  <c r="D50" i="18"/>
  <c r="D51" i="18"/>
  <c r="D52" i="18"/>
  <c r="D53" i="18"/>
  <c r="D54" i="18"/>
  <c r="D55" i="18"/>
  <c r="D56" i="18"/>
  <c r="D57" i="18"/>
  <c r="D58" i="18"/>
  <c r="D59" i="18"/>
  <c r="D60" i="18"/>
  <c r="D61" i="18"/>
  <c r="D62" i="18"/>
  <c r="D63" i="18"/>
  <c r="D64" i="18"/>
  <c r="D65" i="18"/>
  <c r="D66" i="18"/>
  <c r="D67" i="18"/>
  <c r="D68" i="18"/>
  <c r="D2" i="18"/>
  <c r="W11" i="18" s="1"/>
  <c r="C57" i="12" a="1"/>
  <c r="C57" i="12" s="1"/>
  <c r="D57" i="12" s="1"/>
  <c r="C56" i="12" a="1"/>
  <c r="C56" i="12" s="1"/>
  <c r="D56" i="12" s="1"/>
  <c r="D60" i="12" l="1"/>
  <c r="Y68" i="12" a="1"/>
  <c r="Y68" i="12" s="1"/>
  <c r="Y67" i="12" a="1"/>
  <c r="Y67" i="12" s="1"/>
  <c r="W2" i="18"/>
  <c r="W12" i="18"/>
  <c r="W3" i="18"/>
  <c r="W4" i="18"/>
  <c r="W5" i="18"/>
  <c r="W6" i="18"/>
  <c r="W7" i="18"/>
  <c r="W8" i="18"/>
  <c r="W9" i="18"/>
  <c r="W10" i="18"/>
  <c r="W34" i="12" l="1"/>
  <c r="T39" i="12" l="1"/>
  <c r="T40" i="12"/>
  <c r="T41" i="12"/>
  <c r="T42" i="12"/>
  <c r="T43" i="12"/>
  <c r="T44" i="12"/>
  <c r="T45" i="12"/>
  <c r="T46" i="12"/>
  <c r="T47" i="12"/>
  <c r="T48" i="12"/>
  <c r="T49" i="12"/>
  <c r="T50" i="12"/>
  <c r="S39" i="12"/>
  <c r="S40" i="12"/>
  <c r="S41" i="12"/>
  <c r="S42" i="12"/>
  <c r="S43" i="12"/>
  <c r="S44" i="12"/>
  <c r="S45" i="12"/>
  <c r="S46" i="12"/>
  <c r="S47" i="12"/>
  <c r="S48" i="12"/>
  <c r="S49" i="12"/>
  <c r="S50" i="12"/>
  <c r="O19" i="12"/>
  <c r="O18" i="12"/>
  <c r="O17" i="12"/>
  <c r="O16" i="12"/>
  <c r="O15" i="12"/>
  <c r="O14" i="12"/>
  <c r="O13" i="12"/>
  <c r="O12" i="12"/>
  <c r="O11" i="12"/>
  <c r="O10" i="12"/>
  <c r="O9" i="12"/>
  <c r="O8" i="12"/>
  <c r="R39" i="12" l="1"/>
  <c r="R40" i="12"/>
  <c r="R41" i="12"/>
  <c r="R42" i="12"/>
  <c r="R43" i="12"/>
  <c r="R44" i="12"/>
  <c r="R45" i="12"/>
  <c r="R46" i="12"/>
  <c r="R47" i="12"/>
  <c r="R48" i="12"/>
  <c r="R49" i="12"/>
  <c r="R50" i="12"/>
  <c r="Q39" i="12"/>
  <c r="Q40" i="12"/>
  <c r="Q41" i="12"/>
  <c r="Q42" i="12"/>
  <c r="Q43" i="12"/>
  <c r="Q44" i="12"/>
  <c r="Q45" i="12"/>
  <c r="Q46" i="12"/>
  <c r="Q47" i="12"/>
  <c r="Q48" i="12"/>
  <c r="Q49" i="12"/>
  <c r="Q50" i="12"/>
  <c r="Z24" i="12"/>
  <c r="Z25" i="12"/>
  <c r="Z26" i="12"/>
  <c r="Z27" i="12"/>
  <c r="Z28" i="12"/>
  <c r="Z29" i="12"/>
  <c r="Z30" i="12"/>
  <c r="Z31" i="12"/>
  <c r="Z32" i="12"/>
  <c r="Z33" i="12"/>
  <c r="Z34" i="12"/>
  <c r="Z35" i="12"/>
  <c r="Y24" i="12"/>
  <c r="Y25" i="12"/>
  <c r="Y26" i="12"/>
  <c r="Y27" i="12"/>
  <c r="Y28" i="12"/>
  <c r="Y29" i="12"/>
  <c r="Y30" i="12"/>
  <c r="Y31" i="12"/>
  <c r="Y32" i="12"/>
  <c r="Y33" i="12"/>
  <c r="Y34" i="12"/>
  <c r="Y35" i="12"/>
  <c r="X24" i="12"/>
  <c r="X25" i="12"/>
  <c r="X26" i="12"/>
  <c r="X27" i="12"/>
  <c r="X28" i="12"/>
  <c r="X29" i="12"/>
  <c r="X30" i="12"/>
  <c r="X31" i="12"/>
  <c r="X32" i="12"/>
  <c r="X33" i="12"/>
  <c r="X34" i="12"/>
  <c r="X35" i="12"/>
  <c r="W24" i="12"/>
  <c r="W25" i="12"/>
  <c r="W26" i="12"/>
  <c r="W27" i="12"/>
  <c r="W28" i="12"/>
  <c r="W29" i="12"/>
  <c r="W30" i="12"/>
  <c r="W31" i="12"/>
  <c r="W32" i="12"/>
  <c r="W33" i="12"/>
  <c r="W35" i="12"/>
  <c r="V24" i="12"/>
  <c r="V25" i="12"/>
  <c r="V26" i="12"/>
  <c r="V27" i="12"/>
  <c r="V28" i="12"/>
  <c r="V29" i="12"/>
  <c r="V30" i="12"/>
  <c r="V31" i="12"/>
  <c r="V32" i="12"/>
  <c r="V33" i="12"/>
  <c r="V34" i="12"/>
  <c r="V35" i="12"/>
  <c r="U24" i="12"/>
  <c r="U25" i="12"/>
  <c r="U26" i="12"/>
  <c r="U27" i="12"/>
  <c r="U28" i="12"/>
  <c r="U29" i="12"/>
  <c r="U30" i="12"/>
  <c r="U31" i="12"/>
  <c r="U32" i="12"/>
  <c r="U33" i="12"/>
  <c r="U34" i="12"/>
  <c r="U35" i="12"/>
  <c r="AA15" i="12"/>
  <c r="V15" i="12"/>
  <c r="C39" i="12"/>
  <c r="P50" i="12"/>
  <c r="P49" i="12"/>
  <c r="P48" i="12"/>
  <c r="P47" i="12"/>
  <c r="P46" i="12"/>
  <c r="P45" i="12"/>
  <c r="P44" i="12"/>
  <c r="P43" i="12"/>
  <c r="P42" i="12"/>
  <c r="P41" i="12"/>
  <c r="P40" i="12"/>
  <c r="P39" i="12"/>
  <c r="N50" i="12"/>
  <c r="N49" i="12"/>
  <c r="N48" i="12"/>
  <c r="N47" i="12"/>
  <c r="N46" i="12"/>
  <c r="N45" i="12"/>
  <c r="N44" i="12"/>
  <c r="N43" i="12"/>
  <c r="N42" i="12"/>
  <c r="N41" i="12"/>
  <c r="N40" i="12"/>
  <c r="N39" i="12"/>
  <c r="L50" i="12"/>
  <c r="L49" i="12"/>
  <c r="L48" i="12"/>
  <c r="L47" i="12"/>
  <c r="L46" i="12"/>
  <c r="L45" i="12"/>
  <c r="L44" i="12"/>
  <c r="L43" i="12"/>
  <c r="L42" i="12"/>
  <c r="L41" i="12"/>
  <c r="L40" i="12"/>
  <c r="L39" i="12"/>
  <c r="J50" i="12"/>
  <c r="J49" i="12"/>
  <c r="J48" i="12"/>
  <c r="J47" i="12"/>
  <c r="J46" i="12"/>
  <c r="J45" i="12"/>
  <c r="J44" i="12"/>
  <c r="J43" i="12"/>
  <c r="J42" i="12"/>
  <c r="J41" i="12"/>
  <c r="J40" i="12"/>
  <c r="J39" i="12"/>
  <c r="H50" i="12"/>
  <c r="H49" i="12"/>
  <c r="H48" i="12"/>
  <c r="H47" i="12"/>
  <c r="H46" i="12"/>
  <c r="H45" i="12"/>
  <c r="H44" i="12"/>
  <c r="H43" i="12"/>
  <c r="H42" i="12"/>
  <c r="H41" i="12"/>
  <c r="H40" i="12"/>
  <c r="H39" i="12"/>
  <c r="F50" i="12"/>
  <c r="F49" i="12"/>
  <c r="F48" i="12"/>
  <c r="F47" i="12"/>
  <c r="F46" i="12"/>
  <c r="F45" i="12"/>
  <c r="F44" i="12"/>
  <c r="F43" i="12"/>
  <c r="F42" i="12"/>
  <c r="F41" i="12"/>
  <c r="F40" i="12"/>
  <c r="F39" i="12"/>
  <c r="D50" i="12"/>
  <c r="D49" i="12"/>
  <c r="D48" i="12"/>
  <c r="D47" i="12"/>
  <c r="D46" i="12"/>
  <c r="D45" i="12"/>
  <c r="D44" i="12"/>
  <c r="D43" i="12"/>
  <c r="D42" i="12"/>
  <c r="D41" i="12"/>
  <c r="D40" i="12"/>
  <c r="D39" i="12"/>
  <c r="O40" i="12"/>
  <c r="O41" i="12"/>
  <c r="O42" i="12"/>
  <c r="O43" i="12"/>
  <c r="O44" i="12"/>
  <c r="O45" i="12"/>
  <c r="O46" i="12"/>
  <c r="O47" i="12"/>
  <c r="O48" i="12"/>
  <c r="O49" i="12"/>
  <c r="O50" i="12"/>
  <c r="O39" i="12"/>
  <c r="G40" i="12"/>
  <c r="I40" i="12"/>
  <c r="K40" i="12"/>
  <c r="M40" i="12"/>
  <c r="G41" i="12"/>
  <c r="I41" i="12"/>
  <c r="K41" i="12"/>
  <c r="M41" i="12"/>
  <c r="G42" i="12"/>
  <c r="I42" i="12"/>
  <c r="K42" i="12"/>
  <c r="M42" i="12"/>
  <c r="G43" i="12"/>
  <c r="I43" i="12"/>
  <c r="K43" i="12"/>
  <c r="M43" i="12"/>
  <c r="G44" i="12"/>
  <c r="I44" i="12"/>
  <c r="K44" i="12"/>
  <c r="M44" i="12"/>
  <c r="G45" i="12"/>
  <c r="I45" i="12"/>
  <c r="K45" i="12"/>
  <c r="M45" i="12"/>
  <c r="G46" i="12"/>
  <c r="I46" i="12"/>
  <c r="K46" i="12"/>
  <c r="M46" i="12"/>
  <c r="G47" i="12"/>
  <c r="I47" i="12"/>
  <c r="K47" i="12"/>
  <c r="M47" i="12"/>
  <c r="G48" i="12"/>
  <c r="I48" i="12"/>
  <c r="K48" i="12"/>
  <c r="M48" i="12"/>
  <c r="G49" i="12"/>
  <c r="I49" i="12"/>
  <c r="K49" i="12"/>
  <c r="M49" i="12"/>
  <c r="G50" i="12"/>
  <c r="I50" i="12"/>
  <c r="K50" i="12"/>
  <c r="M50" i="12"/>
  <c r="M39" i="12"/>
  <c r="K39" i="12"/>
  <c r="I39" i="12"/>
  <c r="G39" i="12"/>
  <c r="E40" i="12"/>
  <c r="E41" i="12"/>
  <c r="E42" i="12"/>
  <c r="E43" i="12"/>
  <c r="E44" i="12"/>
  <c r="E45" i="12"/>
  <c r="E46" i="12"/>
  <c r="E47" i="12"/>
  <c r="E48" i="12"/>
  <c r="E49" i="12"/>
  <c r="E50" i="12"/>
  <c r="E39" i="12"/>
  <c r="C40" i="12"/>
  <c r="C41" i="12"/>
  <c r="C42" i="12"/>
  <c r="C43" i="12"/>
  <c r="C44" i="12"/>
  <c r="C45" i="12"/>
  <c r="C46" i="12"/>
  <c r="C47" i="12"/>
  <c r="C48" i="12"/>
  <c r="C49" i="12"/>
  <c r="C50" i="12"/>
  <c r="V8" i="12"/>
  <c r="W8" i="12"/>
  <c r="X8" i="12"/>
  <c r="X19" i="12"/>
  <c r="W19" i="12"/>
  <c r="V19" i="12"/>
  <c r="X18" i="12"/>
  <c r="W18" i="12"/>
  <c r="V18" i="12"/>
  <c r="X17" i="12"/>
  <c r="W17" i="12"/>
  <c r="V17" i="12"/>
  <c r="X16" i="12"/>
  <c r="W16" i="12"/>
  <c r="V16" i="12"/>
  <c r="X15" i="12"/>
  <c r="W15" i="12"/>
  <c r="X14" i="12"/>
  <c r="W14" i="12"/>
  <c r="V14" i="12"/>
  <c r="X13" i="12"/>
  <c r="W13" i="12"/>
  <c r="V13" i="12"/>
  <c r="X12" i="12"/>
  <c r="W12" i="12"/>
  <c r="V12" i="12"/>
  <c r="X11" i="12"/>
  <c r="W11" i="12"/>
  <c r="V11" i="12"/>
  <c r="X10" i="12"/>
  <c r="W10" i="12"/>
  <c r="V10" i="12"/>
  <c r="X9" i="12"/>
  <c r="W9" i="12"/>
  <c r="V9" i="12"/>
  <c r="AA12" i="12" l="1"/>
  <c r="Z12" i="12"/>
  <c r="Y12" i="12"/>
  <c r="F10" i="12" l="1"/>
  <c r="E10" i="12"/>
  <c r="G11" i="12"/>
  <c r="N11" i="12" s="1"/>
  <c r="F11" i="12"/>
  <c r="G13" i="12"/>
  <c r="N13" i="12" s="1"/>
  <c r="F13" i="12"/>
  <c r="E13" i="12"/>
  <c r="E17" i="12"/>
  <c r="E9" i="12"/>
  <c r="G14" i="12"/>
  <c r="N14" i="12" s="1"/>
  <c r="E14" i="12"/>
  <c r="F9" i="12"/>
  <c r="E12" i="12"/>
  <c r="G15" i="12"/>
  <c r="N15" i="12" s="1"/>
  <c r="F15" i="12"/>
  <c r="E15" i="12"/>
  <c r="G16" i="12"/>
  <c r="N16" i="12" s="1"/>
  <c r="F16" i="12"/>
  <c r="E18" i="12"/>
  <c r="G17" i="12"/>
  <c r="N17" i="12" s="1"/>
  <c r="F17" i="12"/>
  <c r="G9" i="12"/>
  <c r="N9" i="12" s="1"/>
  <c r="G18" i="12"/>
  <c r="N18" i="12" s="1"/>
  <c r="F18" i="12"/>
  <c r="G19" i="12"/>
  <c r="N19" i="12" s="1"/>
  <c r="F19" i="12"/>
  <c r="E19" i="12"/>
  <c r="E11" i="12"/>
  <c r="G8" i="12"/>
  <c r="F8" i="12"/>
  <c r="E8" i="12"/>
  <c r="F14" i="12"/>
  <c r="G12" i="12"/>
  <c r="N12" i="12" s="1"/>
  <c r="F12" i="12"/>
  <c r="G10" i="12"/>
  <c r="N10" i="12" s="1"/>
  <c r="E16" i="12"/>
  <c r="Y11" i="12"/>
  <c r="Z11" i="12"/>
  <c r="AA11" i="12"/>
  <c r="Y18" i="12"/>
  <c r="Z18" i="12"/>
  <c r="AA18" i="12"/>
  <c r="N8" i="12" l="1"/>
  <c r="Q26" i="12"/>
  <c r="R26" i="12" s="1"/>
  <c r="Q28" i="12"/>
  <c r="R28" i="12" s="1"/>
  <c r="Q25" i="12"/>
  <c r="R25" i="12" s="1"/>
  <c r="Q34" i="12"/>
  <c r="R34" i="12" s="1"/>
  <c r="Q29" i="12"/>
  <c r="R29" i="12" s="1"/>
  <c r="Q32" i="12"/>
  <c r="R32" i="12" s="1"/>
  <c r="Q31" i="12"/>
  <c r="R31" i="12" s="1"/>
  <c r="Q35" i="12"/>
  <c r="R35" i="12" s="1"/>
  <c r="Q33" i="12"/>
  <c r="R33" i="12" s="1"/>
  <c r="Q30" i="12"/>
  <c r="R30" i="12" s="1"/>
  <c r="Q27" i="12"/>
  <c r="R27" i="12" s="1"/>
  <c r="Q24" i="12"/>
  <c r="R24" i="12" s="1"/>
  <c r="Q10" i="12"/>
  <c r="AE26" i="12"/>
  <c r="R10" i="12"/>
  <c r="R19" i="12"/>
  <c r="AE35" i="12"/>
  <c r="Q19" i="12"/>
  <c r="R16" i="12"/>
  <c r="Q16" i="12"/>
  <c r="AE32" i="12"/>
  <c r="R14" i="12"/>
  <c r="AE30" i="12"/>
  <c r="Q14" i="12"/>
  <c r="R9" i="12"/>
  <c r="Q9" i="12"/>
  <c r="AE25" i="12"/>
  <c r="Q11" i="12"/>
  <c r="AE27" i="12"/>
  <c r="R11" i="12"/>
  <c r="AE34" i="12"/>
  <c r="R18" i="12"/>
  <c r="Q18" i="12"/>
  <c r="Q12" i="12"/>
  <c r="AE28" i="12"/>
  <c r="R12" i="12"/>
  <c r="AE29" i="12"/>
  <c r="Q13" i="12"/>
  <c r="R13" i="12"/>
  <c r="Q17" i="12"/>
  <c r="AE33" i="12"/>
  <c r="R17" i="12"/>
  <c r="Q15" i="12"/>
  <c r="AE31" i="12"/>
  <c r="R15" i="12"/>
  <c r="Q8" i="12"/>
  <c r="R8" i="12"/>
  <c r="AE24" i="12"/>
  <c r="AA9" i="12"/>
  <c r="AA19" i="12"/>
  <c r="Z19" i="12"/>
  <c r="Y19" i="12"/>
  <c r="AA17" i="12"/>
  <c r="Z17" i="12"/>
  <c r="Y17" i="12"/>
  <c r="AA16" i="12"/>
  <c r="Z16" i="12"/>
  <c r="Y16" i="12"/>
  <c r="Z15" i="12"/>
  <c r="Y15" i="12"/>
  <c r="AA14" i="12"/>
  <c r="Z14" i="12"/>
  <c r="Y14" i="12"/>
  <c r="AA13" i="12"/>
  <c r="Z13" i="12"/>
  <c r="Y13" i="12"/>
  <c r="AA10" i="12"/>
  <c r="Z10" i="12"/>
  <c r="Y10" i="12"/>
  <c r="Z9" i="12"/>
  <c r="Y9" i="12"/>
  <c r="AA8" i="12"/>
  <c r="Z8" i="12"/>
  <c r="Y8" i="12"/>
  <c r="K18" i="12" l="1"/>
  <c r="L18" i="12" s="1"/>
  <c r="AF34" i="12"/>
  <c r="AH34" i="12" s="1"/>
  <c r="AG34" i="12"/>
  <c r="AI34" i="12" s="1"/>
  <c r="K16" i="12"/>
  <c r="L16" i="12" s="1"/>
  <c r="AF32" i="12"/>
  <c r="AH32" i="12" s="1"/>
  <c r="AG32" i="12"/>
  <c r="AI32" i="12" s="1"/>
  <c r="K14" i="12"/>
  <c r="L14" i="12" s="1"/>
  <c r="AF30" i="12"/>
  <c r="AH30" i="12" s="1"/>
  <c r="AG30" i="12"/>
  <c r="AI30" i="12" s="1"/>
  <c r="K11" i="12"/>
  <c r="L11" i="12" s="1"/>
  <c r="AF27" i="12"/>
  <c r="AH27" i="12" s="1"/>
  <c r="AG27" i="12"/>
  <c r="AI27" i="12" s="1"/>
  <c r="K13" i="12"/>
  <c r="L13" i="12" s="1"/>
  <c r="AF29" i="12"/>
  <c r="AH29" i="12" s="1"/>
  <c r="AG29" i="12"/>
  <c r="AI29" i="12" s="1"/>
  <c r="K15" i="12"/>
  <c r="L15" i="12" s="1"/>
  <c r="AG31" i="12"/>
  <c r="AI31" i="12" s="1"/>
  <c r="AF31" i="12"/>
  <c r="AH31" i="12" s="1"/>
  <c r="K12" i="12"/>
  <c r="L12" i="12" s="1"/>
  <c r="AG28" i="12"/>
  <c r="AI28" i="12" s="1"/>
  <c r="AF28" i="12"/>
  <c r="AH28" i="12" s="1"/>
  <c r="AG25" i="12"/>
  <c r="AI25" i="12" s="1"/>
  <c r="AF25" i="12"/>
  <c r="AH25" i="12" s="1"/>
  <c r="K9" i="12"/>
  <c r="L9" i="12" s="1"/>
  <c r="AG35" i="12"/>
  <c r="AI35" i="12" s="1"/>
  <c r="AF35" i="12"/>
  <c r="AH35" i="12" s="1"/>
  <c r="K19" i="12"/>
  <c r="L19" i="12" s="1"/>
  <c r="K10" i="12"/>
  <c r="L10" i="12" s="1"/>
  <c r="AF26" i="12"/>
  <c r="AH26" i="12" s="1"/>
  <c r="AG26" i="12"/>
  <c r="AI26" i="12" s="1"/>
  <c r="K17" i="12"/>
  <c r="L17" i="12" s="1"/>
  <c r="AF33" i="12"/>
  <c r="AH33" i="12" s="1"/>
  <c r="AG33" i="12"/>
  <c r="AI33" i="12" s="1"/>
  <c r="AG24" i="12"/>
  <c r="AI24" i="12" s="1"/>
  <c r="AF24" i="12"/>
  <c r="AH24" i="12" s="1"/>
  <c r="K8" i="12"/>
  <c r="L8" i="12" s="1"/>
  <c r="H19" i="12"/>
  <c r="H18" i="12"/>
  <c r="H17" i="12"/>
  <c r="H16" i="12"/>
  <c r="H15" i="12"/>
  <c r="H14" i="12"/>
  <c r="H13" i="12"/>
  <c r="H12" i="12"/>
  <c r="H11" i="12"/>
  <c r="H10" i="12"/>
  <c r="H9" i="12"/>
  <c r="H8" i="12"/>
  <c r="Q65" i="12" l="1" a="1"/>
  <c r="Q65" i="12" s="1"/>
  <c r="J9" i="12"/>
  <c r="I9" i="12"/>
  <c r="J12" i="12"/>
  <c r="I12" i="12"/>
  <c r="J13" i="12"/>
  <c r="I13" i="12"/>
  <c r="J14" i="12"/>
  <c r="I14" i="12"/>
  <c r="J15" i="12"/>
  <c r="I15" i="12"/>
  <c r="J11" i="12"/>
  <c r="I11" i="12"/>
  <c r="J16" i="12"/>
  <c r="I16" i="12"/>
  <c r="J8" i="12"/>
  <c r="I8" i="12"/>
  <c r="J17" i="12"/>
  <c r="I17" i="12"/>
  <c r="J18" i="12"/>
  <c r="I18" i="12"/>
  <c r="J10" i="12"/>
  <c r="I10" i="12"/>
  <c r="J19" i="12"/>
  <c r="I19" i="12"/>
  <c r="C126" i="12" l="1" a="1"/>
  <c r="C126" i="12" s="1"/>
  <c r="D124" i="12" a="1"/>
  <c r="D124" i="12" s="1"/>
  <c r="D120" i="12" a="1"/>
  <c r="D120" i="12" s="1"/>
  <c r="D118" i="12" a="1"/>
  <c r="D118" i="12" s="1"/>
  <c r="C120" i="12" a="1"/>
  <c r="C120" i="12" s="1"/>
  <c r="R418" i="12" s="1" a="1"/>
  <c r="R418" i="12" s="1"/>
  <c r="C123" i="12" a="1"/>
  <c r="C123" i="12" s="1"/>
  <c r="C118" i="12" a="1"/>
  <c r="C118" i="12" s="1"/>
  <c r="R420" i="12" s="1" a="1"/>
  <c r="R420" i="12" s="1"/>
  <c r="D122" i="12" a="1"/>
  <c r="D122" i="12" s="1"/>
  <c r="D117" i="12" a="1"/>
  <c r="D117" i="12" s="1"/>
  <c r="C122" i="12" a="1"/>
  <c r="C122" i="12" s="1"/>
  <c r="D121" i="12" a="1"/>
  <c r="D121" i="12" s="1"/>
  <c r="C117" i="12" a="1"/>
  <c r="C117" i="12" s="1"/>
  <c r="C124" i="12" a="1"/>
  <c r="C124" i="12" s="1"/>
  <c r="R424" i="12" s="1" a="1"/>
  <c r="R424" i="12" s="1"/>
  <c r="C121" i="12" a="1"/>
  <c r="C121" i="12" s="1"/>
  <c r="R421" i="12" s="1" a="1"/>
  <c r="R421" i="12" s="1"/>
  <c r="D127" i="12" a="1"/>
  <c r="D127" i="12" s="1"/>
  <c r="C127" i="12" a="1"/>
  <c r="C127" i="12" s="1"/>
  <c r="R416" i="12" s="1" a="1"/>
  <c r="R416" i="12" s="1"/>
  <c r="D119" i="12" a="1"/>
  <c r="D119" i="12" s="1"/>
  <c r="D126" i="12" a="1"/>
  <c r="D126" i="12" s="1"/>
  <c r="C119" i="12" a="1"/>
  <c r="C119" i="12" s="1"/>
  <c r="D125" i="12" a="1"/>
  <c r="D125" i="12" s="1"/>
  <c r="D123" i="12" a="1"/>
  <c r="D123" i="12" s="1"/>
  <c r="C125" i="12" a="1"/>
  <c r="C125" i="12" s="1"/>
  <c r="Q66" i="12"/>
  <c r="R417" i="12" l="1" a="1"/>
  <c r="R417" i="12" s="1"/>
  <c r="R419" i="12" a="1"/>
  <c r="R419" i="12" s="1"/>
  <c r="R414" i="12" a="1"/>
  <c r="R414" i="12" s="1"/>
  <c r="R422" i="12" a="1"/>
  <c r="R422" i="12" s="1"/>
  <c r="R423" i="12" a="1"/>
  <c r="R423" i="12" s="1"/>
  <c r="R415" i="12" a="1"/>
  <c r="R415" i="12" s="1"/>
  <c r="R668" i="12" a="1"/>
  <c r="R668" i="12" s="1"/>
  <c r="R608" i="12" a="1"/>
  <c r="R608" i="12" s="1"/>
  <c r="R560" i="12" a="1"/>
  <c r="R560" i="12" s="1"/>
  <c r="R56" i="12" a="1"/>
  <c r="R56" i="12" s="1"/>
  <c r="R788" i="12" a="1"/>
  <c r="R788" i="12" s="1"/>
  <c r="R680" i="12" a="1"/>
  <c r="R680" i="12" s="1"/>
  <c r="R632" i="12" a="1"/>
  <c r="R632" i="12" s="1"/>
  <c r="R620" i="12" a="1"/>
  <c r="R620" i="12" s="1"/>
  <c r="R500" i="12" a="1"/>
  <c r="R500" i="12" s="1"/>
  <c r="R68" i="12" a="1"/>
  <c r="R68" i="12" s="1"/>
  <c r="R332" i="12" a="1"/>
  <c r="R332" i="12" s="1"/>
  <c r="R800" i="12" a="1"/>
  <c r="R800" i="12" s="1"/>
  <c r="R704" i="12" a="1"/>
  <c r="R704" i="12" s="1"/>
  <c r="R692" i="12" a="1"/>
  <c r="R692" i="12" s="1"/>
  <c r="R512" i="12" a="1"/>
  <c r="R512" i="12" s="1"/>
  <c r="R80" i="12" a="1"/>
  <c r="R80" i="12" s="1"/>
  <c r="R92" i="12" a="1"/>
  <c r="R92" i="12" s="1"/>
  <c r="R656" i="12" a="1"/>
  <c r="R656" i="12" s="1"/>
  <c r="R812" i="12" a="1"/>
  <c r="R812" i="12" s="1"/>
  <c r="R524" i="12" a="1"/>
  <c r="R524" i="12" s="1"/>
  <c r="R164" i="12" a="1"/>
  <c r="R164" i="12" s="1"/>
  <c r="R824" i="12" a="1"/>
  <c r="R824" i="12" s="1"/>
  <c r="R548" i="12" a="1"/>
  <c r="R548" i="12" s="1"/>
  <c r="R536" i="12" a="1"/>
  <c r="R536" i="12" s="1"/>
  <c r="R488" i="12" a="1"/>
  <c r="R488" i="12" s="1"/>
  <c r="R176" i="12" a="1"/>
  <c r="R176" i="12" s="1"/>
  <c r="R104" i="12" a="1"/>
  <c r="R104" i="12" s="1"/>
  <c r="R308" i="12" a="1"/>
  <c r="R308" i="12" s="1"/>
  <c r="R836" i="12" a="1"/>
  <c r="R836" i="12" s="1"/>
  <c r="R188" i="12" a="1"/>
  <c r="R188" i="12" s="1"/>
  <c r="R116" i="12" a="1"/>
  <c r="R116" i="12" s="1"/>
  <c r="R848" i="12" a="1"/>
  <c r="R848" i="12" s="1"/>
  <c r="R776" i="12" a="1"/>
  <c r="R776" i="12" s="1"/>
  <c r="R764" i="12" a="1"/>
  <c r="R764" i="12" s="1"/>
  <c r="R248" i="12" a="1"/>
  <c r="R248" i="12" s="1"/>
  <c r="R200" i="12" a="1"/>
  <c r="R200" i="12" s="1"/>
  <c r="R128" i="12" a="1"/>
  <c r="R128" i="12" s="1"/>
  <c r="R596" i="12" a="1"/>
  <c r="R596" i="12" s="1"/>
  <c r="R452" i="12" a="1"/>
  <c r="R452" i="12" s="1"/>
  <c r="R404" i="12" a="1"/>
  <c r="R404" i="12" s="1"/>
  <c r="R260" i="12" a="1"/>
  <c r="R260" i="12" s="1"/>
  <c r="R212" i="12" a="1"/>
  <c r="R212" i="12" s="1"/>
  <c r="R152" i="12" a="1"/>
  <c r="R152" i="12" s="1"/>
  <c r="R140" i="12" a="1"/>
  <c r="R140" i="12" s="1"/>
  <c r="R728" i="12" a="1"/>
  <c r="R728" i="12" s="1"/>
  <c r="R476" i="12" a="1"/>
  <c r="R476" i="12" s="1"/>
  <c r="R464" i="12" a="1"/>
  <c r="R464" i="12" s="1"/>
  <c r="R356" i="12" a="1"/>
  <c r="R356" i="12" s="1"/>
  <c r="R272" i="12" a="1"/>
  <c r="R272" i="12" s="1"/>
  <c r="R224" i="12" a="1"/>
  <c r="R224" i="12" s="1"/>
  <c r="R752" i="12" a="1"/>
  <c r="R752" i="12" s="1"/>
  <c r="R740" i="12" a="1"/>
  <c r="R740" i="12" s="1"/>
  <c r="R572" i="12" a="1"/>
  <c r="R572" i="12" s="1"/>
  <c r="R428" i="12" a="1"/>
  <c r="R428" i="12" s="1"/>
  <c r="R368" i="12" a="1"/>
  <c r="R368" i="12" s="1"/>
  <c r="R284" i="12" a="1"/>
  <c r="R284" i="12" s="1"/>
  <c r="R236" i="12" a="1"/>
  <c r="R236" i="12" s="1"/>
  <c r="R344" i="12" a="1"/>
  <c r="R344" i="12" s="1"/>
  <c r="R644" i="12" a="1"/>
  <c r="R644" i="12" s="1"/>
  <c r="R584" i="12" a="1"/>
  <c r="R584" i="12" s="1"/>
  <c r="R440" i="12" a="1"/>
  <c r="R440" i="12" s="1"/>
  <c r="R392" i="12" a="1"/>
  <c r="R392" i="12" s="1"/>
  <c r="R380" i="12" a="1"/>
  <c r="R380" i="12" s="1"/>
  <c r="R320" i="12" a="1"/>
  <c r="R320" i="12" s="1"/>
  <c r="R296" i="12" a="1"/>
  <c r="R296" i="12" s="1"/>
  <c r="R716" i="12" a="1"/>
  <c r="R716" i="12" s="1"/>
  <c r="R736" i="12" a="1"/>
  <c r="R736" i="12" s="1"/>
  <c r="R724" i="12" a="1"/>
  <c r="R724" i="12" s="1"/>
  <c r="R568" i="12" a="1"/>
  <c r="R568" i="12" s="1"/>
  <c r="R472" i="12" a="1"/>
  <c r="R472" i="12" s="1"/>
  <c r="R364" i="12" a="1"/>
  <c r="R364" i="12" s="1"/>
  <c r="R280" i="12" a="1"/>
  <c r="R280" i="12" s="1"/>
  <c r="R232" i="12" a="1"/>
  <c r="R232" i="12" s="1"/>
  <c r="R148" i="12" a="1"/>
  <c r="R148" i="12" s="1"/>
  <c r="R748" i="12" a="1"/>
  <c r="R748" i="12" s="1"/>
  <c r="R640" i="12" a="1"/>
  <c r="R640" i="12" s="1"/>
  <c r="R580" i="12" a="1"/>
  <c r="R580" i="12" s="1"/>
  <c r="R436" i="12" a="1"/>
  <c r="R436" i="12" s="1"/>
  <c r="R376" i="12" a="1"/>
  <c r="R376" i="12" s="1"/>
  <c r="R316" i="12" a="1"/>
  <c r="R316" i="12" s="1"/>
  <c r="R292" i="12" a="1"/>
  <c r="R292" i="12" s="1"/>
  <c r="R712" i="12" a="1"/>
  <c r="R712" i="12" s="1"/>
  <c r="R652" i="12" a="1"/>
  <c r="R652" i="12" s="1"/>
  <c r="R592" i="12" a="1"/>
  <c r="R592" i="12" s="1"/>
  <c r="R388" i="12" a="1"/>
  <c r="R388" i="12" s="1"/>
  <c r="R328" i="12" a="1"/>
  <c r="R328" i="12" s="1"/>
  <c r="R304" i="12" a="1"/>
  <c r="R304" i="12" s="1"/>
  <c r="R412" i="12" a="1"/>
  <c r="R412" i="12" s="1"/>
  <c r="R268" i="12" a="1"/>
  <c r="R268" i="12" s="1"/>
  <c r="R664" i="12" a="1"/>
  <c r="R664" i="12" s="1"/>
  <c r="R604" i="12" a="1"/>
  <c r="R604" i="12" s="1"/>
  <c r="R340" i="12" a="1"/>
  <c r="R340" i="12" s="1"/>
  <c r="R676" i="12" a="1"/>
  <c r="R676" i="12" s="1"/>
  <c r="R616" i="12" a="1"/>
  <c r="R616" i="12" s="1"/>
  <c r="R556" i="12" a="1"/>
  <c r="R556" i="12" s="1"/>
  <c r="R496" i="12" a="1"/>
  <c r="R496" i="12" s="1"/>
  <c r="R64" i="12" a="1"/>
  <c r="R64" i="12" s="1"/>
  <c r="R352" i="12" a="1"/>
  <c r="R352" i="12" s="1"/>
  <c r="R220" i="12" a="1"/>
  <c r="R220" i="12" s="1"/>
  <c r="R796" i="12" a="1"/>
  <c r="R796" i="12" s="1"/>
  <c r="R784" i="12" a="1"/>
  <c r="R784" i="12" s="1"/>
  <c r="R688" i="12" a="1"/>
  <c r="R688" i="12" s="1"/>
  <c r="R628" i="12" a="1"/>
  <c r="R628" i="12" s="1"/>
  <c r="R508" i="12" a="1"/>
  <c r="R508" i="12" s="1"/>
  <c r="R76" i="12" a="1"/>
  <c r="R76" i="12" s="1"/>
  <c r="R88" i="12" a="1"/>
  <c r="R88" i="12" s="1"/>
  <c r="R100" i="12" a="1"/>
  <c r="R100" i="12" s="1"/>
  <c r="R808" i="12" a="1"/>
  <c r="R808" i="12" s="1"/>
  <c r="R700" i="12" a="1"/>
  <c r="R700" i="12" s="1"/>
  <c r="R520" i="12" a="1"/>
  <c r="R520" i="12" s="1"/>
  <c r="R820" i="12" a="1"/>
  <c r="R820" i="12" s="1"/>
  <c r="R532" i="12" a="1"/>
  <c r="R532" i="12" s="1"/>
  <c r="R172" i="12" a="1"/>
  <c r="R172" i="12" s="1"/>
  <c r="R160" i="12" a="1"/>
  <c r="R160" i="12" s="1"/>
  <c r="R832" i="12" a="1"/>
  <c r="R832" i="12" s="1"/>
  <c r="R544" i="12" a="1"/>
  <c r="R544" i="12" s="1"/>
  <c r="R484" i="12" a="1"/>
  <c r="R484" i="12" s="1"/>
  <c r="R184" i="12" a="1"/>
  <c r="R184" i="12" s="1"/>
  <c r="R112" i="12" a="1"/>
  <c r="R112" i="12" s="1"/>
  <c r="R844" i="12" a="1"/>
  <c r="R844" i="12" s="1"/>
  <c r="R760" i="12" a="1"/>
  <c r="R760" i="12" s="1"/>
  <c r="R244" i="12" a="1"/>
  <c r="R244" i="12" s="1"/>
  <c r="R196" i="12" a="1"/>
  <c r="R196" i="12" s="1"/>
  <c r="R124" i="12" a="1"/>
  <c r="R124" i="12" s="1"/>
  <c r="R856" i="12" a="1"/>
  <c r="R856" i="12" s="1"/>
  <c r="R772" i="12" a="1"/>
  <c r="R772" i="12" s="1"/>
  <c r="R448" i="12" a="1"/>
  <c r="R448" i="12" s="1"/>
  <c r="R400" i="12" a="1"/>
  <c r="R400" i="12" s="1"/>
  <c r="R256" i="12" a="1"/>
  <c r="R256" i="12" s="1"/>
  <c r="R208" i="12" a="1"/>
  <c r="R208" i="12" s="1"/>
  <c r="R136" i="12" a="1"/>
  <c r="R136" i="12" s="1"/>
  <c r="R460" i="12" a="1"/>
  <c r="R460" i="12" s="1"/>
  <c r="R459" i="12" a="1"/>
  <c r="R459" i="12" s="1"/>
  <c r="R447" i="12" a="1"/>
  <c r="R447" i="12" s="1"/>
  <c r="R411" i="12" a="1"/>
  <c r="R411" i="12" s="1"/>
  <c r="R399" i="12" a="1"/>
  <c r="R399" i="12" s="1"/>
  <c r="R267" i="12" a="1"/>
  <c r="R267" i="12" s="1"/>
  <c r="R219" i="12" a="1"/>
  <c r="R219" i="12" s="1"/>
  <c r="R147" i="12" a="1"/>
  <c r="R147" i="12" s="1"/>
  <c r="R735" i="12" a="1"/>
  <c r="R735" i="12" s="1"/>
  <c r="R471" i="12" a="1"/>
  <c r="R471" i="12" s="1"/>
  <c r="R363" i="12" a="1"/>
  <c r="R363" i="12" s="1"/>
  <c r="R351" i="12" a="1"/>
  <c r="R351" i="12" s="1"/>
  <c r="R279" i="12" a="1"/>
  <c r="R279" i="12" s="1"/>
  <c r="R231" i="12" a="1"/>
  <c r="R231" i="12" s="1"/>
  <c r="R771" i="12" a="1"/>
  <c r="R771" i="12" s="1"/>
  <c r="R747" i="12" a="1"/>
  <c r="R747" i="12" s="1"/>
  <c r="R723" i="12" a="1"/>
  <c r="R723" i="12" s="1"/>
  <c r="R579" i="12" a="1"/>
  <c r="R579" i="12" s="1"/>
  <c r="R567" i="12" a="1"/>
  <c r="R567" i="12" s="1"/>
  <c r="R435" i="12" a="1"/>
  <c r="R435" i="12" s="1"/>
  <c r="R375" i="12" a="1"/>
  <c r="R375" i="12" s="1"/>
  <c r="R291" i="12" a="1"/>
  <c r="R291" i="12" s="1"/>
  <c r="R651" i="12" a="1"/>
  <c r="R651" i="12" s="1"/>
  <c r="R639" i="12" a="1"/>
  <c r="R639" i="12" s="1"/>
  <c r="R591" i="12" a="1"/>
  <c r="R591" i="12" s="1"/>
  <c r="R387" i="12" a="1"/>
  <c r="R387" i="12" s="1"/>
  <c r="R327" i="12" a="1"/>
  <c r="R327" i="12" s="1"/>
  <c r="R315" i="12" a="1"/>
  <c r="R315" i="12" s="1"/>
  <c r="R303" i="12" a="1"/>
  <c r="R303" i="12" s="1"/>
  <c r="R87" i="12" a="1"/>
  <c r="R87" i="12" s="1"/>
  <c r="R711" i="12" a="1"/>
  <c r="R711" i="12" s="1"/>
  <c r="R663" i="12" a="1"/>
  <c r="R663" i="12" s="1"/>
  <c r="R603" i="12" a="1"/>
  <c r="R603" i="12" s="1"/>
  <c r="R339" i="12" a="1"/>
  <c r="R339" i="12" s="1"/>
  <c r="R759" i="12" a="1"/>
  <c r="R759" i="12" s="1"/>
  <c r="R135" i="12" a="1"/>
  <c r="R135" i="12" s="1"/>
  <c r="R675" i="12" a="1"/>
  <c r="R675" i="12" s="1"/>
  <c r="R615" i="12" a="1"/>
  <c r="R615" i="12" s="1"/>
  <c r="R63" i="12" a="1"/>
  <c r="R63" i="12" s="1"/>
  <c r="R795" i="12" a="1"/>
  <c r="R795" i="12" s="1"/>
  <c r="R687" i="12" a="1"/>
  <c r="R687" i="12" s="1"/>
  <c r="R627" i="12" a="1"/>
  <c r="R627" i="12" s="1"/>
  <c r="R555" i="12" a="1"/>
  <c r="R555" i="12" s="1"/>
  <c r="R507" i="12" a="1"/>
  <c r="R507" i="12" s="1"/>
  <c r="R495" i="12" a="1"/>
  <c r="R495" i="12" s="1"/>
  <c r="R75" i="12" a="1"/>
  <c r="R75" i="12" s="1"/>
  <c r="R255" i="12" a="1"/>
  <c r="R255" i="12" s="1"/>
  <c r="R807" i="12" a="1"/>
  <c r="R807" i="12" s="1"/>
  <c r="R783" i="12" a="1"/>
  <c r="R783" i="12" s="1"/>
  <c r="R699" i="12" a="1"/>
  <c r="R699" i="12" s="1"/>
  <c r="R519" i="12" a="1"/>
  <c r="R519" i="12" s="1"/>
  <c r="R819" i="12" a="1"/>
  <c r="R819" i="12" s="1"/>
  <c r="R531" i="12" a="1"/>
  <c r="R531" i="12" s="1"/>
  <c r="R171" i="12" a="1"/>
  <c r="R171" i="12" s="1"/>
  <c r="R99" i="12" a="1"/>
  <c r="R99" i="12" s="1"/>
  <c r="R831" i="12" a="1"/>
  <c r="R831" i="12" s="1"/>
  <c r="R543" i="12" a="1"/>
  <c r="R543" i="12" s="1"/>
  <c r="R183" i="12" a="1"/>
  <c r="R183" i="12" s="1"/>
  <c r="R159" i="12" a="1"/>
  <c r="R159" i="12" s="1"/>
  <c r="R111" i="12" a="1"/>
  <c r="R111" i="12" s="1"/>
  <c r="R243" i="12" a="1"/>
  <c r="R243" i="12" s="1"/>
  <c r="R207" i="12" a="1"/>
  <c r="R207" i="12" s="1"/>
  <c r="R843" i="12" a="1"/>
  <c r="R843" i="12" s="1"/>
  <c r="R483" i="12" a="1"/>
  <c r="R483" i="12" s="1"/>
  <c r="R195" i="12" a="1"/>
  <c r="R195" i="12" s="1"/>
  <c r="R123" i="12" a="1"/>
  <c r="R123" i="12" s="1"/>
  <c r="R855" i="12" a="1"/>
  <c r="R855" i="12" s="1"/>
  <c r="R854" i="12" a="1"/>
  <c r="R854" i="12" s="1"/>
  <c r="R770" i="12" a="1"/>
  <c r="R770" i="12" s="1"/>
  <c r="R758" i="12" a="1"/>
  <c r="R758" i="12" s="1"/>
  <c r="R254" i="12" a="1"/>
  <c r="R254" i="12" s="1"/>
  <c r="R242" i="12" a="1"/>
  <c r="R242" i="12" s="1"/>
  <c r="R206" i="12" a="1"/>
  <c r="R206" i="12" s="1"/>
  <c r="R134" i="12" a="1"/>
  <c r="R134" i="12" s="1"/>
  <c r="R266" i="12" a="1"/>
  <c r="R266" i="12" s="1"/>
  <c r="R218" i="12" a="1"/>
  <c r="R218" i="12" s="1"/>
  <c r="R146" i="12" a="1"/>
  <c r="R146" i="12" s="1"/>
  <c r="R482" i="12" a="1"/>
  <c r="R482" i="12" s="1"/>
  <c r="R458" i="12" a="1"/>
  <c r="R458" i="12" s="1"/>
  <c r="R446" i="12" a="1"/>
  <c r="R446" i="12" s="1"/>
  <c r="R410" i="12" a="1"/>
  <c r="R410" i="12" s="1"/>
  <c r="R398" i="12" a="1"/>
  <c r="R398" i="12" s="1"/>
  <c r="R734" i="12" a="1"/>
  <c r="R734" i="12" s="1"/>
  <c r="R470" i="12" a="1"/>
  <c r="R470" i="12" s="1"/>
  <c r="R362" i="12" a="1"/>
  <c r="R362" i="12" s="1"/>
  <c r="R350" i="12" a="1"/>
  <c r="R350" i="12" s="1"/>
  <c r="R278" i="12" a="1"/>
  <c r="R278" i="12" s="1"/>
  <c r="R230" i="12" a="1"/>
  <c r="R230" i="12" s="1"/>
  <c r="R62" i="12" a="1"/>
  <c r="R62" i="12" s="1"/>
  <c r="R74" i="12" a="1"/>
  <c r="R74" i="12" s="1"/>
  <c r="R746" i="12" a="1"/>
  <c r="R746" i="12" s="1"/>
  <c r="R578" i="12" a="1"/>
  <c r="R578" i="12" s="1"/>
  <c r="R566" i="12" a="1"/>
  <c r="R566" i="12" s="1"/>
  <c r="R434" i="12" a="1"/>
  <c r="R434" i="12" s="1"/>
  <c r="R374" i="12" a="1"/>
  <c r="R374" i="12" s="1"/>
  <c r="R290" i="12" a="1"/>
  <c r="R290" i="12" s="1"/>
  <c r="R842" i="12" a="1"/>
  <c r="R842" i="12" s="1"/>
  <c r="R722" i="12" a="1"/>
  <c r="R722" i="12" s="1"/>
  <c r="R650" i="12" a="1"/>
  <c r="R650" i="12" s="1"/>
  <c r="R638" i="12" a="1"/>
  <c r="R638" i="12" s="1"/>
  <c r="R590" i="12" a="1"/>
  <c r="R590" i="12" s="1"/>
  <c r="R386" i="12" a="1"/>
  <c r="R386" i="12" s="1"/>
  <c r="R326" i="12" a="1"/>
  <c r="R326" i="12" s="1"/>
  <c r="R314" i="12" a="1"/>
  <c r="R314" i="12" s="1"/>
  <c r="R302" i="12" a="1"/>
  <c r="R302" i="12" s="1"/>
  <c r="R710" i="12" a="1"/>
  <c r="R710" i="12" s="1"/>
  <c r="R662" i="12" a="1"/>
  <c r="R662" i="12" s="1"/>
  <c r="R602" i="12" a="1"/>
  <c r="R602" i="12" s="1"/>
  <c r="R338" i="12" a="1"/>
  <c r="R338" i="12" s="1"/>
  <c r="R674" i="12" a="1"/>
  <c r="R674" i="12" s="1"/>
  <c r="R614" i="12" a="1"/>
  <c r="R614" i="12" s="1"/>
  <c r="R794" i="12" a="1"/>
  <c r="R794" i="12" s="1"/>
  <c r="R686" i="12" a="1"/>
  <c r="R686" i="12" s="1"/>
  <c r="R626" i="12" a="1"/>
  <c r="R626" i="12" s="1"/>
  <c r="R554" i="12" a="1"/>
  <c r="R554" i="12" s="1"/>
  <c r="R506" i="12" a="1"/>
  <c r="R506" i="12" s="1"/>
  <c r="R494" i="12" a="1"/>
  <c r="R494" i="12" s="1"/>
  <c r="R806" i="12" a="1"/>
  <c r="R806" i="12" s="1"/>
  <c r="R698" i="12" a="1"/>
  <c r="R698" i="12" s="1"/>
  <c r="R518" i="12" a="1"/>
  <c r="R518" i="12" s="1"/>
  <c r="R86" i="12" a="1"/>
  <c r="R86" i="12" s="1"/>
  <c r="R122" i="12" a="1"/>
  <c r="R122" i="12" s="1"/>
  <c r="R818" i="12" a="1"/>
  <c r="R818" i="12" s="1"/>
  <c r="R782" i="12" a="1"/>
  <c r="R782" i="12" s="1"/>
  <c r="R530" i="12" a="1"/>
  <c r="R530" i="12" s="1"/>
  <c r="R170" i="12" a="1"/>
  <c r="R170" i="12" s="1"/>
  <c r="R98" i="12" a="1"/>
  <c r="R98" i="12" s="1"/>
  <c r="R830" i="12" a="1"/>
  <c r="R830" i="12" s="1"/>
  <c r="R542" i="12" a="1"/>
  <c r="R542" i="12" s="1"/>
  <c r="R182" i="12" a="1"/>
  <c r="R182" i="12" s="1"/>
  <c r="R158" i="12" a="1"/>
  <c r="R158" i="12" s="1"/>
  <c r="R110" i="12" a="1"/>
  <c r="R110" i="12" s="1"/>
  <c r="R194" i="12" a="1"/>
  <c r="R194" i="12" s="1"/>
  <c r="R750" i="12" a="1"/>
  <c r="R750" i="12" s="1"/>
  <c r="R642" i="12" a="1"/>
  <c r="R642" i="12" s="1"/>
  <c r="R582" i="12" a="1"/>
  <c r="R582" i="12" s="1"/>
  <c r="R438" i="12" a="1"/>
  <c r="R438" i="12" s="1"/>
  <c r="R378" i="12" a="1"/>
  <c r="R378" i="12" s="1"/>
  <c r="R318" i="12" a="1"/>
  <c r="R318" i="12" s="1"/>
  <c r="R294" i="12" a="1"/>
  <c r="R294" i="12" s="1"/>
  <c r="R234" i="12" a="1"/>
  <c r="R234" i="12" s="1"/>
  <c r="R714" i="12" a="1"/>
  <c r="R714" i="12" s="1"/>
  <c r="R654" i="12" a="1"/>
  <c r="R654" i="12" s="1"/>
  <c r="R594" i="12" a="1"/>
  <c r="R594" i="12" s="1"/>
  <c r="R390" i="12" a="1"/>
  <c r="R390" i="12" s="1"/>
  <c r="R330" i="12" a="1"/>
  <c r="R330" i="12" s="1"/>
  <c r="R306" i="12" a="1"/>
  <c r="R306" i="12" s="1"/>
  <c r="R474" i="12" a="1"/>
  <c r="R474" i="12" s="1"/>
  <c r="R666" i="12" a="1"/>
  <c r="R666" i="12" s="1"/>
  <c r="R606" i="12" a="1"/>
  <c r="R606" i="12" s="1"/>
  <c r="R342" i="12" a="1"/>
  <c r="R342" i="12" s="1"/>
  <c r="R54" i="12" a="1"/>
  <c r="R54" i="12" s="1"/>
  <c r="R78" i="12" a="1"/>
  <c r="R78" i="12" s="1"/>
  <c r="R570" i="12" a="1"/>
  <c r="R570" i="12" s="1"/>
  <c r="R786" i="12" a="1"/>
  <c r="R786" i="12" s="1"/>
  <c r="R678" i="12" a="1"/>
  <c r="R678" i="12" s="1"/>
  <c r="R618" i="12" a="1"/>
  <c r="R618" i="12" s="1"/>
  <c r="R558" i="12" a="1"/>
  <c r="R558" i="12" s="1"/>
  <c r="R498" i="12" a="1"/>
  <c r="R498" i="12" s="1"/>
  <c r="R66" i="12" a="1"/>
  <c r="R66" i="12" s="1"/>
  <c r="R102" i="12" a="1"/>
  <c r="R102" i="12" s="1"/>
  <c r="R798" i="12" a="1"/>
  <c r="R798" i="12" s="1"/>
  <c r="R690" i="12" a="1"/>
  <c r="R690" i="12" s="1"/>
  <c r="R630" i="12" a="1"/>
  <c r="R630" i="12" s="1"/>
  <c r="R510" i="12" a="1"/>
  <c r="R510" i="12" s="1"/>
  <c r="R810" i="12" a="1"/>
  <c r="R810" i="12" s="1"/>
  <c r="R702" i="12" a="1"/>
  <c r="R702" i="12" s="1"/>
  <c r="R522" i="12" a="1"/>
  <c r="R522" i="12" s="1"/>
  <c r="R162" i="12" a="1"/>
  <c r="R162" i="12" s="1"/>
  <c r="R90" i="12" a="1"/>
  <c r="R90" i="12" s="1"/>
  <c r="R366" i="12" a="1"/>
  <c r="R366" i="12" s="1"/>
  <c r="R282" i="12" a="1"/>
  <c r="R282" i="12" s="1"/>
  <c r="R822" i="12" a="1"/>
  <c r="R822" i="12" s="1"/>
  <c r="R534" i="12" a="1"/>
  <c r="R534" i="12" s="1"/>
  <c r="R174" i="12" a="1"/>
  <c r="R174" i="12" s="1"/>
  <c r="R834" i="12" a="1"/>
  <c r="R834" i="12" s="1"/>
  <c r="R546" i="12" a="1"/>
  <c r="R546" i="12" s="1"/>
  <c r="R486" i="12" a="1"/>
  <c r="R486" i="12" s="1"/>
  <c r="R186" i="12" a="1"/>
  <c r="R186" i="12" s="1"/>
  <c r="R114" i="12" a="1"/>
  <c r="R114" i="12" s="1"/>
  <c r="R846" i="12" a="1"/>
  <c r="R846" i="12" s="1"/>
  <c r="R762" i="12" a="1"/>
  <c r="R762" i="12" s="1"/>
  <c r="R246" i="12" a="1"/>
  <c r="R246" i="12" s="1"/>
  <c r="R198" i="12" a="1"/>
  <c r="R198" i="12" s="1"/>
  <c r="R126" i="12" a="1"/>
  <c r="R126" i="12" s="1"/>
  <c r="R774" i="12" a="1"/>
  <c r="R774" i="12" s="1"/>
  <c r="R450" i="12" a="1"/>
  <c r="R450" i="12" s="1"/>
  <c r="R402" i="12" a="1"/>
  <c r="R402" i="12" s="1"/>
  <c r="R258" i="12" a="1"/>
  <c r="R258" i="12" s="1"/>
  <c r="R210" i="12" a="1"/>
  <c r="R210" i="12" s="1"/>
  <c r="R138" i="12" a="1"/>
  <c r="R138" i="12" s="1"/>
  <c r="R738" i="12" a="1"/>
  <c r="R738" i="12" s="1"/>
  <c r="R426" i="12" a="1"/>
  <c r="R426" i="12" s="1"/>
  <c r="R726" i="12" a="1"/>
  <c r="R726" i="12" s="1"/>
  <c r="R462" i="12" a="1"/>
  <c r="R462" i="12" s="1"/>
  <c r="R354" i="12" a="1"/>
  <c r="R354" i="12" s="1"/>
  <c r="R270" i="12" a="1"/>
  <c r="R270" i="12" s="1"/>
  <c r="R222" i="12" a="1"/>
  <c r="R222" i="12" s="1"/>
  <c r="R150" i="12" a="1"/>
  <c r="R150" i="12" s="1"/>
  <c r="R815" i="12" a="1"/>
  <c r="R815" i="12" s="1"/>
  <c r="R551" i="12" a="1"/>
  <c r="R551" i="12" s="1"/>
  <c r="R527" i="12" a="1"/>
  <c r="R527" i="12" s="1"/>
  <c r="R491" i="12" a="1"/>
  <c r="R491" i="12" s="1"/>
  <c r="R167" i="12" a="1"/>
  <c r="R167" i="12" s="1"/>
  <c r="R95" i="12" a="1"/>
  <c r="R95" i="12" s="1"/>
  <c r="R107" i="12" a="1"/>
  <c r="R107" i="12" s="1"/>
  <c r="R695" i="12" a="1"/>
  <c r="R695" i="12" s="1"/>
  <c r="R827" i="12" a="1"/>
  <c r="R827" i="12" s="1"/>
  <c r="R539" i="12" a="1"/>
  <c r="R539" i="12" s="1"/>
  <c r="R179" i="12" a="1"/>
  <c r="R179" i="12" s="1"/>
  <c r="R839" i="12" a="1"/>
  <c r="R839" i="12" s="1"/>
  <c r="R779" i="12" a="1"/>
  <c r="R779" i="12" s="1"/>
  <c r="R191" i="12" a="1"/>
  <c r="R191" i="12" s="1"/>
  <c r="R119" i="12" a="1"/>
  <c r="R119" i="12" s="1"/>
  <c r="R851" i="12" a="1"/>
  <c r="R851" i="12" s="1"/>
  <c r="R767" i="12" a="1"/>
  <c r="R767" i="12" s="1"/>
  <c r="R251" i="12" a="1"/>
  <c r="R251" i="12" s="1"/>
  <c r="R203" i="12" a="1"/>
  <c r="R203" i="12" s="1"/>
  <c r="R155" i="12" a="1"/>
  <c r="R155" i="12" s="1"/>
  <c r="R131" i="12" a="1"/>
  <c r="R131" i="12" s="1"/>
  <c r="R479" i="12" a="1"/>
  <c r="R479" i="12" s="1"/>
  <c r="R455" i="12" a="1"/>
  <c r="R455" i="12" s="1"/>
  <c r="R407" i="12" a="1"/>
  <c r="R407" i="12" s="1"/>
  <c r="R263" i="12" a="1"/>
  <c r="R263" i="12" s="1"/>
  <c r="R215" i="12" a="1"/>
  <c r="R215" i="12" s="1"/>
  <c r="R143" i="12" a="1"/>
  <c r="R143" i="12" s="1"/>
  <c r="R515" i="12" a="1"/>
  <c r="R515" i="12" s="1"/>
  <c r="R755" i="12" a="1"/>
  <c r="R755" i="12" s="1"/>
  <c r="R731" i="12" a="1"/>
  <c r="R731" i="12" s="1"/>
  <c r="R467" i="12" a="1"/>
  <c r="R467" i="12" s="1"/>
  <c r="R359" i="12" a="1"/>
  <c r="R359" i="12" s="1"/>
  <c r="R275" i="12" a="1"/>
  <c r="R275" i="12" s="1"/>
  <c r="R239" i="12" a="1"/>
  <c r="R239" i="12" s="1"/>
  <c r="R227" i="12" a="1"/>
  <c r="R227" i="12" s="1"/>
  <c r="R743" i="12" a="1"/>
  <c r="R743" i="12" s="1"/>
  <c r="R575" i="12" a="1"/>
  <c r="R575" i="12" s="1"/>
  <c r="R443" i="12" a="1"/>
  <c r="R443" i="12" s="1"/>
  <c r="R431" i="12" a="1"/>
  <c r="R431" i="12" s="1"/>
  <c r="R395" i="12" a="1"/>
  <c r="R395" i="12" s="1"/>
  <c r="R371" i="12" a="1"/>
  <c r="R371" i="12" s="1"/>
  <c r="R287" i="12" a="1"/>
  <c r="R287" i="12" s="1"/>
  <c r="R803" i="12" a="1"/>
  <c r="R803" i="12" s="1"/>
  <c r="R647" i="12" a="1"/>
  <c r="R647" i="12" s="1"/>
  <c r="R587" i="12" a="1"/>
  <c r="R587" i="12" s="1"/>
  <c r="R383" i="12" a="1"/>
  <c r="R383" i="12" s="1"/>
  <c r="R347" i="12" a="1"/>
  <c r="R347" i="12" s="1"/>
  <c r="R323" i="12" a="1"/>
  <c r="R323" i="12" s="1"/>
  <c r="R299" i="12" a="1"/>
  <c r="R299" i="12" s="1"/>
  <c r="R719" i="12" a="1"/>
  <c r="R719" i="12" s="1"/>
  <c r="R659" i="12" a="1"/>
  <c r="R659" i="12" s="1"/>
  <c r="R599" i="12" a="1"/>
  <c r="R599" i="12" s="1"/>
  <c r="R563" i="12" a="1"/>
  <c r="R563" i="12" s="1"/>
  <c r="R335" i="12" a="1"/>
  <c r="R335" i="12" s="1"/>
  <c r="R311" i="12" a="1"/>
  <c r="R311" i="12" s="1"/>
  <c r="R671" i="12" a="1"/>
  <c r="R671" i="12" s="1"/>
  <c r="R635" i="12" a="1"/>
  <c r="R635" i="12" s="1"/>
  <c r="R611" i="12" a="1"/>
  <c r="R611" i="12" s="1"/>
  <c r="R83" i="12" a="1"/>
  <c r="R83" i="12" s="1"/>
  <c r="R791" i="12" a="1"/>
  <c r="R791" i="12" s="1"/>
  <c r="R707" i="12" a="1"/>
  <c r="R707" i="12" s="1"/>
  <c r="R683" i="12" a="1"/>
  <c r="R683" i="12" s="1"/>
  <c r="R623" i="12" a="1"/>
  <c r="R623" i="12" s="1"/>
  <c r="R503" i="12" a="1"/>
  <c r="R503" i="12" s="1"/>
  <c r="R71" i="12" a="1"/>
  <c r="R71" i="12" s="1"/>
  <c r="R59" i="12" a="1"/>
  <c r="R59" i="12" s="1"/>
  <c r="R802" i="12" a="1"/>
  <c r="R802" i="12" s="1"/>
  <c r="R694" i="12" a="1"/>
  <c r="R694" i="12" s="1"/>
  <c r="R514" i="12" a="1"/>
  <c r="R514" i="12" s="1"/>
  <c r="R82" i="12" a="1"/>
  <c r="R82" i="12" s="1"/>
  <c r="R166" i="12" a="1"/>
  <c r="R166" i="12" s="1"/>
  <c r="R814" i="12" a="1"/>
  <c r="R814" i="12" s="1"/>
  <c r="R550" i="12" a="1"/>
  <c r="R550" i="12" s="1"/>
  <c r="R526" i="12" a="1"/>
  <c r="R526" i="12" s="1"/>
  <c r="R490" i="12" a="1"/>
  <c r="R490" i="12" s="1"/>
  <c r="R94" i="12" a="1"/>
  <c r="R94" i="12" s="1"/>
  <c r="R826" i="12" a="1"/>
  <c r="R826" i="12" s="1"/>
  <c r="R538" i="12" a="1"/>
  <c r="R538" i="12" s="1"/>
  <c r="R178" i="12" a="1"/>
  <c r="R178" i="12" s="1"/>
  <c r="R106" i="12" a="1"/>
  <c r="R106" i="12" s="1"/>
  <c r="R790" i="12" a="1"/>
  <c r="R790" i="12" s="1"/>
  <c r="R838" i="12" a="1"/>
  <c r="R838" i="12" s="1"/>
  <c r="R778" i="12" a="1"/>
  <c r="R778" i="12" s="1"/>
  <c r="R190" i="12" a="1"/>
  <c r="R190" i="12" s="1"/>
  <c r="R118" i="12" a="1"/>
  <c r="R118" i="12" s="1"/>
  <c r="R502" i="12" a="1"/>
  <c r="R502" i="12" s="1"/>
  <c r="R850" i="12" a="1"/>
  <c r="R850" i="12" s="1"/>
  <c r="R766" i="12" a="1"/>
  <c r="R766" i="12" s="1"/>
  <c r="R250" i="12" a="1"/>
  <c r="R250" i="12" s="1"/>
  <c r="R202" i="12" a="1"/>
  <c r="R202" i="12" s="1"/>
  <c r="R154" i="12" a="1"/>
  <c r="R154" i="12" s="1"/>
  <c r="R130" i="12" a="1"/>
  <c r="R130" i="12" s="1"/>
  <c r="R478" i="12" a="1"/>
  <c r="R478" i="12" s="1"/>
  <c r="R454" i="12" a="1"/>
  <c r="R454" i="12" s="1"/>
  <c r="R406" i="12" a="1"/>
  <c r="R406" i="12" s="1"/>
  <c r="R262" i="12" a="1"/>
  <c r="R262" i="12" s="1"/>
  <c r="R214" i="12" a="1"/>
  <c r="R214" i="12" s="1"/>
  <c r="R142" i="12" a="1"/>
  <c r="R142" i="12" s="1"/>
  <c r="R754" i="12" a="1"/>
  <c r="R754" i="12" s="1"/>
  <c r="R730" i="12" a="1"/>
  <c r="R730" i="12" s="1"/>
  <c r="R466" i="12" a="1"/>
  <c r="R466" i="12" s="1"/>
  <c r="R358" i="12" a="1"/>
  <c r="R358" i="12" s="1"/>
  <c r="R274" i="12" a="1"/>
  <c r="R274" i="12" s="1"/>
  <c r="R238" i="12" a="1"/>
  <c r="R238" i="12" s="1"/>
  <c r="R226" i="12" a="1"/>
  <c r="R226" i="12" s="1"/>
  <c r="R682" i="12" a="1"/>
  <c r="R682" i="12" s="1"/>
  <c r="R58" i="12" a="1"/>
  <c r="R58" i="12" s="1"/>
  <c r="R742" i="12" a="1"/>
  <c r="R742" i="12" s="1"/>
  <c r="R574" i="12" a="1"/>
  <c r="R574" i="12" s="1"/>
  <c r="R442" i="12" a="1"/>
  <c r="R442" i="12" s="1"/>
  <c r="R430" i="12" a="1"/>
  <c r="R430" i="12" s="1"/>
  <c r="R394" i="12" a="1"/>
  <c r="R394" i="12" s="1"/>
  <c r="R370" i="12" a="1"/>
  <c r="R370" i="12" s="1"/>
  <c r="R286" i="12" a="1"/>
  <c r="R286" i="12" s="1"/>
  <c r="R646" i="12" a="1"/>
  <c r="R646" i="12" s="1"/>
  <c r="R586" i="12" a="1"/>
  <c r="R586" i="12" s="1"/>
  <c r="R382" i="12" a="1"/>
  <c r="R382" i="12" s="1"/>
  <c r="R346" i="12" a="1"/>
  <c r="R346" i="12" s="1"/>
  <c r="R322" i="12" a="1"/>
  <c r="R322" i="12" s="1"/>
  <c r="R298" i="12" a="1"/>
  <c r="R298" i="12" s="1"/>
  <c r="R718" i="12" a="1"/>
  <c r="R718" i="12" s="1"/>
  <c r="R658" i="12" a="1"/>
  <c r="R658" i="12" s="1"/>
  <c r="R598" i="12" a="1"/>
  <c r="R598" i="12" s="1"/>
  <c r="R562" i="12" a="1"/>
  <c r="R562" i="12" s="1"/>
  <c r="R334" i="12" a="1"/>
  <c r="R334" i="12" s="1"/>
  <c r="R310" i="12" a="1"/>
  <c r="R310" i="12" s="1"/>
  <c r="R706" i="12" a="1"/>
  <c r="R706" i="12" s="1"/>
  <c r="R670" i="12" a="1"/>
  <c r="R670" i="12" s="1"/>
  <c r="R634" i="12" a="1"/>
  <c r="R634" i="12" s="1"/>
  <c r="R610" i="12" a="1"/>
  <c r="R610" i="12" s="1"/>
  <c r="R622" i="12" a="1"/>
  <c r="R622" i="12" s="1"/>
  <c r="R70" i="12" a="1"/>
  <c r="R70" i="12" s="1"/>
  <c r="R828" i="12" a="1"/>
  <c r="R828" i="12" s="1"/>
  <c r="R780" i="12" a="1"/>
  <c r="R780" i="12" s="1"/>
  <c r="R540" i="12" a="1"/>
  <c r="R540" i="12" s="1"/>
  <c r="R180" i="12" a="1"/>
  <c r="R180" i="12" s="1"/>
  <c r="R108" i="12" a="1"/>
  <c r="R108" i="12" s="1"/>
  <c r="R192" i="12" a="1"/>
  <c r="R192" i="12" s="1"/>
  <c r="R816" i="12" a="1"/>
  <c r="R816" i="12" s="1"/>
  <c r="R840" i="12" a="1"/>
  <c r="R840" i="12" s="1"/>
  <c r="R156" i="12" a="1"/>
  <c r="R156" i="12" s="1"/>
  <c r="R120" i="12" a="1"/>
  <c r="R120" i="12" s="1"/>
  <c r="R852" i="12" a="1"/>
  <c r="R852" i="12" s="1"/>
  <c r="R768" i="12" a="1"/>
  <c r="R768" i="12" s="1"/>
  <c r="R480" i="12" a="1"/>
  <c r="R480" i="12" s="1"/>
  <c r="R252" i="12" a="1"/>
  <c r="R252" i="12" s="1"/>
  <c r="R204" i="12" a="1"/>
  <c r="R204" i="12" s="1"/>
  <c r="R132" i="12" a="1"/>
  <c r="R132" i="12" s="1"/>
  <c r="R96" i="12" a="1"/>
  <c r="R96" i="12" s="1"/>
  <c r="R756" i="12" a="1"/>
  <c r="R756" i="12" s="1"/>
  <c r="R456" i="12" a="1"/>
  <c r="R456" i="12" s="1"/>
  <c r="R408" i="12" a="1"/>
  <c r="R408" i="12" s="1"/>
  <c r="R264" i="12" a="1"/>
  <c r="R264" i="12" s="1"/>
  <c r="R240" i="12" a="1"/>
  <c r="R240" i="12" s="1"/>
  <c r="R216" i="12" a="1"/>
  <c r="R216" i="12" s="1"/>
  <c r="R144" i="12" a="1"/>
  <c r="R144" i="12" s="1"/>
  <c r="R732" i="12" a="1"/>
  <c r="R732" i="12" s="1"/>
  <c r="R468" i="12" a="1"/>
  <c r="R468" i="12" s="1"/>
  <c r="R444" i="12" a="1"/>
  <c r="R444" i="12" s="1"/>
  <c r="R396" i="12" a="1"/>
  <c r="R396" i="12" s="1"/>
  <c r="R360" i="12" a="1"/>
  <c r="R360" i="12" s="1"/>
  <c r="R276" i="12" a="1"/>
  <c r="R276" i="12" s="1"/>
  <c r="R228" i="12" a="1"/>
  <c r="R228" i="12" s="1"/>
  <c r="R60" i="12" a="1"/>
  <c r="R60" i="12" s="1"/>
  <c r="R744" i="12" a="1"/>
  <c r="R744" i="12" s="1"/>
  <c r="R576" i="12" a="1"/>
  <c r="R576" i="12" s="1"/>
  <c r="R432" i="12" a="1"/>
  <c r="R432" i="12" s="1"/>
  <c r="R372" i="12" a="1"/>
  <c r="R372" i="12" s="1"/>
  <c r="R348" i="12" a="1"/>
  <c r="R348" i="12" s="1"/>
  <c r="R288" i="12" a="1"/>
  <c r="R288" i="12" s="1"/>
  <c r="R648" i="12" a="1"/>
  <c r="R648" i="12" s="1"/>
  <c r="R588" i="12" a="1"/>
  <c r="R588" i="12" s="1"/>
  <c r="R564" i="12" a="1"/>
  <c r="R564" i="12" s="1"/>
  <c r="R384" i="12" a="1"/>
  <c r="R384" i="12" s="1"/>
  <c r="R324" i="12" a="1"/>
  <c r="R324" i="12" s="1"/>
  <c r="R300" i="12" a="1"/>
  <c r="R300" i="12" s="1"/>
  <c r="R528" i="12" a="1"/>
  <c r="R528" i="12" s="1"/>
  <c r="R168" i="12" a="1"/>
  <c r="R168" i="12" s="1"/>
  <c r="R720" i="12" a="1"/>
  <c r="R720" i="12" s="1"/>
  <c r="R660" i="12" a="1"/>
  <c r="R660" i="12" s="1"/>
  <c r="R636" i="12" a="1"/>
  <c r="R636" i="12" s="1"/>
  <c r="R600" i="12" a="1"/>
  <c r="R600" i="12" s="1"/>
  <c r="R336" i="12" a="1"/>
  <c r="R336" i="12" s="1"/>
  <c r="R312" i="12" a="1"/>
  <c r="R312" i="12" s="1"/>
  <c r="R708" i="12" a="1"/>
  <c r="R708" i="12" s="1"/>
  <c r="R672" i="12" a="1"/>
  <c r="R672" i="12" s="1"/>
  <c r="R612" i="12" a="1"/>
  <c r="R612" i="12" s="1"/>
  <c r="R792" i="12" a="1"/>
  <c r="R792" i="12" s="1"/>
  <c r="R684" i="12" a="1"/>
  <c r="R684" i="12" s="1"/>
  <c r="R624" i="12" a="1"/>
  <c r="R624" i="12" s="1"/>
  <c r="R504" i="12" a="1"/>
  <c r="R504" i="12" s="1"/>
  <c r="R72" i="12" a="1"/>
  <c r="R72" i="12" s="1"/>
  <c r="R804" i="12" a="1"/>
  <c r="R804" i="12" s="1"/>
  <c r="R696" i="12" a="1"/>
  <c r="R696" i="12" s="1"/>
  <c r="R552" i="12" a="1"/>
  <c r="R552" i="12" s="1"/>
  <c r="R516" i="12" a="1"/>
  <c r="R516" i="12" s="1"/>
  <c r="R492" i="12" a="1"/>
  <c r="R492" i="12" s="1"/>
  <c r="R84" i="12" a="1"/>
  <c r="R84" i="12" s="1"/>
  <c r="R715" i="12" a="1"/>
  <c r="R715" i="12" s="1"/>
  <c r="R655" i="12" a="1"/>
  <c r="R655" i="12" s="1"/>
  <c r="R595" i="12" a="1"/>
  <c r="R595" i="12" s="1"/>
  <c r="R391" i="12" a="1"/>
  <c r="R391" i="12" s="1"/>
  <c r="R331" i="12" a="1"/>
  <c r="R331" i="12" s="1"/>
  <c r="R307" i="12" a="1"/>
  <c r="R307" i="12" s="1"/>
  <c r="R667" i="12" a="1"/>
  <c r="R667" i="12" s="1"/>
  <c r="R607" i="12" a="1"/>
  <c r="R607" i="12" s="1"/>
  <c r="R343" i="12" a="1"/>
  <c r="R343" i="12" s="1"/>
  <c r="R583" i="12" a="1"/>
  <c r="R583" i="12" s="1"/>
  <c r="R787" i="12" a="1"/>
  <c r="R787" i="12" s="1"/>
  <c r="R679" i="12" a="1"/>
  <c r="R679" i="12" s="1"/>
  <c r="R619" i="12" a="1"/>
  <c r="R619" i="12" s="1"/>
  <c r="R559" i="12" a="1"/>
  <c r="R559" i="12" s="1"/>
  <c r="R499" i="12" a="1"/>
  <c r="R499" i="12" s="1"/>
  <c r="R67" i="12" a="1"/>
  <c r="R67" i="12" s="1"/>
  <c r="R55" i="12" a="1"/>
  <c r="R55" i="12" s="1"/>
  <c r="R799" i="12" a="1"/>
  <c r="R799" i="12" s="1"/>
  <c r="R691" i="12" a="1"/>
  <c r="R691" i="12" s="1"/>
  <c r="R631" i="12" a="1"/>
  <c r="R631" i="12" s="1"/>
  <c r="R511" i="12" a="1"/>
  <c r="R511" i="12" s="1"/>
  <c r="R79" i="12" a="1"/>
  <c r="R79" i="12" s="1"/>
  <c r="R379" i="12" a="1"/>
  <c r="R379" i="12" s="1"/>
  <c r="R319" i="12" a="1"/>
  <c r="R319" i="12" s="1"/>
  <c r="R811" i="12" a="1"/>
  <c r="R811" i="12" s="1"/>
  <c r="R703" i="12" a="1"/>
  <c r="R703" i="12" s="1"/>
  <c r="R523" i="12" a="1"/>
  <c r="R523" i="12" s="1"/>
  <c r="R163" i="12" a="1"/>
  <c r="R163" i="12" s="1"/>
  <c r="R91" i="12" a="1"/>
  <c r="R91" i="12" s="1"/>
  <c r="R823" i="12" a="1"/>
  <c r="R823" i="12" s="1"/>
  <c r="R535" i="12" a="1"/>
  <c r="R535" i="12" s="1"/>
  <c r="R175" i="12" a="1"/>
  <c r="R175" i="12" s="1"/>
  <c r="R103" i="12" a="1"/>
  <c r="R103" i="12" s="1"/>
  <c r="R643" i="12" a="1"/>
  <c r="R643" i="12" s="1"/>
  <c r="R835" i="12" a="1"/>
  <c r="R835" i="12" s="1"/>
  <c r="R547" i="12" a="1"/>
  <c r="R547" i="12" s="1"/>
  <c r="R487" i="12" a="1"/>
  <c r="R487" i="12" s="1"/>
  <c r="R187" i="12" a="1"/>
  <c r="R187" i="12" s="1"/>
  <c r="R115" i="12" a="1"/>
  <c r="R115" i="12" s="1"/>
  <c r="R439" i="12" a="1"/>
  <c r="R439" i="12" s="1"/>
  <c r="R847" i="12" a="1"/>
  <c r="R847" i="12" s="1"/>
  <c r="R763" i="12" a="1"/>
  <c r="R763" i="12" s="1"/>
  <c r="R247" i="12" a="1"/>
  <c r="R247" i="12" s="1"/>
  <c r="R199" i="12" a="1"/>
  <c r="R199" i="12" s="1"/>
  <c r="R127" i="12" a="1"/>
  <c r="R127" i="12" s="1"/>
  <c r="R775" i="12" a="1"/>
  <c r="R775" i="12" s="1"/>
  <c r="R451" i="12" a="1"/>
  <c r="R451" i="12" s="1"/>
  <c r="R403" i="12" a="1"/>
  <c r="R403" i="12" s="1"/>
  <c r="R259" i="12" a="1"/>
  <c r="R259" i="12" s="1"/>
  <c r="R211" i="12" a="1"/>
  <c r="R211" i="12" s="1"/>
  <c r="R139" i="12" a="1"/>
  <c r="R139" i="12" s="1"/>
  <c r="R727" i="12" a="1"/>
  <c r="R727" i="12" s="1"/>
  <c r="R463" i="12" a="1"/>
  <c r="R463" i="12" s="1"/>
  <c r="R355" i="12" a="1"/>
  <c r="R355" i="12" s="1"/>
  <c r="R271" i="12" a="1"/>
  <c r="R271" i="12" s="1"/>
  <c r="R223" i="12" a="1"/>
  <c r="R223" i="12" s="1"/>
  <c r="R151" i="12" a="1"/>
  <c r="R151" i="12" s="1"/>
  <c r="R739" i="12" a="1"/>
  <c r="R739" i="12" s="1"/>
  <c r="R571" i="12" a="1"/>
  <c r="R571" i="12" s="1"/>
  <c r="R475" i="12" a="1"/>
  <c r="R475" i="12" s="1"/>
  <c r="R427" i="12" a="1"/>
  <c r="R427" i="12" s="1"/>
  <c r="R367" i="12" a="1"/>
  <c r="R367" i="12" s="1"/>
  <c r="R283" i="12" a="1"/>
  <c r="R283" i="12" s="1"/>
  <c r="R235" i="12" a="1"/>
  <c r="R235" i="12" s="1"/>
  <c r="R751" i="12" a="1"/>
  <c r="R751" i="12" s="1"/>
  <c r="R295" i="12" a="1"/>
  <c r="R295" i="12" s="1"/>
  <c r="R841" i="12" a="1"/>
  <c r="R841" i="12" s="1"/>
  <c r="R193" i="12" a="1"/>
  <c r="R193" i="12" s="1"/>
  <c r="R157" i="12" a="1"/>
  <c r="R157" i="12" s="1"/>
  <c r="R121" i="12" a="1"/>
  <c r="R121" i="12" s="1"/>
  <c r="R133" i="12" a="1"/>
  <c r="R133" i="12" s="1"/>
  <c r="R853" i="12" a="1"/>
  <c r="R853" i="12" s="1"/>
  <c r="R769" i="12" a="1"/>
  <c r="R769" i="12" s="1"/>
  <c r="R481" i="12" a="1"/>
  <c r="R481" i="12" s="1"/>
  <c r="R253" i="12" a="1"/>
  <c r="R253" i="12" s="1"/>
  <c r="R205" i="12" a="1"/>
  <c r="R205" i="12" s="1"/>
  <c r="R181" i="12" a="1"/>
  <c r="R181" i="12" s="1"/>
  <c r="R757" i="12" a="1"/>
  <c r="R757" i="12" s="1"/>
  <c r="R457" i="12" a="1"/>
  <c r="R457" i="12" s="1"/>
  <c r="R409" i="12" a="1"/>
  <c r="R409" i="12" s="1"/>
  <c r="R265" i="12" a="1"/>
  <c r="R265" i="12" s="1"/>
  <c r="R241" i="12" a="1"/>
  <c r="R241" i="12" s="1"/>
  <c r="R217" i="12" a="1"/>
  <c r="R217" i="12" s="1"/>
  <c r="R145" i="12" a="1"/>
  <c r="R145" i="12" s="1"/>
  <c r="R733" i="12" a="1"/>
  <c r="R733" i="12" s="1"/>
  <c r="R469" i="12" a="1"/>
  <c r="R469" i="12" s="1"/>
  <c r="R445" i="12" a="1"/>
  <c r="R445" i="12" s="1"/>
  <c r="R397" i="12" a="1"/>
  <c r="R397" i="12" s="1"/>
  <c r="R361" i="12" a="1"/>
  <c r="R361" i="12" s="1"/>
  <c r="R277" i="12" a="1"/>
  <c r="R277" i="12" s="1"/>
  <c r="R229" i="12" a="1"/>
  <c r="R229" i="12" s="1"/>
  <c r="R745" i="12" a="1"/>
  <c r="R745" i="12" s="1"/>
  <c r="R577" i="12" a="1"/>
  <c r="R577" i="12" s="1"/>
  <c r="R433" i="12" a="1"/>
  <c r="R433" i="12" s="1"/>
  <c r="R373" i="12" a="1"/>
  <c r="R373" i="12" s="1"/>
  <c r="R349" i="12" a="1"/>
  <c r="R349" i="12" s="1"/>
  <c r="R289" i="12" a="1"/>
  <c r="R289" i="12" s="1"/>
  <c r="R649" i="12" a="1"/>
  <c r="R649" i="12" s="1"/>
  <c r="R589" i="12" a="1"/>
  <c r="R589" i="12" s="1"/>
  <c r="R565" i="12" a="1"/>
  <c r="R565" i="12" s="1"/>
  <c r="R385" i="12" a="1"/>
  <c r="R385" i="12" s="1"/>
  <c r="R325" i="12" a="1"/>
  <c r="R325" i="12" s="1"/>
  <c r="R301" i="12" a="1"/>
  <c r="R301" i="12" s="1"/>
  <c r="R829" i="12" a="1"/>
  <c r="R829" i="12" s="1"/>
  <c r="R541" i="12" a="1"/>
  <c r="R541" i="12" s="1"/>
  <c r="R109" i="12" a="1"/>
  <c r="R109" i="12" s="1"/>
  <c r="R721" i="12" a="1"/>
  <c r="R721" i="12" s="1"/>
  <c r="R661" i="12" a="1"/>
  <c r="R661" i="12" s="1"/>
  <c r="R637" i="12" a="1"/>
  <c r="R637" i="12" s="1"/>
  <c r="R601" i="12" a="1"/>
  <c r="R601" i="12" s="1"/>
  <c r="R337" i="12" a="1"/>
  <c r="R337" i="12" s="1"/>
  <c r="R313" i="12" a="1"/>
  <c r="R313" i="12" s="1"/>
  <c r="R61" i="12" a="1"/>
  <c r="R61" i="12" s="1"/>
  <c r="R709" i="12" a="1"/>
  <c r="R709" i="12" s="1"/>
  <c r="R673" i="12" a="1"/>
  <c r="R673" i="12" s="1"/>
  <c r="R613" i="12" a="1"/>
  <c r="R613" i="12" s="1"/>
  <c r="R793" i="12" a="1"/>
  <c r="R793" i="12" s="1"/>
  <c r="R685" i="12" a="1"/>
  <c r="R685" i="12" s="1"/>
  <c r="R625" i="12" a="1"/>
  <c r="R625" i="12" s="1"/>
  <c r="R505" i="12" a="1"/>
  <c r="R505" i="12" s="1"/>
  <c r="R73" i="12" a="1"/>
  <c r="R73" i="12" s="1"/>
  <c r="R805" i="12" a="1"/>
  <c r="R805" i="12" s="1"/>
  <c r="R697" i="12" a="1"/>
  <c r="R697" i="12" s="1"/>
  <c r="R553" i="12" a="1"/>
  <c r="R553" i="12" s="1"/>
  <c r="R517" i="12" a="1"/>
  <c r="R517" i="12" s="1"/>
  <c r="R493" i="12" a="1"/>
  <c r="R493" i="12" s="1"/>
  <c r="R85" i="12" a="1"/>
  <c r="R85" i="12" s="1"/>
  <c r="R817" i="12" a="1"/>
  <c r="R817" i="12" s="1"/>
  <c r="R529" i="12" a="1"/>
  <c r="R529" i="12" s="1"/>
  <c r="R169" i="12" a="1"/>
  <c r="R169" i="12" s="1"/>
  <c r="R97" i="12" a="1"/>
  <c r="R97" i="12" s="1"/>
  <c r="R781" i="12" a="1"/>
  <c r="R781" i="12" s="1"/>
  <c r="R789" i="12" a="1"/>
  <c r="R789" i="12" s="1"/>
  <c r="R681" i="12" a="1"/>
  <c r="R681" i="12" s="1"/>
  <c r="R633" i="12" a="1"/>
  <c r="R633" i="12" s="1"/>
  <c r="R621" i="12" a="1"/>
  <c r="R621" i="12" s="1"/>
  <c r="R501" i="12" a="1"/>
  <c r="R501" i="12" s="1"/>
  <c r="R69" i="12" a="1"/>
  <c r="R69" i="12" s="1"/>
  <c r="R57" i="12" a="1"/>
  <c r="R57" i="12" s="1"/>
  <c r="R81" i="12" a="1"/>
  <c r="R81" i="12" s="1"/>
  <c r="R801" i="12" a="1"/>
  <c r="R801" i="12" s="1"/>
  <c r="R705" i="12" a="1"/>
  <c r="R705" i="12" s="1"/>
  <c r="R693" i="12" a="1"/>
  <c r="R693" i="12" s="1"/>
  <c r="R513" i="12" a="1"/>
  <c r="R513" i="12" s="1"/>
  <c r="R813" i="12" a="1"/>
  <c r="R813" i="12" s="1"/>
  <c r="R525" i="12" a="1"/>
  <c r="R525" i="12" s="1"/>
  <c r="R165" i="12" a="1"/>
  <c r="R165" i="12" s="1"/>
  <c r="R93" i="12" a="1"/>
  <c r="R93" i="12" s="1"/>
  <c r="R825" i="12" a="1"/>
  <c r="R825" i="12" s="1"/>
  <c r="R549" i="12" a="1"/>
  <c r="R549" i="12" s="1"/>
  <c r="R537" i="12" a="1"/>
  <c r="R537" i="12" s="1"/>
  <c r="R489" i="12" a="1"/>
  <c r="R489" i="12" s="1"/>
  <c r="R177" i="12" a="1"/>
  <c r="R177" i="12" s="1"/>
  <c r="R105" i="12" a="1"/>
  <c r="R105" i="12" s="1"/>
  <c r="R669" i="12" a="1"/>
  <c r="R669" i="12" s="1"/>
  <c r="R837" i="12" a="1"/>
  <c r="R837" i="12" s="1"/>
  <c r="R189" i="12" a="1"/>
  <c r="R189" i="12" s="1"/>
  <c r="R117" i="12" a="1"/>
  <c r="R117" i="12" s="1"/>
  <c r="R849" i="12" a="1"/>
  <c r="R849" i="12" s="1"/>
  <c r="R777" i="12" a="1"/>
  <c r="R777" i="12" s="1"/>
  <c r="R765" i="12" a="1"/>
  <c r="R765" i="12" s="1"/>
  <c r="R249" i="12" a="1"/>
  <c r="R249" i="12" s="1"/>
  <c r="R201" i="12" a="1"/>
  <c r="R201" i="12" s="1"/>
  <c r="R129" i="12" a="1"/>
  <c r="R129" i="12" s="1"/>
  <c r="R453" i="12" a="1"/>
  <c r="R453" i="12" s="1"/>
  <c r="R405" i="12" a="1"/>
  <c r="R405" i="12" s="1"/>
  <c r="R261" i="12" a="1"/>
  <c r="R261" i="12" s="1"/>
  <c r="R213" i="12" a="1"/>
  <c r="R213" i="12" s="1"/>
  <c r="R153" i="12" a="1"/>
  <c r="R153" i="12" s="1"/>
  <c r="R141" i="12" a="1"/>
  <c r="R141" i="12" s="1"/>
  <c r="R729" i="12" a="1"/>
  <c r="R729" i="12" s="1"/>
  <c r="R477" i="12" a="1"/>
  <c r="R477" i="12" s="1"/>
  <c r="R465" i="12" a="1"/>
  <c r="R465" i="12" s="1"/>
  <c r="R357" i="12" a="1"/>
  <c r="R357" i="12" s="1"/>
  <c r="R273" i="12" a="1"/>
  <c r="R273" i="12" s="1"/>
  <c r="R225" i="12" a="1"/>
  <c r="R225" i="12" s="1"/>
  <c r="R753" i="12" a="1"/>
  <c r="R753" i="12" s="1"/>
  <c r="R741" i="12" a="1"/>
  <c r="R741" i="12" s="1"/>
  <c r="R573" i="12" a="1"/>
  <c r="R573" i="12" s="1"/>
  <c r="R429" i="12" a="1"/>
  <c r="R429" i="12" s="1"/>
  <c r="R369" i="12" a="1"/>
  <c r="R369" i="12" s="1"/>
  <c r="R285" i="12" a="1"/>
  <c r="R285" i="12" s="1"/>
  <c r="R237" i="12" a="1"/>
  <c r="R237" i="12" s="1"/>
  <c r="R561" i="12" a="1"/>
  <c r="R561" i="12" s="1"/>
  <c r="R645" i="12" a="1"/>
  <c r="R645" i="12" s="1"/>
  <c r="R585" i="12" a="1"/>
  <c r="R585" i="12" s="1"/>
  <c r="R441" i="12" a="1"/>
  <c r="R441" i="12" s="1"/>
  <c r="R393" i="12" a="1"/>
  <c r="R393" i="12" s="1"/>
  <c r="R381" i="12" a="1"/>
  <c r="R381" i="12" s="1"/>
  <c r="R321" i="12" a="1"/>
  <c r="R321" i="12" s="1"/>
  <c r="R297" i="12" a="1"/>
  <c r="R297" i="12" s="1"/>
  <c r="R609" i="12" a="1"/>
  <c r="R609" i="12" s="1"/>
  <c r="R717" i="12" a="1"/>
  <c r="R717" i="12" s="1"/>
  <c r="R657" i="12" a="1"/>
  <c r="R657" i="12" s="1"/>
  <c r="R597" i="12" a="1"/>
  <c r="R597" i="12" s="1"/>
  <c r="R345" i="12" a="1"/>
  <c r="R345" i="12" s="1"/>
  <c r="R333" i="12" a="1"/>
  <c r="R333" i="12" s="1"/>
  <c r="R309" i="12" a="1"/>
  <c r="R309" i="12" s="1"/>
  <c r="Q67" i="12"/>
  <c r="Q68" i="12" l="1"/>
  <c r="Q69" i="12" l="1"/>
  <c r="Q70" i="12" l="1"/>
  <c r="Q71" i="12" l="1"/>
  <c r="Q72" i="12" l="1"/>
  <c r="Q73" i="12" l="1"/>
  <c r="F65" i="12" l="1" a="1"/>
  <c r="F65" i="12" s="1"/>
  <c r="F66" i="12" a="1"/>
  <c r="F66" i="12" s="1"/>
  <c r="F67" i="12" l="1" a="1"/>
  <c r="F67" i="12" s="1"/>
  <c r="Q426" i="12" l="1"/>
  <c r="Q438" i="12" l="1"/>
  <c r="Q439" i="12" l="1"/>
  <c r="Q450" i="12" l="1"/>
  <c r="Q451" i="12" l="1"/>
  <c r="Q452" i="12" l="1"/>
  <c r="Q453" i="12" l="1"/>
  <c r="Q462" i="12" l="1"/>
  <c r="Q463" i="12" l="1"/>
  <c r="Q464" i="12" l="1"/>
  <c r="Q510" i="12" l="1"/>
  <c r="Q511" i="12" l="1"/>
  <c r="Q512" i="12" l="1"/>
  <c r="Q546" i="12" l="1"/>
  <c r="Q547" i="12" l="1"/>
  <c r="Q570" i="12" l="1"/>
  <c r="Q571" i="12" l="1"/>
  <c r="Q572" i="12" l="1"/>
  <c r="Q606" i="12" l="1"/>
  <c r="Q607" i="12" l="1"/>
  <c r="Q654" i="12" l="1"/>
  <c r="Q655" i="12" l="1"/>
  <c r="Q656" i="12" l="1"/>
  <c r="Q678" i="12" l="1"/>
  <c r="Q679" i="12" l="1"/>
  <c r="Q680" i="12" l="1"/>
  <c r="Q690" i="12" l="1"/>
  <c r="Q702" i="12" l="1"/>
  <c r="Q703" i="12" l="1"/>
  <c r="Q726" i="12" l="1"/>
  <c r="Q727" i="12" l="1"/>
  <c r="Q728" i="12" l="1"/>
  <c r="Q738" i="12" l="1"/>
  <c r="Q739" i="12" l="1"/>
  <c r="Q750" i="12" l="1"/>
  <c r="Q751" i="12" l="1"/>
  <c r="Q762" i="12" l="1"/>
  <c r="Q763" i="12" l="1"/>
  <c r="Q786" i="12" l="1"/>
  <c r="Q798" i="12" l="1"/>
  <c r="Q799" i="12" l="1"/>
  <c r="AA61" i="12" l="1" a="1"/>
  <c r="AA61" i="12" s="1"/>
  <c r="AA63" i="12" a="1"/>
  <c r="AA63" i="12" s="1"/>
  <c r="AA57" i="12" a="1"/>
  <c r="AA57" i="12" s="1"/>
  <c r="AA55" i="12" a="1"/>
  <c r="AA55" i="12" s="1"/>
  <c r="AA56" i="12" a="1"/>
  <c r="AA56" i="12" s="1"/>
  <c r="AA64" i="12" a="1"/>
  <c r="AA64" i="12" s="1"/>
  <c r="AE54" i="12" a="1"/>
  <c r="AE54" i="12" s="1"/>
  <c r="AE55" i="12" a="1"/>
  <c r="AE55" i="12" s="1"/>
  <c r="AE56" i="12" a="1"/>
  <c r="AE56" i="12" s="1"/>
  <c r="AE57" i="12" a="1"/>
  <c r="AE57" i="12" s="1"/>
  <c r="AE58" i="12" a="1"/>
  <c r="AE58" i="12" s="1"/>
  <c r="AE59" i="12" a="1"/>
  <c r="AE59" i="12" s="1"/>
  <c r="AE60" i="12" a="1"/>
  <c r="AE60" i="12" s="1"/>
  <c r="AE61" i="12" a="1"/>
  <c r="AE61" i="12" s="1"/>
  <c r="AE62" i="12" a="1"/>
  <c r="AE62" i="12" s="1"/>
  <c r="AE63" i="12" a="1"/>
  <c r="AE63" i="12" s="1"/>
  <c r="AE64" i="12" a="1"/>
  <c r="AE64" i="12" s="1"/>
  <c r="AB54" i="12" a="1"/>
  <c r="AB54" i="12" s="1"/>
  <c r="AB59" i="12" a="1"/>
  <c r="AB59" i="12" s="1"/>
  <c r="AB58" i="12" a="1"/>
  <c r="AB58" i="12" s="1"/>
  <c r="AB55" i="12" a="1"/>
  <c r="AB55" i="12" s="1"/>
  <c r="AB60" i="12" a="1"/>
  <c r="AB60" i="12" s="1"/>
  <c r="AB61" i="12" l="1" a="1"/>
  <c r="AB61" i="12" s="1"/>
  <c r="AA54" i="12" a="1"/>
  <c r="AA54" i="12" s="1"/>
  <c r="AA62" i="12" a="1"/>
  <c r="AA62" i="12" s="1"/>
  <c r="AA60" i="12" a="1"/>
  <c r="AA60" i="12" s="1"/>
  <c r="AA59" i="12" a="1"/>
  <c r="AA59" i="12" s="1"/>
  <c r="AB62" i="12" a="1"/>
  <c r="AB62" i="12" s="1"/>
  <c r="AB63" i="12" a="1"/>
  <c r="AB63" i="12" s="1"/>
  <c r="AB64" i="12" a="1"/>
  <c r="AB64" i="12" s="1"/>
  <c r="AA58" i="12" a="1"/>
  <c r="AA58" i="12" s="1"/>
  <c r="AB56" i="12" a="1"/>
  <c r="AB56" i="12" s="1"/>
  <c r="AB57" i="12" a="1"/>
  <c r="AB57" i="12" s="1"/>
  <c r="R461" i="12" l="1" a="1"/>
  <c r="R461" i="12" s="1"/>
  <c r="R833" i="12" a="1"/>
  <c r="R833" i="12" s="1"/>
  <c r="R857" i="12" a="1"/>
  <c r="R857" i="12" s="1"/>
  <c r="R845" i="12" a="1"/>
  <c r="R845" i="12" s="1"/>
  <c r="R329" i="12" a="1"/>
  <c r="R329" i="12" s="1"/>
  <c r="R821" i="12" a="1"/>
  <c r="R821" i="12" s="1"/>
  <c r="R809" i="12" a="1"/>
  <c r="R809" i="12" s="1"/>
  <c r="R797" i="12" a="1"/>
  <c r="R797" i="12" s="1"/>
  <c r="R785" i="12" a="1"/>
  <c r="R785" i="12" s="1"/>
  <c r="R773" i="12" a="1"/>
  <c r="R773" i="12" s="1"/>
  <c r="R737" i="12" a="1"/>
  <c r="R737" i="12" s="1"/>
  <c r="R341" i="12" a="1"/>
  <c r="R341" i="12" s="1"/>
  <c r="R689" i="12" a="1"/>
  <c r="R689" i="12" s="1"/>
  <c r="R761" i="12" a="1"/>
  <c r="R761" i="12" s="1"/>
  <c r="R725" i="12" a="1"/>
  <c r="R725" i="12" s="1"/>
  <c r="R749" i="12" a="1"/>
  <c r="R749" i="12" s="1"/>
  <c r="R713" i="12" a="1"/>
  <c r="R713" i="12" s="1"/>
  <c r="R701" i="12" a="1"/>
  <c r="R701" i="12" s="1"/>
  <c r="R665" i="12" a="1"/>
  <c r="R665" i="12" s="1"/>
  <c r="R677" i="12" a="1"/>
  <c r="R677" i="12" s="1"/>
  <c r="R629" i="12" a="1"/>
  <c r="R629" i="12" s="1"/>
  <c r="R653" i="12" a="1"/>
  <c r="R653" i="12" s="1"/>
  <c r="R641" i="12" a="1"/>
  <c r="R641" i="12" s="1"/>
  <c r="R617" i="12" a="1"/>
  <c r="R617" i="12" s="1"/>
  <c r="R581" i="12" a="1"/>
  <c r="R581" i="12" s="1"/>
  <c r="R569" i="12" a="1"/>
  <c r="R569" i="12" s="1"/>
  <c r="R485" i="12" a="1"/>
  <c r="R485" i="12" s="1"/>
  <c r="R605" i="12" a="1"/>
  <c r="R605" i="12" s="1"/>
  <c r="R521" i="12" a="1"/>
  <c r="R521" i="12" s="1"/>
  <c r="R593" i="12" a="1"/>
  <c r="R593" i="12" s="1"/>
  <c r="R557" i="12" a="1"/>
  <c r="R557" i="12" s="1"/>
  <c r="R545" i="12" a="1"/>
  <c r="R545" i="12" s="1"/>
  <c r="R533" i="12" a="1"/>
  <c r="R533" i="12" s="1"/>
  <c r="R509" i="12" a="1"/>
  <c r="R509" i="12" s="1"/>
  <c r="R353" i="12" a="1"/>
  <c r="R353" i="12" s="1"/>
  <c r="R497" i="12" a="1"/>
  <c r="R497" i="12" s="1"/>
  <c r="R413" i="12" a="1"/>
  <c r="R413" i="12" s="1"/>
  <c r="R473" i="12" a="1"/>
  <c r="R473" i="12" s="1"/>
  <c r="R449" i="12" a="1"/>
  <c r="R449" i="12" s="1"/>
  <c r="R437" i="12" a="1"/>
  <c r="R437" i="12" s="1"/>
  <c r="R425" i="12" a="1"/>
  <c r="R425" i="12" s="1"/>
  <c r="R209" i="12" a="1"/>
  <c r="R209" i="12" s="1"/>
  <c r="R401" i="12" a="1"/>
  <c r="R401" i="12" s="1"/>
  <c r="R377" i="12" a="1"/>
  <c r="R377" i="12" s="1"/>
  <c r="R389" i="12" a="1"/>
  <c r="R389" i="12" s="1"/>
  <c r="R365" i="12" a="1"/>
  <c r="R365" i="12" s="1"/>
  <c r="R317" i="12" a="1"/>
  <c r="R317" i="12" s="1"/>
  <c r="R305" i="12" a="1"/>
  <c r="R305" i="12" s="1"/>
  <c r="R293" i="12" a="1"/>
  <c r="R293" i="12" s="1"/>
  <c r="R281" i="12" a="1"/>
  <c r="R281" i="12" s="1"/>
  <c r="R257" i="12" a="1"/>
  <c r="R257" i="12" s="1"/>
  <c r="R269" i="12" a="1"/>
  <c r="R269" i="12" s="1"/>
  <c r="R245" i="12" a="1"/>
  <c r="R245" i="12" s="1"/>
  <c r="R161" i="12" a="1"/>
  <c r="R161" i="12" s="1"/>
  <c r="R233" i="12" a="1"/>
  <c r="R233" i="12" s="1"/>
  <c r="R101" i="12" a="1"/>
  <c r="R101" i="12" s="1"/>
  <c r="R221" i="12" a="1"/>
  <c r="R221" i="12" s="1"/>
  <c r="R197" i="12" a="1"/>
  <c r="R197" i="12" s="1"/>
  <c r="R173" i="12" a="1"/>
  <c r="R173" i="12" s="1"/>
  <c r="R185" i="12" a="1"/>
  <c r="R185" i="12" s="1"/>
  <c r="R89" i="12" a="1"/>
  <c r="R89" i="12" s="1"/>
  <c r="R149" i="12" a="1"/>
  <c r="R149" i="12" s="1"/>
  <c r="R113" i="12" a="1"/>
  <c r="R113" i="12" s="1"/>
  <c r="R125" i="12" a="1"/>
  <c r="R125" i="12" s="1"/>
  <c r="R137" i="12" a="1"/>
  <c r="R137" i="12" s="1"/>
  <c r="R77" i="12" a="1"/>
  <c r="R77" i="12" s="1"/>
  <c r="R65" i="12" a="1"/>
  <c r="R65" i="12" s="1"/>
  <c r="F117" i="12" l="1" a="1"/>
  <c r="F117" i="12" s="1"/>
  <c r="S419" i="12" s="1" a="1"/>
  <c r="S419" i="12" s="1"/>
  <c r="T419" i="12" s="1" a="1"/>
  <c r="T419" i="12" s="1"/>
  <c r="F118" i="12" a="1"/>
  <c r="F118" i="12" s="1"/>
  <c r="S420" i="12" s="1" a="1"/>
  <c r="S420" i="12" s="1"/>
  <c r="T420" i="12" s="1" a="1"/>
  <c r="T420" i="12" s="1"/>
  <c r="F124" i="12" a="1"/>
  <c r="F124" i="12" s="1"/>
  <c r="S424" i="12" s="1" a="1"/>
  <c r="S424" i="12" s="1"/>
  <c r="T424" i="12" s="1" a="1"/>
  <c r="T424" i="12" s="1"/>
  <c r="F119" i="12" a="1"/>
  <c r="F119" i="12" s="1"/>
  <c r="S417" i="12" s="1" a="1"/>
  <c r="S417" i="12" s="1"/>
  <c r="T417" i="12" s="1" a="1"/>
  <c r="T417" i="12" s="1"/>
  <c r="F125" i="12" a="1"/>
  <c r="F125" i="12" s="1"/>
  <c r="S414" i="12" s="1" a="1"/>
  <c r="S414" i="12" s="1"/>
  <c r="T414" i="12" s="1" a="1"/>
  <c r="T414" i="12" s="1"/>
  <c r="F120" i="12" a="1"/>
  <c r="F120" i="12" s="1"/>
  <c r="S418" i="12" s="1" a="1"/>
  <c r="S418" i="12" s="1"/>
  <c r="T418" i="12" s="1" a="1"/>
  <c r="T418" i="12" s="1"/>
  <c r="F121" i="12" a="1"/>
  <c r="F121" i="12" s="1"/>
  <c r="S421" i="12" s="1" a="1"/>
  <c r="S421" i="12" s="1"/>
  <c r="T421" i="12" s="1" a="1"/>
  <c r="T421" i="12" s="1"/>
  <c r="F122" i="12" a="1"/>
  <c r="F122" i="12" s="1"/>
  <c r="S422" i="12" s="1" a="1"/>
  <c r="S422" i="12" s="1"/>
  <c r="T422" i="12" s="1" a="1"/>
  <c r="T422" i="12" s="1"/>
  <c r="F123" i="12" a="1"/>
  <c r="F123" i="12" s="1"/>
  <c r="S423" i="12" s="1" a="1"/>
  <c r="S423" i="12" s="1"/>
  <c r="T423" i="12" s="1" a="1"/>
  <c r="T423" i="12" s="1"/>
  <c r="F126" i="12" a="1"/>
  <c r="F126" i="12" s="1"/>
  <c r="S415" i="12" s="1" a="1"/>
  <c r="S415" i="12" s="1"/>
  <c r="T415" i="12" s="1" a="1"/>
  <c r="T415" i="12" s="1"/>
  <c r="F127" i="12" a="1"/>
  <c r="F127" i="12" s="1"/>
  <c r="S416" i="12" s="1" a="1"/>
  <c r="S416" i="12" s="1"/>
  <c r="T416" i="12" s="1" a="1"/>
  <c r="T416" i="12" s="1"/>
  <c r="AC54" i="12" a="1"/>
  <c r="AC54" i="12" s="1"/>
  <c r="AC59" i="12" a="1"/>
  <c r="AC59" i="12" s="1"/>
  <c r="AC64" i="12" a="1"/>
  <c r="AC64" i="12" s="1"/>
  <c r="AC58" i="12" a="1"/>
  <c r="AC58" i="12" s="1"/>
  <c r="AC63" i="12" a="1"/>
  <c r="AC63" i="12" s="1"/>
  <c r="AC57" i="12" a="1"/>
  <c r="AC57" i="12" s="1"/>
  <c r="AC62" i="12" a="1"/>
  <c r="AC62" i="12" s="1"/>
  <c r="AC56" i="12" a="1"/>
  <c r="AC56" i="12" s="1"/>
  <c r="AC61" i="12" a="1"/>
  <c r="AC61" i="12" s="1"/>
  <c r="AC55" i="12" a="1"/>
  <c r="AC55" i="12" s="1"/>
  <c r="AC60" i="12" a="1"/>
  <c r="AC60" i="12" s="1"/>
  <c r="AG60" i="12" a="1"/>
  <c r="AG60" i="12" s="1"/>
  <c r="AF60" i="12" a="1"/>
  <c r="AF60" i="12" s="1"/>
  <c r="AG56" i="12" a="1"/>
  <c r="AG56" i="12" s="1"/>
  <c r="AF56" i="12" a="1"/>
  <c r="AF56" i="12" s="1"/>
  <c r="AF61" i="12" a="1"/>
  <c r="AF61" i="12" s="1"/>
  <c r="AF54" i="12" a="1"/>
  <c r="AF54" i="12" s="1"/>
  <c r="AF64" i="12" a="1"/>
  <c r="AF64" i="12" s="1"/>
  <c r="AG59" i="12" a="1"/>
  <c r="AG59" i="12" s="1"/>
  <c r="AG55" i="12" a="1"/>
  <c r="AG55" i="12" s="1"/>
  <c r="AF57" i="12" a="1"/>
  <c r="AF57" i="12" s="1"/>
  <c r="AG57" i="12" a="1"/>
  <c r="AG57" i="12" s="1"/>
  <c r="AG64" i="12" a="1"/>
  <c r="AG64" i="12" s="1"/>
  <c r="AG61" i="12" a="1"/>
  <c r="AG61" i="12" s="1"/>
  <c r="AF59" i="12" a="1"/>
  <c r="AF59" i="12" s="1"/>
  <c r="AF62" i="12" a="1"/>
  <c r="AF62" i="12" s="1"/>
  <c r="AG63" i="12" a="1"/>
  <c r="AG63" i="12" s="1"/>
  <c r="AG58" i="12" a="1"/>
  <c r="AG58" i="12" s="1"/>
  <c r="AF63" i="12" a="1"/>
  <c r="AF63" i="12" s="1"/>
  <c r="AF55" i="12" a="1"/>
  <c r="AF55" i="12" s="1"/>
  <c r="AG54" i="12" a="1"/>
  <c r="AG54" i="12" s="1"/>
  <c r="AF58" i="12" a="1"/>
  <c r="AF58" i="12" s="1"/>
  <c r="AG62" i="12" a="1"/>
  <c r="AG62" i="12" s="1"/>
  <c r="S851" i="12" l="1" a="1"/>
  <c r="S851" i="12" s="1"/>
  <c r="S95" i="12" a="1"/>
  <c r="S95" i="12" s="1"/>
  <c r="S155" i="12" a="1"/>
  <c r="S155" i="12" s="1"/>
  <c r="S119" i="12" a="1"/>
  <c r="S119" i="12" s="1"/>
  <c r="S71" i="12" a="1"/>
  <c r="S71" i="12" s="1"/>
  <c r="S143" i="12" a="1"/>
  <c r="S143" i="12" s="1"/>
  <c r="S59" i="12" a="1"/>
  <c r="S59" i="12" s="1"/>
  <c r="S167" i="12" a="1"/>
  <c r="S167" i="12" s="1"/>
  <c r="S107" i="12" a="1"/>
  <c r="S107" i="12" s="1"/>
  <c r="S83" i="12" a="1"/>
  <c r="S83" i="12" s="1"/>
  <c r="S131" i="12" a="1"/>
  <c r="S131" i="12" s="1"/>
  <c r="S855" i="12" a="1"/>
  <c r="S855" i="12" s="1"/>
  <c r="S123" i="12" a="1"/>
  <c r="S123" i="12" s="1"/>
  <c r="S171" i="12" a="1"/>
  <c r="S171" i="12" s="1"/>
  <c r="S75" i="12" a="1"/>
  <c r="S75" i="12" s="1"/>
  <c r="S87" i="12" a="1"/>
  <c r="S87" i="12" s="1"/>
  <c r="S63" i="12" a="1"/>
  <c r="S63" i="12" s="1"/>
  <c r="S147" i="12" a="1"/>
  <c r="S147" i="12" s="1"/>
  <c r="S159" i="12" a="1"/>
  <c r="S159" i="12" s="1"/>
  <c r="S99" i="12" a="1"/>
  <c r="S99" i="12" s="1"/>
  <c r="S111" i="12" a="1"/>
  <c r="S111" i="12" s="1"/>
  <c r="S135" i="12" a="1"/>
  <c r="S135" i="12" s="1"/>
  <c r="S91" i="12" a="1"/>
  <c r="S91" i="12" s="1"/>
  <c r="S115" i="12" a="1"/>
  <c r="S115" i="12" s="1"/>
  <c r="S67" i="12" a="1"/>
  <c r="S67" i="12" s="1"/>
  <c r="S151" i="12" a="1"/>
  <c r="S151" i="12" s="1"/>
  <c r="S55" i="12" a="1"/>
  <c r="S55" i="12" s="1"/>
  <c r="S79" i="12" a="1"/>
  <c r="S79" i="12" s="1"/>
  <c r="S127" i="12" a="1"/>
  <c r="S127" i="12" s="1"/>
  <c r="S103" i="12" a="1"/>
  <c r="S103" i="12" s="1"/>
  <c r="S163" i="12" a="1"/>
  <c r="S163" i="12" s="1"/>
  <c r="S139" i="12" a="1"/>
  <c r="S139" i="12" s="1"/>
  <c r="S852" i="12" a="1"/>
  <c r="S852" i="12" s="1"/>
  <c r="S120" i="12" a="1"/>
  <c r="S120" i="12" s="1"/>
  <c r="S156" i="12" a="1"/>
  <c r="S156" i="12" s="1"/>
  <c r="S60" i="12" a="1"/>
  <c r="S60" i="12" s="1"/>
  <c r="S108" i="12" a="1"/>
  <c r="S108" i="12" s="1"/>
  <c r="S144" i="12" a="1"/>
  <c r="S144" i="12" s="1"/>
  <c r="S72" i="12" a="1"/>
  <c r="S72" i="12" s="1"/>
  <c r="S96" i="12" a="1"/>
  <c r="S96" i="12" s="1"/>
  <c r="S84" i="12" a="1"/>
  <c r="S84" i="12" s="1"/>
  <c r="S168" i="12" a="1"/>
  <c r="S168" i="12" s="1"/>
  <c r="S132" i="12" a="1"/>
  <c r="S132" i="12" s="1"/>
  <c r="S853" i="12" a="1"/>
  <c r="S853" i="12" s="1"/>
  <c r="S157" i="12" a="1"/>
  <c r="S157" i="12" s="1"/>
  <c r="S73" i="12" a="1"/>
  <c r="S73" i="12" s="1"/>
  <c r="S97" i="12" a="1"/>
  <c r="S97" i="12" s="1"/>
  <c r="S109" i="12" a="1"/>
  <c r="S109" i="12" s="1"/>
  <c r="S145" i="12" a="1"/>
  <c r="S145" i="12" s="1"/>
  <c r="S121" i="12" a="1"/>
  <c r="S121" i="12" s="1"/>
  <c r="S85" i="12" a="1"/>
  <c r="S85" i="12" s="1"/>
  <c r="S133" i="12" a="1"/>
  <c r="S133" i="12" s="1"/>
  <c r="S61" i="12" a="1"/>
  <c r="S61" i="12" s="1"/>
  <c r="S169" i="12" a="1"/>
  <c r="S169" i="12" s="1"/>
  <c r="S856" i="12" a="1"/>
  <c r="S856" i="12" s="1"/>
  <c r="S100" i="12" a="1"/>
  <c r="S100" i="12" s="1"/>
  <c r="S172" i="12" a="1"/>
  <c r="S172" i="12" s="1"/>
  <c r="S136" i="12" a="1"/>
  <c r="S136" i="12" s="1"/>
  <c r="S64" i="12" a="1"/>
  <c r="S64" i="12" s="1"/>
  <c r="S160" i="12" a="1"/>
  <c r="S160" i="12" s="1"/>
  <c r="S148" i="12" a="1"/>
  <c r="S148" i="12" s="1"/>
  <c r="S76" i="12" a="1"/>
  <c r="S76" i="12" s="1"/>
  <c r="S88" i="12" a="1"/>
  <c r="S88" i="12" s="1"/>
  <c r="S112" i="12" a="1"/>
  <c r="S112" i="12" s="1"/>
  <c r="S124" i="12" a="1"/>
  <c r="S124" i="12" s="1"/>
  <c r="S116" i="12" a="1"/>
  <c r="S116" i="12" s="1"/>
  <c r="S140" i="12" a="1"/>
  <c r="S140" i="12" s="1"/>
  <c r="S80" i="12" a="1"/>
  <c r="S80" i="12" s="1"/>
  <c r="S128" i="12" a="1"/>
  <c r="S128" i="12" s="1"/>
  <c r="S164" i="12" a="1"/>
  <c r="S164" i="12" s="1"/>
  <c r="S104" i="12" a="1"/>
  <c r="S104" i="12" s="1"/>
  <c r="S92" i="12" a="1"/>
  <c r="S92" i="12" s="1"/>
  <c r="S56" i="12" a="1"/>
  <c r="S56" i="12" s="1"/>
  <c r="S68" i="12" a="1"/>
  <c r="S68" i="12" s="1"/>
  <c r="S152" i="12" a="1"/>
  <c r="S152" i="12" s="1"/>
  <c r="S849" i="12" a="1"/>
  <c r="S849" i="12" s="1"/>
  <c r="S141" i="12" a="1"/>
  <c r="S141" i="12" s="1"/>
  <c r="S81" i="12" a="1"/>
  <c r="S81" i="12" s="1"/>
  <c r="S153" i="12" a="1"/>
  <c r="S153" i="12" s="1"/>
  <c r="S57" i="12" a="1"/>
  <c r="S57" i="12" s="1"/>
  <c r="S93" i="12" a="1"/>
  <c r="S93" i="12" s="1"/>
  <c r="S105" i="12" a="1"/>
  <c r="S105" i="12" s="1"/>
  <c r="S117" i="12" a="1"/>
  <c r="S117" i="12" s="1"/>
  <c r="S129" i="12" a="1"/>
  <c r="S129" i="12" s="1"/>
  <c r="S165" i="12" a="1"/>
  <c r="S165" i="12" s="1"/>
  <c r="S69" i="12" a="1"/>
  <c r="S69" i="12" s="1"/>
  <c r="S162" i="12" a="1"/>
  <c r="S162" i="12" s="1"/>
  <c r="S114" i="12" a="1"/>
  <c r="S114" i="12" s="1"/>
  <c r="S90" i="12" a="1"/>
  <c r="S90" i="12" s="1"/>
  <c r="S150" i="12" a="1"/>
  <c r="S150" i="12" s="1"/>
  <c r="S78" i="12" a="1"/>
  <c r="S78" i="12" s="1"/>
  <c r="S138" i="12" a="1"/>
  <c r="S138" i="12" s="1"/>
  <c r="S102" i="12" a="1"/>
  <c r="S102" i="12" s="1"/>
  <c r="S66" i="12" a="1"/>
  <c r="S66" i="12" s="1"/>
  <c r="S54" i="12" a="1"/>
  <c r="S54" i="12" s="1"/>
  <c r="S126" i="12" a="1"/>
  <c r="S126" i="12" s="1"/>
  <c r="S854" i="12" a="1"/>
  <c r="S854" i="12" s="1"/>
  <c r="S86" i="12" a="1"/>
  <c r="S86" i="12" s="1"/>
  <c r="S110" i="12" a="1"/>
  <c r="S110" i="12" s="1"/>
  <c r="S62" i="12" a="1"/>
  <c r="S62" i="12" s="1"/>
  <c r="S122" i="12" a="1"/>
  <c r="S122" i="12" s="1"/>
  <c r="S134" i="12" a="1"/>
  <c r="S134" i="12" s="1"/>
  <c r="S98" i="12" a="1"/>
  <c r="S98" i="12" s="1"/>
  <c r="S170" i="12" a="1"/>
  <c r="S170" i="12" s="1"/>
  <c r="S158" i="12" a="1"/>
  <c r="S158" i="12" s="1"/>
  <c r="S146" i="12" a="1"/>
  <c r="S146" i="12" s="1"/>
  <c r="S74" i="12" a="1"/>
  <c r="S74" i="12" s="1"/>
  <c r="S850" i="12" a="1"/>
  <c r="S850" i="12" s="1"/>
  <c r="S94" i="12" a="1"/>
  <c r="S94" i="12" s="1"/>
  <c r="S154" i="12" a="1"/>
  <c r="S154" i="12" s="1"/>
  <c r="S142" i="12" a="1"/>
  <c r="S142" i="12" s="1"/>
  <c r="S82" i="12" a="1"/>
  <c r="S82" i="12" s="1"/>
  <c r="S166" i="12" a="1"/>
  <c r="S166" i="12" s="1"/>
  <c r="S130" i="12" a="1"/>
  <c r="S130" i="12" s="1"/>
  <c r="S106" i="12" a="1"/>
  <c r="S106" i="12" s="1"/>
  <c r="S70" i="12" a="1"/>
  <c r="S70" i="12" s="1"/>
  <c r="S118" i="12" a="1"/>
  <c r="S118" i="12" s="1"/>
  <c r="S58" i="12" a="1"/>
  <c r="S58" i="12" s="1"/>
  <c r="S847" i="12" a="1"/>
  <c r="S847" i="12" s="1"/>
  <c r="C73" i="12"/>
  <c r="S848" i="12" a="1"/>
  <c r="S848" i="12" s="1"/>
  <c r="C74" i="12"/>
  <c r="S846" i="12" a="1"/>
  <c r="S846" i="12" s="1"/>
  <c r="C72" i="12"/>
  <c r="S827" i="12" a="1"/>
  <c r="S827" i="12" s="1"/>
  <c r="S839" i="12" a="1"/>
  <c r="S839" i="12" s="1"/>
  <c r="S831" i="12" a="1"/>
  <c r="S831" i="12" s="1"/>
  <c r="S843" i="12" a="1"/>
  <c r="S843" i="12" s="1"/>
  <c r="S823" i="12" a="1"/>
  <c r="S823" i="12" s="1"/>
  <c r="S835" i="12" a="1"/>
  <c r="S835" i="12" s="1"/>
  <c r="S828" i="12" a="1"/>
  <c r="S828" i="12" s="1"/>
  <c r="S840" i="12" a="1"/>
  <c r="S840" i="12" s="1"/>
  <c r="S829" i="12" a="1"/>
  <c r="S829" i="12" s="1"/>
  <c r="S841" i="12" a="1"/>
  <c r="S841" i="12" s="1"/>
  <c r="S832" i="12" a="1"/>
  <c r="S832" i="12" s="1"/>
  <c r="S844" i="12" a="1"/>
  <c r="S844" i="12" s="1"/>
  <c r="S824" i="12" a="1"/>
  <c r="S824" i="12" s="1"/>
  <c r="S836" i="12" a="1"/>
  <c r="S836" i="12" s="1"/>
  <c r="S825" i="12" a="1"/>
  <c r="S825" i="12" s="1"/>
  <c r="S837" i="12" a="1"/>
  <c r="S837" i="12" s="1"/>
  <c r="S822" i="12" a="1"/>
  <c r="S822" i="12" s="1"/>
  <c r="S834" i="12" a="1"/>
  <c r="S834" i="12" s="1"/>
  <c r="S830" i="12" a="1"/>
  <c r="S830" i="12" s="1"/>
  <c r="S842" i="12" a="1"/>
  <c r="S842" i="12" s="1"/>
  <c r="S826" i="12" a="1"/>
  <c r="S826" i="12" s="1"/>
  <c r="S838" i="12" a="1"/>
  <c r="S838" i="12" s="1"/>
  <c r="S803" i="12" a="1"/>
  <c r="S803" i="12" s="1"/>
  <c r="S815" i="12" a="1"/>
  <c r="S815" i="12" s="1"/>
  <c r="S807" i="12" a="1"/>
  <c r="S807" i="12" s="1"/>
  <c r="S819" i="12" a="1"/>
  <c r="S819" i="12" s="1"/>
  <c r="S799" i="12" a="1"/>
  <c r="S799" i="12" s="1"/>
  <c r="S811" i="12" a="1"/>
  <c r="S811" i="12" s="1"/>
  <c r="S804" i="12" a="1"/>
  <c r="S804" i="12" s="1"/>
  <c r="S816" i="12" a="1"/>
  <c r="S816" i="12" s="1"/>
  <c r="S805" i="12" a="1"/>
  <c r="S805" i="12" s="1"/>
  <c r="S817" i="12" a="1"/>
  <c r="S817" i="12" s="1"/>
  <c r="S808" i="12" a="1"/>
  <c r="S808" i="12" s="1"/>
  <c r="S820" i="12" a="1"/>
  <c r="S820" i="12" s="1"/>
  <c r="S800" i="12" a="1"/>
  <c r="S800" i="12" s="1"/>
  <c r="S812" i="12" a="1"/>
  <c r="S812" i="12" s="1"/>
  <c r="S801" i="12" a="1"/>
  <c r="S801" i="12" s="1"/>
  <c r="S813" i="12" a="1"/>
  <c r="S813" i="12" s="1"/>
  <c r="S798" i="12" a="1"/>
  <c r="S798" i="12" s="1"/>
  <c r="S810" i="12" a="1"/>
  <c r="S810" i="12" s="1"/>
  <c r="S806" i="12" a="1"/>
  <c r="S806" i="12" s="1"/>
  <c r="S818" i="12" a="1"/>
  <c r="S818" i="12" s="1"/>
  <c r="S802" i="12" a="1"/>
  <c r="S802" i="12" s="1"/>
  <c r="S814" i="12" a="1"/>
  <c r="S814" i="12" s="1"/>
  <c r="S783" i="12" a="1"/>
  <c r="S783" i="12" s="1"/>
  <c r="S795" i="12" a="1"/>
  <c r="S795" i="12" s="1"/>
  <c r="S775" i="12" a="1"/>
  <c r="S775" i="12" s="1"/>
  <c r="S787" i="12" a="1"/>
  <c r="S787" i="12" s="1"/>
  <c r="S779" i="12" a="1"/>
  <c r="S779" i="12" s="1"/>
  <c r="S791" i="12" a="1"/>
  <c r="S791" i="12" s="1"/>
  <c r="S780" i="12" a="1"/>
  <c r="S780" i="12" s="1"/>
  <c r="S792" i="12" a="1"/>
  <c r="S792" i="12" s="1"/>
  <c r="S781" i="12" a="1"/>
  <c r="S781" i="12" s="1"/>
  <c r="S793" i="12" a="1"/>
  <c r="S793" i="12" s="1"/>
  <c r="S784" i="12" a="1"/>
  <c r="S784" i="12" s="1"/>
  <c r="S796" i="12" a="1"/>
  <c r="S796" i="12" s="1"/>
  <c r="S776" i="12" a="1"/>
  <c r="S776" i="12" s="1"/>
  <c r="S788" i="12" a="1"/>
  <c r="S788" i="12" s="1"/>
  <c r="S777" i="12" a="1"/>
  <c r="S777" i="12" s="1"/>
  <c r="S789" i="12" a="1"/>
  <c r="S789" i="12" s="1"/>
  <c r="S774" i="12" a="1"/>
  <c r="S774" i="12" s="1"/>
  <c r="S786" i="12" a="1"/>
  <c r="S786" i="12" s="1"/>
  <c r="S782" i="12" a="1"/>
  <c r="S782" i="12" s="1"/>
  <c r="S794" i="12" a="1"/>
  <c r="S794" i="12" s="1"/>
  <c r="S778" i="12" a="1"/>
  <c r="S778" i="12" s="1"/>
  <c r="S790" i="12" a="1"/>
  <c r="S790" i="12" s="1"/>
  <c r="S755" i="12" a="1"/>
  <c r="S755" i="12" s="1"/>
  <c r="S767" i="12" a="1"/>
  <c r="S767" i="12" s="1"/>
  <c r="S759" i="12" a="1"/>
  <c r="S759" i="12" s="1"/>
  <c r="S771" i="12" a="1"/>
  <c r="S771" i="12" s="1"/>
  <c r="S751" i="12" a="1"/>
  <c r="S751" i="12" s="1"/>
  <c r="S763" i="12" a="1"/>
  <c r="S763" i="12" s="1"/>
  <c r="S757" i="12" a="1"/>
  <c r="S757" i="12" s="1"/>
  <c r="S769" i="12" a="1"/>
  <c r="S769" i="12" s="1"/>
  <c r="S760" i="12" a="1"/>
  <c r="S760" i="12" s="1"/>
  <c r="S772" i="12" a="1"/>
  <c r="S772" i="12" s="1"/>
  <c r="S752" i="12" a="1"/>
  <c r="S752" i="12" s="1"/>
  <c r="S764" i="12" a="1"/>
  <c r="S764" i="12" s="1"/>
  <c r="S753" i="12" a="1"/>
  <c r="S753" i="12" s="1"/>
  <c r="S765" i="12" a="1"/>
  <c r="S765" i="12" s="1"/>
  <c r="S756" i="12" a="1"/>
  <c r="S756" i="12" s="1"/>
  <c r="S768" i="12" a="1"/>
  <c r="S768" i="12" s="1"/>
  <c r="S750" i="12" a="1"/>
  <c r="S750" i="12" s="1"/>
  <c r="S762" i="12" a="1"/>
  <c r="S762" i="12" s="1"/>
  <c r="S758" i="12" a="1"/>
  <c r="S758" i="12" s="1"/>
  <c r="S770" i="12" a="1"/>
  <c r="S770" i="12" s="1"/>
  <c r="S754" i="12" a="1"/>
  <c r="S754" i="12" s="1"/>
  <c r="S766" i="12" a="1"/>
  <c r="S766" i="12" s="1"/>
  <c r="S731" i="12" a="1"/>
  <c r="S731" i="12" s="1"/>
  <c r="S743" i="12" a="1"/>
  <c r="S743" i="12" s="1"/>
  <c r="S735" i="12" a="1"/>
  <c r="S735" i="12" s="1"/>
  <c r="S747" i="12" a="1"/>
  <c r="S747" i="12" s="1"/>
  <c r="S727" i="12" a="1"/>
  <c r="S727" i="12" s="1"/>
  <c r="S739" i="12" a="1"/>
  <c r="S739" i="12" s="1"/>
  <c r="S732" i="12" a="1"/>
  <c r="S732" i="12" s="1"/>
  <c r="S744" i="12" a="1"/>
  <c r="S744" i="12" s="1"/>
  <c r="S733" i="12" a="1"/>
  <c r="S733" i="12" s="1"/>
  <c r="S745" i="12" a="1"/>
  <c r="S745" i="12" s="1"/>
  <c r="S736" i="12" a="1"/>
  <c r="S736" i="12" s="1"/>
  <c r="S748" i="12" a="1"/>
  <c r="S748" i="12" s="1"/>
  <c r="S728" i="12" a="1"/>
  <c r="S728" i="12" s="1"/>
  <c r="S740" i="12" a="1"/>
  <c r="S740" i="12" s="1"/>
  <c r="S729" i="12" a="1"/>
  <c r="S729" i="12" s="1"/>
  <c r="S741" i="12" a="1"/>
  <c r="S741" i="12" s="1"/>
  <c r="S726" i="12" a="1"/>
  <c r="S726" i="12" s="1"/>
  <c r="S738" i="12" a="1"/>
  <c r="S738" i="12" s="1"/>
  <c r="S734" i="12" a="1"/>
  <c r="S734" i="12" s="1"/>
  <c r="S746" i="12" a="1"/>
  <c r="S746" i="12" s="1"/>
  <c r="S730" i="12" a="1"/>
  <c r="S730" i="12" s="1"/>
  <c r="S742" i="12" a="1"/>
  <c r="S742" i="12" s="1"/>
  <c r="S707" i="12" a="1"/>
  <c r="S707" i="12" s="1"/>
  <c r="S719" i="12" a="1"/>
  <c r="S719" i="12" s="1"/>
  <c r="S711" i="12" a="1"/>
  <c r="S711" i="12" s="1"/>
  <c r="S723" i="12" a="1"/>
  <c r="S723" i="12" s="1"/>
  <c r="S703" i="12" a="1"/>
  <c r="S703" i="12" s="1"/>
  <c r="S715" i="12" a="1"/>
  <c r="S715" i="12" s="1"/>
  <c r="S708" i="12" a="1"/>
  <c r="S708" i="12" s="1"/>
  <c r="S720" i="12" a="1"/>
  <c r="S720" i="12" s="1"/>
  <c r="S709" i="12" a="1"/>
  <c r="S709" i="12" s="1"/>
  <c r="S721" i="12" a="1"/>
  <c r="S721" i="12" s="1"/>
  <c r="S712" i="12" a="1"/>
  <c r="S712" i="12" s="1"/>
  <c r="S724" i="12" a="1"/>
  <c r="S724" i="12" s="1"/>
  <c r="S704" i="12" a="1"/>
  <c r="S704" i="12" s="1"/>
  <c r="S716" i="12" a="1"/>
  <c r="S716" i="12" s="1"/>
  <c r="S705" i="12" a="1"/>
  <c r="S705" i="12" s="1"/>
  <c r="S717" i="12" a="1"/>
  <c r="S717" i="12" s="1"/>
  <c r="S702" i="12" a="1"/>
  <c r="S702" i="12" s="1"/>
  <c r="S714" i="12" a="1"/>
  <c r="S714" i="12" s="1"/>
  <c r="S710" i="12" a="1"/>
  <c r="S710" i="12" s="1"/>
  <c r="S722" i="12" a="1"/>
  <c r="S722" i="12" s="1"/>
  <c r="S706" i="12" a="1"/>
  <c r="S706" i="12" s="1"/>
  <c r="S718" i="12" a="1"/>
  <c r="S718" i="12" s="1"/>
  <c r="S683" i="12" a="1"/>
  <c r="S683" i="12" s="1"/>
  <c r="S695" i="12" a="1"/>
  <c r="S695" i="12" s="1"/>
  <c r="S687" i="12" a="1"/>
  <c r="S687" i="12" s="1"/>
  <c r="S699" i="12" a="1"/>
  <c r="S699" i="12" s="1"/>
  <c r="S679" i="12" a="1"/>
  <c r="S679" i="12" s="1"/>
  <c r="S691" i="12" a="1"/>
  <c r="S691" i="12" s="1"/>
  <c r="S684" i="12" a="1"/>
  <c r="S684" i="12" s="1"/>
  <c r="S696" i="12" a="1"/>
  <c r="S696" i="12" s="1"/>
  <c r="S685" i="12" a="1"/>
  <c r="S685" i="12" s="1"/>
  <c r="S697" i="12" a="1"/>
  <c r="S697" i="12" s="1"/>
  <c r="S688" i="12" a="1"/>
  <c r="S688" i="12" s="1"/>
  <c r="S700" i="12" a="1"/>
  <c r="S700" i="12" s="1"/>
  <c r="S680" i="12" a="1"/>
  <c r="S680" i="12" s="1"/>
  <c r="S692" i="12" a="1"/>
  <c r="S692" i="12" s="1"/>
  <c r="S681" i="12" a="1"/>
  <c r="S681" i="12" s="1"/>
  <c r="S693" i="12" a="1"/>
  <c r="S693" i="12" s="1"/>
  <c r="S678" i="12" a="1"/>
  <c r="S678" i="12" s="1"/>
  <c r="S690" i="12" a="1"/>
  <c r="S690" i="12" s="1"/>
  <c r="S686" i="12" a="1"/>
  <c r="S686" i="12" s="1"/>
  <c r="S698" i="12" a="1"/>
  <c r="S698" i="12" s="1"/>
  <c r="S682" i="12" a="1"/>
  <c r="S682" i="12" s="1"/>
  <c r="S694" i="12" a="1"/>
  <c r="S694" i="12" s="1"/>
  <c r="S659" i="12" a="1"/>
  <c r="S659" i="12" s="1"/>
  <c r="S671" i="12" a="1"/>
  <c r="S671" i="12" s="1"/>
  <c r="S663" i="12" a="1"/>
  <c r="S663" i="12" s="1"/>
  <c r="S675" i="12" a="1"/>
  <c r="S675" i="12" s="1"/>
  <c r="S655" i="12" a="1"/>
  <c r="S655" i="12" s="1"/>
  <c r="S667" i="12" a="1"/>
  <c r="S667" i="12" s="1"/>
  <c r="S660" i="12" a="1"/>
  <c r="S660" i="12" s="1"/>
  <c r="S672" i="12" a="1"/>
  <c r="S672" i="12" s="1"/>
  <c r="S661" i="12" a="1"/>
  <c r="S661" i="12" s="1"/>
  <c r="S673" i="12" a="1"/>
  <c r="S673" i="12" s="1"/>
  <c r="S664" i="12" a="1"/>
  <c r="S664" i="12" s="1"/>
  <c r="S676" i="12" a="1"/>
  <c r="S676" i="12" s="1"/>
  <c r="S656" i="12" a="1"/>
  <c r="S656" i="12" s="1"/>
  <c r="S668" i="12" a="1"/>
  <c r="S668" i="12" s="1"/>
  <c r="S657" i="12" a="1"/>
  <c r="S657" i="12" s="1"/>
  <c r="S669" i="12" a="1"/>
  <c r="S669" i="12" s="1"/>
  <c r="S654" i="12" a="1"/>
  <c r="S654" i="12" s="1"/>
  <c r="S666" i="12" a="1"/>
  <c r="S666" i="12" s="1"/>
  <c r="S662" i="12" a="1"/>
  <c r="S662" i="12" s="1"/>
  <c r="S674" i="12" a="1"/>
  <c r="S674" i="12" s="1"/>
  <c r="S658" i="12" a="1"/>
  <c r="S658" i="12" s="1"/>
  <c r="S670" i="12" a="1"/>
  <c r="S670" i="12" s="1"/>
  <c r="S635" i="12" a="1"/>
  <c r="S635" i="12" s="1"/>
  <c r="S647" i="12" a="1"/>
  <c r="S647" i="12" s="1"/>
  <c r="S639" i="12" a="1"/>
  <c r="S639" i="12" s="1"/>
  <c r="S651" i="12" a="1"/>
  <c r="S651" i="12" s="1"/>
  <c r="S631" i="12" a="1"/>
  <c r="S631" i="12" s="1"/>
  <c r="S643" i="12" a="1"/>
  <c r="S643" i="12" s="1"/>
  <c r="S636" i="12" a="1"/>
  <c r="S636" i="12" s="1"/>
  <c r="S648" i="12" a="1"/>
  <c r="S648" i="12" s="1"/>
  <c r="S637" i="12" a="1"/>
  <c r="S637" i="12" s="1"/>
  <c r="S649" i="12" a="1"/>
  <c r="S649" i="12" s="1"/>
  <c r="S640" i="12" a="1"/>
  <c r="S640" i="12" s="1"/>
  <c r="S652" i="12" a="1"/>
  <c r="S652" i="12" s="1"/>
  <c r="S632" i="12" a="1"/>
  <c r="S632" i="12" s="1"/>
  <c r="S644" i="12" a="1"/>
  <c r="S644" i="12" s="1"/>
  <c r="S633" i="12" a="1"/>
  <c r="S633" i="12" s="1"/>
  <c r="S645" i="12" a="1"/>
  <c r="S645" i="12" s="1"/>
  <c r="S630" i="12" a="1"/>
  <c r="S630" i="12" s="1"/>
  <c r="S642" i="12" a="1"/>
  <c r="S642" i="12" s="1"/>
  <c r="S638" i="12" a="1"/>
  <c r="S638" i="12" s="1"/>
  <c r="S650" i="12" a="1"/>
  <c r="S650" i="12" s="1"/>
  <c r="S634" i="12" a="1"/>
  <c r="S634" i="12" s="1"/>
  <c r="S646" i="12" a="1"/>
  <c r="S646" i="12" s="1"/>
  <c r="S611" i="12" a="1"/>
  <c r="S611" i="12" s="1"/>
  <c r="S623" i="12" a="1"/>
  <c r="S623" i="12" s="1"/>
  <c r="S615" i="12" a="1"/>
  <c r="S615" i="12" s="1"/>
  <c r="S627" i="12" a="1"/>
  <c r="S627" i="12" s="1"/>
  <c r="S607" i="12" a="1"/>
  <c r="S607" i="12" s="1"/>
  <c r="S619" i="12" a="1"/>
  <c r="S619" i="12" s="1"/>
  <c r="S612" i="12" a="1"/>
  <c r="S612" i="12" s="1"/>
  <c r="S624" i="12" a="1"/>
  <c r="S624" i="12" s="1"/>
  <c r="S613" i="12" a="1"/>
  <c r="S613" i="12" s="1"/>
  <c r="S625" i="12" a="1"/>
  <c r="S625" i="12" s="1"/>
  <c r="S616" i="12" a="1"/>
  <c r="S616" i="12" s="1"/>
  <c r="S628" i="12" a="1"/>
  <c r="S628" i="12" s="1"/>
  <c r="S608" i="12" a="1"/>
  <c r="S608" i="12" s="1"/>
  <c r="S620" i="12" a="1"/>
  <c r="S620" i="12" s="1"/>
  <c r="S609" i="12" a="1"/>
  <c r="S609" i="12" s="1"/>
  <c r="S621" i="12" a="1"/>
  <c r="S621" i="12" s="1"/>
  <c r="S606" i="12" a="1"/>
  <c r="S606" i="12" s="1"/>
  <c r="S618" i="12" a="1"/>
  <c r="S618" i="12" s="1"/>
  <c r="S614" i="12" a="1"/>
  <c r="S614" i="12" s="1"/>
  <c r="S626" i="12" a="1"/>
  <c r="S626" i="12" s="1"/>
  <c r="S610" i="12" a="1"/>
  <c r="S610" i="12" s="1"/>
  <c r="S622" i="12" a="1"/>
  <c r="S622" i="12" s="1"/>
  <c r="S587" i="12" a="1"/>
  <c r="S587" i="12" s="1"/>
  <c r="S599" i="12" a="1"/>
  <c r="S599" i="12" s="1"/>
  <c r="S591" i="12" a="1"/>
  <c r="S591" i="12" s="1"/>
  <c r="S603" i="12" a="1"/>
  <c r="S603" i="12" s="1"/>
  <c r="S583" i="12" a="1"/>
  <c r="S583" i="12" s="1"/>
  <c r="S595" i="12" a="1"/>
  <c r="S595" i="12" s="1"/>
  <c r="S588" i="12" a="1"/>
  <c r="S588" i="12" s="1"/>
  <c r="S600" i="12" a="1"/>
  <c r="S600" i="12" s="1"/>
  <c r="S589" i="12" a="1"/>
  <c r="S589" i="12" s="1"/>
  <c r="S601" i="12" a="1"/>
  <c r="S601" i="12" s="1"/>
  <c r="S592" i="12" a="1"/>
  <c r="S592" i="12" s="1"/>
  <c r="S604" i="12" a="1"/>
  <c r="S604" i="12" s="1"/>
  <c r="S584" i="12" a="1"/>
  <c r="S584" i="12" s="1"/>
  <c r="S596" i="12" a="1"/>
  <c r="S596" i="12" s="1"/>
  <c r="S585" i="12" a="1"/>
  <c r="S585" i="12" s="1"/>
  <c r="S597" i="12" a="1"/>
  <c r="S597" i="12" s="1"/>
  <c r="S582" i="12" a="1"/>
  <c r="S582" i="12" s="1"/>
  <c r="S594" i="12" a="1"/>
  <c r="S594" i="12" s="1"/>
  <c r="S590" i="12" a="1"/>
  <c r="S590" i="12" s="1"/>
  <c r="S602" i="12" a="1"/>
  <c r="S602" i="12" s="1"/>
  <c r="S586" i="12" a="1"/>
  <c r="S586" i="12" s="1"/>
  <c r="S598" i="12" a="1"/>
  <c r="S598" i="12" s="1"/>
  <c r="S563" i="12" a="1"/>
  <c r="S563" i="12" s="1"/>
  <c r="S575" i="12" a="1"/>
  <c r="S575" i="12" s="1"/>
  <c r="S567" i="12" a="1"/>
  <c r="S567" i="12" s="1"/>
  <c r="S579" i="12" a="1"/>
  <c r="S579" i="12" s="1"/>
  <c r="S559" i="12" a="1"/>
  <c r="S559" i="12" s="1"/>
  <c r="S571" i="12" a="1"/>
  <c r="S571" i="12" s="1"/>
  <c r="S562" i="12" a="1"/>
  <c r="S562" i="12" s="1"/>
  <c r="S574" i="12" a="1"/>
  <c r="S574" i="12" s="1"/>
  <c r="S564" i="12" a="1"/>
  <c r="S564" i="12" s="1"/>
  <c r="S576" i="12" a="1"/>
  <c r="S576" i="12" s="1"/>
  <c r="S565" i="12" a="1"/>
  <c r="S565" i="12" s="1"/>
  <c r="S577" i="12" a="1"/>
  <c r="S577" i="12" s="1"/>
  <c r="S568" i="12" a="1"/>
  <c r="S568" i="12" s="1"/>
  <c r="S580" i="12" a="1"/>
  <c r="S580" i="12" s="1"/>
  <c r="S560" i="12" a="1"/>
  <c r="S560" i="12" s="1"/>
  <c r="S572" i="12" a="1"/>
  <c r="S572" i="12" s="1"/>
  <c r="S561" i="12" a="1"/>
  <c r="S561" i="12" s="1"/>
  <c r="S573" i="12" a="1"/>
  <c r="S573" i="12" s="1"/>
  <c r="S558" i="12" a="1"/>
  <c r="S558" i="12" s="1"/>
  <c r="S570" i="12" a="1"/>
  <c r="S570" i="12" s="1"/>
  <c r="S566" i="12" a="1"/>
  <c r="S566" i="12" s="1"/>
  <c r="S578" i="12" a="1"/>
  <c r="S578" i="12" s="1"/>
  <c r="S539" i="12" a="1"/>
  <c r="S539" i="12" s="1"/>
  <c r="S551" i="12" a="1"/>
  <c r="S551" i="12" s="1"/>
  <c r="S543" i="12" a="1"/>
  <c r="S543" i="12" s="1"/>
  <c r="S555" i="12" a="1"/>
  <c r="S555" i="12" s="1"/>
  <c r="S535" i="12" a="1"/>
  <c r="S535" i="12" s="1"/>
  <c r="S547" i="12" a="1"/>
  <c r="S547" i="12" s="1"/>
  <c r="S540" i="12" a="1"/>
  <c r="S540" i="12" s="1"/>
  <c r="S552" i="12" a="1"/>
  <c r="S552" i="12" s="1"/>
  <c r="S541" i="12" a="1"/>
  <c r="S541" i="12" s="1"/>
  <c r="S553" i="12" a="1"/>
  <c r="S553" i="12" s="1"/>
  <c r="S544" i="12" a="1"/>
  <c r="S544" i="12" s="1"/>
  <c r="S556" i="12" a="1"/>
  <c r="S556" i="12" s="1"/>
  <c r="S536" i="12" a="1"/>
  <c r="S536" i="12" s="1"/>
  <c r="S548" i="12" a="1"/>
  <c r="S548" i="12" s="1"/>
  <c r="S537" i="12" a="1"/>
  <c r="S537" i="12" s="1"/>
  <c r="S549" i="12" a="1"/>
  <c r="S549" i="12" s="1"/>
  <c r="S534" i="12" a="1"/>
  <c r="S534" i="12" s="1"/>
  <c r="S546" i="12" a="1"/>
  <c r="S546" i="12" s="1"/>
  <c r="S542" i="12" a="1"/>
  <c r="S542" i="12" s="1"/>
  <c r="S554" i="12" a="1"/>
  <c r="S554" i="12" s="1"/>
  <c r="S538" i="12" a="1"/>
  <c r="S538" i="12" s="1"/>
  <c r="S550" i="12" a="1"/>
  <c r="S550" i="12" s="1"/>
  <c r="S515" i="12" a="1"/>
  <c r="S515" i="12" s="1"/>
  <c r="S527" i="12" a="1"/>
  <c r="S527" i="12" s="1"/>
  <c r="S519" i="12" a="1"/>
  <c r="S519" i="12" s="1"/>
  <c r="S531" i="12" a="1"/>
  <c r="S531" i="12" s="1"/>
  <c r="S511" i="12" a="1"/>
  <c r="S511" i="12" s="1"/>
  <c r="S523" i="12" a="1"/>
  <c r="S523" i="12" s="1"/>
  <c r="S516" i="12" a="1"/>
  <c r="S516" i="12" s="1"/>
  <c r="S528" i="12" a="1"/>
  <c r="S528" i="12" s="1"/>
  <c r="S517" i="12" a="1"/>
  <c r="S517" i="12" s="1"/>
  <c r="S529" i="12" a="1"/>
  <c r="S529" i="12" s="1"/>
  <c r="S520" i="12" a="1"/>
  <c r="S520" i="12" s="1"/>
  <c r="S532" i="12" a="1"/>
  <c r="S532" i="12" s="1"/>
  <c r="S512" i="12" a="1"/>
  <c r="S512" i="12" s="1"/>
  <c r="S524" i="12" a="1"/>
  <c r="S524" i="12" s="1"/>
  <c r="S513" i="12" a="1"/>
  <c r="S513" i="12" s="1"/>
  <c r="S525" i="12" a="1"/>
  <c r="S525" i="12" s="1"/>
  <c r="S510" i="12" a="1"/>
  <c r="S510" i="12" s="1"/>
  <c r="S522" i="12" a="1"/>
  <c r="S522" i="12" s="1"/>
  <c r="S518" i="12" a="1"/>
  <c r="S518" i="12" s="1"/>
  <c r="S530" i="12" a="1"/>
  <c r="S530" i="12" s="1"/>
  <c r="S514" i="12" a="1"/>
  <c r="S514" i="12" s="1"/>
  <c r="S526" i="12" a="1"/>
  <c r="S526" i="12" s="1"/>
  <c r="S491" i="12" a="1"/>
  <c r="S491" i="12" s="1"/>
  <c r="S503" i="12" a="1"/>
  <c r="S503" i="12" s="1"/>
  <c r="S495" i="12" a="1"/>
  <c r="S495" i="12" s="1"/>
  <c r="S507" i="12" a="1"/>
  <c r="S507" i="12" s="1"/>
  <c r="S487" i="12" a="1"/>
  <c r="S487" i="12" s="1"/>
  <c r="S499" i="12" a="1"/>
  <c r="S499" i="12" s="1"/>
  <c r="S492" i="12" a="1"/>
  <c r="S492" i="12" s="1"/>
  <c r="S504" i="12" a="1"/>
  <c r="S504" i="12" s="1"/>
  <c r="S493" i="12" a="1"/>
  <c r="S493" i="12" s="1"/>
  <c r="S505" i="12" a="1"/>
  <c r="S505" i="12" s="1"/>
  <c r="S496" i="12" a="1"/>
  <c r="S496" i="12" s="1"/>
  <c r="S508" i="12" a="1"/>
  <c r="S508" i="12" s="1"/>
  <c r="S488" i="12" a="1"/>
  <c r="S488" i="12" s="1"/>
  <c r="S500" i="12" a="1"/>
  <c r="S500" i="12" s="1"/>
  <c r="S489" i="12" a="1"/>
  <c r="S489" i="12" s="1"/>
  <c r="S501" i="12" a="1"/>
  <c r="S501" i="12" s="1"/>
  <c r="S486" i="12" a="1"/>
  <c r="S486" i="12" s="1"/>
  <c r="S498" i="12" a="1"/>
  <c r="S498" i="12" s="1"/>
  <c r="S494" i="12" a="1"/>
  <c r="S494" i="12" s="1"/>
  <c r="S506" i="12" a="1"/>
  <c r="S506" i="12" s="1"/>
  <c r="S490" i="12" a="1"/>
  <c r="S490" i="12" s="1"/>
  <c r="S502" i="12" a="1"/>
  <c r="S502" i="12" s="1"/>
  <c r="S471" i="12" a="1"/>
  <c r="S471" i="12" s="1"/>
  <c r="S483" i="12" a="1"/>
  <c r="S483" i="12" s="1"/>
  <c r="S463" i="12" a="1"/>
  <c r="S463" i="12" s="1"/>
  <c r="S475" i="12" a="1"/>
  <c r="S475" i="12" s="1"/>
  <c r="S467" i="12" a="1"/>
  <c r="S467" i="12" s="1"/>
  <c r="S479" i="12" a="1"/>
  <c r="S479" i="12" s="1"/>
  <c r="S468" i="12" a="1"/>
  <c r="S468" i="12" s="1"/>
  <c r="S480" i="12" a="1"/>
  <c r="S480" i="12" s="1"/>
  <c r="S469" i="12" a="1"/>
  <c r="S469" i="12" s="1"/>
  <c r="S481" i="12" a="1"/>
  <c r="S481" i="12" s="1"/>
  <c r="S472" i="12" a="1"/>
  <c r="S472" i="12" s="1"/>
  <c r="S484" i="12" a="1"/>
  <c r="S484" i="12" s="1"/>
  <c r="S464" i="12" a="1"/>
  <c r="S464" i="12" s="1"/>
  <c r="S476" i="12" a="1"/>
  <c r="S476" i="12" s="1"/>
  <c r="S465" i="12" a="1"/>
  <c r="S465" i="12" s="1"/>
  <c r="S477" i="12" a="1"/>
  <c r="S477" i="12" s="1"/>
  <c r="S462" i="12" a="1"/>
  <c r="S462" i="12" s="1"/>
  <c r="S474" i="12" a="1"/>
  <c r="S474" i="12" s="1"/>
  <c r="S470" i="12" a="1"/>
  <c r="S470" i="12" s="1"/>
  <c r="S482" i="12" a="1"/>
  <c r="S482" i="12" s="1"/>
  <c r="S466" i="12" a="1"/>
  <c r="S466" i="12" s="1"/>
  <c r="S478" i="12" a="1"/>
  <c r="S478" i="12" s="1"/>
  <c r="S443" i="12" a="1"/>
  <c r="S443" i="12" s="1"/>
  <c r="S455" i="12" a="1"/>
  <c r="S455" i="12" s="1"/>
  <c r="S447" i="12" a="1"/>
  <c r="S447" i="12" s="1"/>
  <c r="S459" i="12" a="1"/>
  <c r="S459" i="12" s="1"/>
  <c r="S439" i="12" a="1"/>
  <c r="S439" i="12" s="1"/>
  <c r="S451" i="12" a="1"/>
  <c r="S451" i="12" s="1"/>
  <c r="S444" i="12" a="1"/>
  <c r="S444" i="12" s="1"/>
  <c r="S456" i="12" a="1"/>
  <c r="S456" i="12" s="1"/>
  <c r="S445" i="12" a="1"/>
  <c r="S445" i="12" s="1"/>
  <c r="S457" i="12" a="1"/>
  <c r="S457" i="12" s="1"/>
  <c r="S448" i="12" a="1"/>
  <c r="S448" i="12" s="1"/>
  <c r="S460" i="12" a="1"/>
  <c r="S460" i="12" s="1"/>
  <c r="S440" i="12" a="1"/>
  <c r="S440" i="12" s="1"/>
  <c r="S452" i="12" a="1"/>
  <c r="S452" i="12" s="1"/>
  <c r="S441" i="12" a="1"/>
  <c r="S441" i="12" s="1"/>
  <c r="S453" i="12" a="1"/>
  <c r="S453" i="12" s="1"/>
  <c r="S438" i="12" a="1"/>
  <c r="S438" i="12" s="1"/>
  <c r="S450" i="12" a="1"/>
  <c r="S450" i="12" s="1"/>
  <c r="S446" i="12" a="1"/>
  <c r="S446" i="12" s="1"/>
  <c r="S458" i="12" a="1"/>
  <c r="S458" i="12" s="1"/>
  <c r="S442" i="12" a="1"/>
  <c r="S442" i="12" s="1"/>
  <c r="S454" i="12" a="1"/>
  <c r="S454" i="12" s="1"/>
  <c r="S431" i="12" a="1"/>
  <c r="S431" i="12" s="1"/>
  <c r="S435" i="12" a="1"/>
  <c r="S435" i="12" s="1"/>
  <c r="S427" i="12" a="1"/>
  <c r="S427" i="12" s="1"/>
  <c r="S432" i="12" a="1"/>
  <c r="S432" i="12" s="1"/>
  <c r="S433" i="12" a="1"/>
  <c r="S433" i="12" s="1"/>
  <c r="S436" i="12" a="1"/>
  <c r="S436" i="12" s="1"/>
  <c r="S428" i="12" a="1"/>
  <c r="S428" i="12" s="1"/>
  <c r="S429" i="12" a="1"/>
  <c r="S429" i="12" s="1"/>
  <c r="S426" i="12" a="1"/>
  <c r="S426" i="12" s="1"/>
  <c r="S434" i="12" a="1"/>
  <c r="S434" i="12" s="1"/>
  <c r="S430" i="12" a="1"/>
  <c r="S430" i="12" s="1"/>
  <c r="S395" i="12" a="1"/>
  <c r="S395" i="12" s="1"/>
  <c r="S407" i="12" a="1"/>
  <c r="S407" i="12" s="1"/>
  <c r="S399" i="12" a="1"/>
  <c r="S399" i="12" s="1"/>
  <c r="S411" i="12" a="1"/>
  <c r="S411" i="12" s="1"/>
  <c r="S391" i="12" a="1"/>
  <c r="S391" i="12" s="1"/>
  <c r="S403" i="12" a="1"/>
  <c r="S403" i="12" s="1"/>
  <c r="S396" i="12" a="1"/>
  <c r="S396" i="12" s="1"/>
  <c r="S408" i="12" a="1"/>
  <c r="S408" i="12" s="1"/>
  <c r="S397" i="12" a="1"/>
  <c r="S397" i="12" s="1"/>
  <c r="S409" i="12" a="1"/>
  <c r="S409" i="12" s="1"/>
  <c r="S400" i="12" a="1"/>
  <c r="S400" i="12" s="1"/>
  <c r="S412" i="12" a="1"/>
  <c r="S412" i="12" s="1"/>
  <c r="S392" i="12" a="1"/>
  <c r="S392" i="12" s="1"/>
  <c r="S404" i="12" a="1"/>
  <c r="S404" i="12" s="1"/>
  <c r="S393" i="12" a="1"/>
  <c r="S393" i="12" s="1"/>
  <c r="S405" i="12" a="1"/>
  <c r="S405" i="12" s="1"/>
  <c r="S390" i="12" a="1"/>
  <c r="S390" i="12" s="1"/>
  <c r="S402" i="12" a="1"/>
  <c r="S402" i="12" s="1"/>
  <c r="S398" i="12" a="1"/>
  <c r="S398" i="12" s="1"/>
  <c r="S410" i="12" a="1"/>
  <c r="S410" i="12" s="1"/>
  <c r="S394" i="12" a="1"/>
  <c r="S394" i="12" s="1"/>
  <c r="S406" i="12" a="1"/>
  <c r="S406" i="12" s="1"/>
  <c r="S371" i="12" a="1"/>
  <c r="S371" i="12" s="1"/>
  <c r="S383" i="12" a="1"/>
  <c r="S383" i="12" s="1"/>
  <c r="S375" i="12" a="1"/>
  <c r="S375" i="12" s="1"/>
  <c r="S387" i="12" a="1"/>
  <c r="S387" i="12" s="1"/>
  <c r="S367" i="12" a="1"/>
  <c r="S367" i="12" s="1"/>
  <c r="S379" i="12" a="1"/>
  <c r="S379" i="12" s="1"/>
  <c r="S372" i="12" a="1"/>
  <c r="S372" i="12" s="1"/>
  <c r="S384" i="12" a="1"/>
  <c r="S384" i="12" s="1"/>
  <c r="S373" i="12" a="1"/>
  <c r="S373" i="12" s="1"/>
  <c r="S385" i="12" a="1"/>
  <c r="S385" i="12" s="1"/>
  <c r="S376" i="12" a="1"/>
  <c r="S376" i="12" s="1"/>
  <c r="S388" i="12" a="1"/>
  <c r="S388" i="12" s="1"/>
  <c r="S368" i="12" a="1"/>
  <c r="S368" i="12" s="1"/>
  <c r="S380" i="12" a="1"/>
  <c r="S380" i="12" s="1"/>
  <c r="S369" i="12" a="1"/>
  <c r="S369" i="12" s="1"/>
  <c r="S381" i="12" a="1"/>
  <c r="S381" i="12" s="1"/>
  <c r="S366" i="12" a="1"/>
  <c r="S366" i="12" s="1"/>
  <c r="S378" i="12" a="1"/>
  <c r="S378" i="12" s="1"/>
  <c r="S374" i="12" a="1"/>
  <c r="S374" i="12" s="1"/>
  <c r="S386" i="12" a="1"/>
  <c r="S386" i="12" s="1"/>
  <c r="S370" i="12" a="1"/>
  <c r="S370" i="12" s="1"/>
  <c r="S382" i="12" a="1"/>
  <c r="S382" i="12" s="1"/>
  <c r="S347" i="12" a="1"/>
  <c r="S347" i="12" s="1"/>
  <c r="S359" i="12" a="1"/>
  <c r="S359" i="12" s="1"/>
  <c r="S351" i="12" a="1"/>
  <c r="S351" i="12" s="1"/>
  <c r="S363" i="12" a="1"/>
  <c r="S363" i="12" s="1"/>
  <c r="S343" i="12" a="1"/>
  <c r="S343" i="12" s="1"/>
  <c r="S355" i="12" a="1"/>
  <c r="S355" i="12" s="1"/>
  <c r="S348" i="12" a="1"/>
  <c r="S348" i="12" s="1"/>
  <c r="S360" i="12" a="1"/>
  <c r="S360" i="12" s="1"/>
  <c r="S349" i="12" a="1"/>
  <c r="S349" i="12" s="1"/>
  <c r="S361" i="12" a="1"/>
  <c r="S361" i="12" s="1"/>
  <c r="S352" i="12" a="1"/>
  <c r="S352" i="12" s="1"/>
  <c r="S364" i="12" a="1"/>
  <c r="S364" i="12" s="1"/>
  <c r="S344" i="12" a="1"/>
  <c r="S344" i="12" s="1"/>
  <c r="S356" i="12" a="1"/>
  <c r="S356" i="12" s="1"/>
  <c r="S345" i="12" a="1"/>
  <c r="S345" i="12" s="1"/>
  <c r="S357" i="12" a="1"/>
  <c r="S357" i="12" s="1"/>
  <c r="S342" i="12" a="1"/>
  <c r="S342" i="12" s="1"/>
  <c r="S354" i="12" a="1"/>
  <c r="S354" i="12" s="1"/>
  <c r="S350" i="12" a="1"/>
  <c r="S350" i="12" s="1"/>
  <c r="S362" i="12" a="1"/>
  <c r="S362" i="12" s="1"/>
  <c r="S346" i="12" a="1"/>
  <c r="S346" i="12" s="1"/>
  <c r="S358" i="12" a="1"/>
  <c r="S358" i="12" s="1"/>
  <c r="S323" i="12" a="1"/>
  <c r="S323" i="12" s="1"/>
  <c r="S335" i="12" a="1"/>
  <c r="S335" i="12" s="1"/>
  <c r="S327" i="12" a="1"/>
  <c r="S327" i="12" s="1"/>
  <c r="S339" i="12" a="1"/>
  <c r="S339" i="12" s="1"/>
  <c r="S319" i="12" a="1"/>
  <c r="S319" i="12" s="1"/>
  <c r="S331" i="12" a="1"/>
  <c r="S331" i="12" s="1"/>
  <c r="S324" i="12" a="1"/>
  <c r="S324" i="12" s="1"/>
  <c r="S336" i="12" a="1"/>
  <c r="S336" i="12" s="1"/>
  <c r="S325" i="12" a="1"/>
  <c r="S325" i="12" s="1"/>
  <c r="S337" i="12" a="1"/>
  <c r="S337" i="12" s="1"/>
  <c r="S328" i="12" a="1"/>
  <c r="S328" i="12" s="1"/>
  <c r="S340" i="12" a="1"/>
  <c r="S340" i="12" s="1"/>
  <c r="S320" i="12" a="1"/>
  <c r="S320" i="12" s="1"/>
  <c r="S332" i="12" a="1"/>
  <c r="S332" i="12" s="1"/>
  <c r="S321" i="12" a="1"/>
  <c r="S321" i="12" s="1"/>
  <c r="S333" i="12" a="1"/>
  <c r="S333" i="12" s="1"/>
  <c r="S318" i="12" a="1"/>
  <c r="S318" i="12" s="1"/>
  <c r="S330" i="12" a="1"/>
  <c r="S330" i="12" s="1"/>
  <c r="S326" i="12" a="1"/>
  <c r="S326" i="12" s="1"/>
  <c r="S338" i="12" a="1"/>
  <c r="S338" i="12" s="1"/>
  <c r="S322" i="12" a="1"/>
  <c r="S322" i="12" s="1"/>
  <c r="S334" i="12" a="1"/>
  <c r="S334" i="12" s="1"/>
  <c r="S299" i="12" a="1"/>
  <c r="S299" i="12" s="1"/>
  <c r="S311" i="12" a="1"/>
  <c r="S311" i="12" s="1"/>
  <c r="S303" i="12" a="1"/>
  <c r="S303" i="12" s="1"/>
  <c r="S315" i="12" a="1"/>
  <c r="S315" i="12" s="1"/>
  <c r="S295" i="12" a="1"/>
  <c r="S295" i="12" s="1"/>
  <c r="S307" i="12" a="1"/>
  <c r="S307" i="12" s="1"/>
  <c r="S300" i="12" a="1"/>
  <c r="S300" i="12" s="1"/>
  <c r="S312" i="12" a="1"/>
  <c r="S312" i="12" s="1"/>
  <c r="S301" i="12" a="1"/>
  <c r="S301" i="12" s="1"/>
  <c r="S313" i="12" a="1"/>
  <c r="S313" i="12" s="1"/>
  <c r="S304" i="12" a="1"/>
  <c r="S304" i="12" s="1"/>
  <c r="S316" i="12" a="1"/>
  <c r="S316" i="12" s="1"/>
  <c r="S296" i="12" a="1"/>
  <c r="S296" i="12" s="1"/>
  <c r="S308" i="12" a="1"/>
  <c r="S308" i="12" s="1"/>
  <c r="S297" i="12" a="1"/>
  <c r="S297" i="12" s="1"/>
  <c r="S309" i="12" a="1"/>
  <c r="S309" i="12" s="1"/>
  <c r="S294" i="12" a="1"/>
  <c r="S294" i="12" s="1"/>
  <c r="S306" i="12" a="1"/>
  <c r="S306" i="12" s="1"/>
  <c r="S302" i="12" a="1"/>
  <c r="S302" i="12" s="1"/>
  <c r="S314" i="12" a="1"/>
  <c r="S314" i="12" s="1"/>
  <c r="S298" i="12" a="1"/>
  <c r="S298" i="12" s="1"/>
  <c r="S310" i="12" a="1"/>
  <c r="S310" i="12" s="1"/>
  <c r="S275" i="12" a="1"/>
  <c r="S275" i="12" s="1"/>
  <c r="S287" i="12" a="1"/>
  <c r="S287" i="12" s="1"/>
  <c r="S279" i="12" a="1"/>
  <c r="S279" i="12" s="1"/>
  <c r="S291" i="12" a="1"/>
  <c r="S291" i="12" s="1"/>
  <c r="S271" i="12" a="1"/>
  <c r="S271" i="12" s="1"/>
  <c r="S283" i="12" a="1"/>
  <c r="S283" i="12" s="1"/>
  <c r="S276" i="12" a="1"/>
  <c r="S276" i="12" s="1"/>
  <c r="S288" i="12" a="1"/>
  <c r="S288" i="12" s="1"/>
  <c r="S277" i="12" a="1"/>
  <c r="S277" i="12" s="1"/>
  <c r="S289" i="12" a="1"/>
  <c r="S289" i="12" s="1"/>
  <c r="S280" i="12" a="1"/>
  <c r="S280" i="12" s="1"/>
  <c r="S292" i="12" a="1"/>
  <c r="S292" i="12" s="1"/>
  <c r="S272" i="12" a="1"/>
  <c r="S272" i="12" s="1"/>
  <c r="S284" i="12" a="1"/>
  <c r="S284" i="12" s="1"/>
  <c r="S273" i="12" a="1"/>
  <c r="S273" i="12" s="1"/>
  <c r="S285" i="12" a="1"/>
  <c r="S285" i="12" s="1"/>
  <c r="S270" i="12" a="1"/>
  <c r="S270" i="12" s="1"/>
  <c r="S282" i="12" a="1"/>
  <c r="S282" i="12" s="1"/>
  <c r="S278" i="12" a="1"/>
  <c r="S278" i="12" s="1"/>
  <c r="S290" i="12" a="1"/>
  <c r="S290" i="12" s="1"/>
  <c r="S274" i="12" a="1"/>
  <c r="S274" i="12" s="1"/>
  <c r="S286" i="12" a="1"/>
  <c r="S286" i="12" s="1"/>
  <c r="S251" i="12" a="1"/>
  <c r="S251" i="12" s="1"/>
  <c r="S263" i="12" a="1"/>
  <c r="S263" i="12" s="1"/>
  <c r="S255" i="12" a="1"/>
  <c r="S255" i="12" s="1"/>
  <c r="S267" i="12" a="1"/>
  <c r="S267" i="12" s="1"/>
  <c r="S247" i="12" a="1"/>
  <c r="S247" i="12" s="1"/>
  <c r="S259" i="12" a="1"/>
  <c r="S259" i="12" s="1"/>
  <c r="S252" i="12" a="1"/>
  <c r="S252" i="12" s="1"/>
  <c r="S264" i="12" a="1"/>
  <c r="S264" i="12" s="1"/>
  <c r="S253" i="12" a="1"/>
  <c r="S253" i="12" s="1"/>
  <c r="S265" i="12" a="1"/>
  <c r="S265" i="12" s="1"/>
  <c r="S256" i="12" a="1"/>
  <c r="S256" i="12" s="1"/>
  <c r="S268" i="12" a="1"/>
  <c r="S268" i="12" s="1"/>
  <c r="S248" i="12" a="1"/>
  <c r="S248" i="12" s="1"/>
  <c r="S260" i="12" a="1"/>
  <c r="S260" i="12" s="1"/>
  <c r="S249" i="12" a="1"/>
  <c r="S249" i="12" s="1"/>
  <c r="S261" i="12" a="1"/>
  <c r="S261" i="12" s="1"/>
  <c r="S246" i="12" a="1"/>
  <c r="S246" i="12" s="1"/>
  <c r="S258" i="12" a="1"/>
  <c r="S258" i="12" s="1"/>
  <c r="S254" i="12" a="1"/>
  <c r="S254" i="12" s="1"/>
  <c r="S266" i="12" a="1"/>
  <c r="S266" i="12" s="1"/>
  <c r="S250" i="12" a="1"/>
  <c r="S250" i="12" s="1"/>
  <c r="S262" i="12" a="1"/>
  <c r="S262" i="12" s="1"/>
  <c r="S227" i="12" a="1"/>
  <c r="S227" i="12" s="1"/>
  <c r="S239" i="12" a="1"/>
  <c r="S239" i="12" s="1"/>
  <c r="S231" i="12" a="1"/>
  <c r="S231" i="12" s="1"/>
  <c r="S243" i="12" a="1"/>
  <c r="S243" i="12" s="1"/>
  <c r="S223" i="12" a="1"/>
  <c r="S223" i="12" s="1"/>
  <c r="S235" i="12" a="1"/>
  <c r="S235" i="12" s="1"/>
  <c r="S228" i="12" a="1"/>
  <c r="S228" i="12" s="1"/>
  <c r="S240" i="12" a="1"/>
  <c r="S240" i="12" s="1"/>
  <c r="S229" i="12" a="1"/>
  <c r="S229" i="12" s="1"/>
  <c r="S241" i="12" a="1"/>
  <c r="S241" i="12" s="1"/>
  <c r="S232" i="12" a="1"/>
  <c r="S232" i="12" s="1"/>
  <c r="S244" i="12" a="1"/>
  <c r="S244" i="12" s="1"/>
  <c r="S224" i="12" a="1"/>
  <c r="S224" i="12" s="1"/>
  <c r="S236" i="12" a="1"/>
  <c r="S236" i="12" s="1"/>
  <c r="S225" i="12" a="1"/>
  <c r="S225" i="12" s="1"/>
  <c r="S237" i="12" a="1"/>
  <c r="S237" i="12" s="1"/>
  <c r="S222" i="12" a="1"/>
  <c r="S222" i="12" s="1"/>
  <c r="S234" i="12" a="1"/>
  <c r="S234" i="12" s="1"/>
  <c r="S230" i="12" a="1"/>
  <c r="S230" i="12" s="1"/>
  <c r="S242" i="12" a="1"/>
  <c r="S242" i="12" s="1"/>
  <c r="S226" i="12" a="1"/>
  <c r="S226" i="12" s="1"/>
  <c r="S238" i="12" a="1"/>
  <c r="S238" i="12" s="1"/>
  <c r="S203" i="12" a="1"/>
  <c r="S203" i="12" s="1"/>
  <c r="S215" i="12" a="1"/>
  <c r="S215" i="12" s="1"/>
  <c r="S207" i="12" a="1"/>
  <c r="S207" i="12" s="1"/>
  <c r="S219" i="12" a="1"/>
  <c r="S219" i="12" s="1"/>
  <c r="S199" i="12" a="1"/>
  <c r="S199" i="12" s="1"/>
  <c r="S211" i="12" a="1"/>
  <c r="S211" i="12" s="1"/>
  <c r="S204" i="12" a="1"/>
  <c r="S204" i="12" s="1"/>
  <c r="S216" i="12" a="1"/>
  <c r="S216" i="12" s="1"/>
  <c r="S205" i="12" a="1"/>
  <c r="S205" i="12" s="1"/>
  <c r="S217" i="12" a="1"/>
  <c r="S217" i="12" s="1"/>
  <c r="S208" i="12" a="1"/>
  <c r="S208" i="12" s="1"/>
  <c r="S220" i="12" a="1"/>
  <c r="S220" i="12" s="1"/>
  <c r="S200" i="12" a="1"/>
  <c r="S200" i="12" s="1"/>
  <c r="S212" i="12" a="1"/>
  <c r="S212" i="12" s="1"/>
  <c r="S201" i="12" a="1"/>
  <c r="S201" i="12" s="1"/>
  <c r="S213" i="12" a="1"/>
  <c r="S213" i="12" s="1"/>
  <c r="S198" i="12" a="1"/>
  <c r="S198" i="12" s="1"/>
  <c r="S210" i="12" a="1"/>
  <c r="S210" i="12" s="1"/>
  <c r="S206" i="12" a="1"/>
  <c r="S206" i="12" s="1"/>
  <c r="S218" i="12" a="1"/>
  <c r="S218" i="12" s="1"/>
  <c r="S202" i="12" a="1"/>
  <c r="S202" i="12" s="1"/>
  <c r="S214" i="12" a="1"/>
  <c r="S214" i="12" s="1"/>
  <c r="S179" i="12" a="1"/>
  <c r="S179" i="12" s="1"/>
  <c r="S191" i="12" a="1"/>
  <c r="S191" i="12" s="1"/>
  <c r="S183" i="12" a="1"/>
  <c r="S183" i="12" s="1"/>
  <c r="S195" i="12" a="1"/>
  <c r="S195" i="12" s="1"/>
  <c r="S175" i="12" a="1"/>
  <c r="S175" i="12" s="1"/>
  <c r="S187" i="12" a="1"/>
  <c r="S187" i="12" s="1"/>
  <c r="S180" i="12" a="1"/>
  <c r="S180" i="12" s="1"/>
  <c r="S192" i="12" a="1"/>
  <c r="S192" i="12" s="1"/>
  <c r="S181" i="12" a="1"/>
  <c r="S181" i="12" s="1"/>
  <c r="S193" i="12" a="1"/>
  <c r="S193" i="12" s="1"/>
  <c r="S184" i="12" a="1"/>
  <c r="S184" i="12" s="1"/>
  <c r="S196" i="12" a="1"/>
  <c r="S196" i="12" s="1"/>
  <c r="S176" i="12" a="1"/>
  <c r="S176" i="12" s="1"/>
  <c r="S188" i="12" a="1"/>
  <c r="S188" i="12" s="1"/>
  <c r="S177" i="12" a="1"/>
  <c r="S177" i="12" s="1"/>
  <c r="S189" i="12" a="1"/>
  <c r="S189" i="12" s="1"/>
  <c r="S174" i="12" a="1"/>
  <c r="S174" i="12" s="1"/>
  <c r="S186" i="12" a="1"/>
  <c r="S186" i="12" s="1"/>
  <c r="S182" i="12" a="1"/>
  <c r="S182" i="12" s="1"/>
  <c r="S194" i="12" a="1"/>
  <c r="S194" i="12" s="1"/>
  <c r="S178" i="12" a="1"/>
  <c r="S178" i="12" s="1"/>
  <c r="S190" i="12" a="1"/>
  <c r="S190" i="12" s="1"/>
  <c r="F68" i="12"/>
  <c r="T441" i="12" l="1" a="1"/>
  <c r="T441" i="12" s="1"/>
  <c r="T447" i="12" a="1"/>
  <c r="T447" i="12" s="1"/>
  <c r="T429" i="12" a="1"/>
  <c r="T429" i="12" s="1"/>
  <c r="T435" i="12" a="1"/>
  <c r="T435" i="12" s="1"/>
  <c r="T452" i="12" a="1"/>
  <c r="T452" i="12" s="1"/>
  <c r="T455" i="12" a="1"/>
  <c r="T455" i="12" s="1"/>
  <c r="T440" i="12" a="1"/>
  <c r="T440" i="12" s="1"/>
  <c r="T443" i="12" a="1"/>
  <c r="T443" i="12" s="1"/>
  <c r="T428" i="12" a="1"/>
  <c r="T428" i="12" s="1"/>
  <c r="T431" i="12" a="1"/>
  <c r="T431" i="12" s="1"/>
  <c r="T460" i="12" a="1"/>
  <c r="T460" i="12" s="1"/>
  <c r="T448" i="12" a="1"/>
  <c r="T448" i="12" s="1"/>
  <c r="T427" i="12" a="1"/>
  <c r="T427" i="12" s="1"/>
  <c r="T436" i="12" a="1"/>
  <c r="T436" i="12" s="1"/>
  <c r="T454" i="12" a="1"/>
  <c r="T454" i="12" s="1"/>
  <c r="T457" i="12" a="1"/>
  <c r="T457" i="12" s="1"/>
  <c r="T459" i="12" a="1"/>
  <c r="T459" i="12" s="1"/>
  <c r="T442" i="12" a="1"/>
  <c r="T442" i="12" s="1"/>
  <c r="T445" i="12" a="1"/>
  <c r="T445" i="12" s="1"/>
  <c r="T453" i="12" a="1"/>
  <c r="T453" i="12" s="1"/>
  <c r="T430" i="12" a="1"/>
  <c r="T430" i="12" s="1"/>
  <c r="T433" i="12" a="1"/>
  <c r="T433" i="12" s="1"/>
  <c r="T458" i="12" a="1"/>
  <c r="T458" i="12" s="1"/>
  <c r="T456" i="12" a="1"/>
  <c r="T456" i="12" s="1"/>
  <c r="T426" i="12" a="1"/>
  <c r="T426" i="12" s="1"/>
  <c r="T446" i="12" a="1"/>
  <c r="T446" i="12" s="1"/>
  <c r="T444" i="12" a="1"/>
  <c r="T444" i="12" s="1"/>
  <c r="T434" i="12" a="1"/>
  <c r="T434" i="12" s="1"/>
  <c r="T432" i="12" a="1"/>
  <c r="T432" i="12" s="1"/>
  <c r="T450" i="12" a="1"/>
  <c r="T450" i="12" s="1"/>
  <c r="T451" i="12" a="1"/>
  <c r="T451" i="12" s="1"/>
  <c r="T438" i="12" a="1"/>
  <c r="T438" i="12" s="1"/>
  <c r="T439" i="12" a="1"/>
  <c r="T439" i="12" s="1"/>
  <c r="F77" i="12" a="1"/>
  <c r="F77" i="12" s="1"/>
  <c r="F80" i="12" a="1"/>
  <c r="F80" i="12" s="1"/>
  <c r="F75" i="12" a="1"/>
  <c r="F75" i="12" s="1"/>
  <c r="F81" i="12" a="1"/>
  <c r="F81" i="12" s="1"/>
  <c r="F76" i="12" a="1"/>
  <c r="F76" i="12" s="1"/>
  <c r="I53" i="18" a="1"/>
  <c r="I53" i="18" s="1"/>
  <c r="E39" i="18" a="1"/>
  <c r="E39" i="18" s="1"/>
  <c r="E20" i="18" a="1"/>
  <c r="E20" i="18" s="1"/>
  <c r="H56" i="18" a="1"/>
  <c r="H56" i="18" s="1"/>
  <c r="F14" i="18" a="1"/>
  <c r="F14" i="18" s="1"/>
  <c r="L51" i="18" a="1"/>
  <c r="L51" i="18" s="1"/>
  <c r="K62" i="18" a="1"/>
  <c r="K62" i="18" s="1"/>
  <c r="H64" i="18" a="1"/>
  <c r="H64" i="18" s="1"/>
  <c r="O18" i="18" a="1"/>
  <c r="O18" i="18" s="1"/>
  <c r="I67" i="18" a="1"/>
  <c r="I67" i="18" s="1"/>
  <c r="E57" i="18" a="1"/>
  <c r="E57" i="18" s="1"/>
  <c r="K15" i="18" a="1"/>
  <c r="K15" i="18" s="1"/>
  <c r="N66" i="18" a="1"/>
  <c r="N66" i="18" s="1"/>
  <c r="G20" i="18" a="1"/>
  <c r="G20" i="18" s="1"/>
  <c r="L65" i="18" a="1"/>
  <c r="L65" i="18" s="1"/>
  <c r="F62" i="18" a="1"/>
  <c r="F62" i="18" s="1"/>
  <c r="F65" i="18" a="1"/>
  <c r="F65" i="18" s="1"/>
  <c r="K26" i="18" a="1"/>
  <c r="K26" i="18" s="1"/>
  <c r="G28" i="18" a="1"/>
  <c r="G28" i="18" s="1"/>
  <c r="G43" i="18" a="1"/>
  <c r="G43" i="18" s="1"/>
  <c r="I49" i="18" a="1"/>
  <c r="I49" i="18" s="1"/>
  <c r="N55" i="18" a="1"/>
  <c r="N55" i="18" s="1"/>
  <c r="H37" i="18" a="1"/>
  <c r="H37" i="18" s="1"/>
  <c r="G17" i="18" a="1"/>
  <c r="G17" i="18" s="1"/>
  <c r="F47" i="18" a="1"/>
  <c r="F47" i="18" s="1"/>
  <c r="L56" i="18" a="1"/>
  <c r="L56" i="18" s="1"/>
  <c r="L66" i="18" a="1"/>
  <c r="L66" i="18" s="1"/>
  <c r="O49" i="18" a="1"/>
  <c r="O49" i="18" s="1"/>
  <c r="N24" i="18" a="1"/>
  <c r="N24" i="18" s="1"/>
  <c r="I62" i="18" a="1"/>
  <c r="I62" i="18" s="1"/>
  <c r="N36" i="18" a="1"/>
  <c r="N36" i="18" s="1"/>
  <c r="O62" i="18" a="1"/>
  <c r="O62" i="18" s="1"/>
  <c r="K55" i="18" a="1"/>
  <c r="K55" i="18" s="1"/>
  <c r="F63" i="18" a="1"/>
  <c r="F63" i="18" s="1"/>
  <c r="I30" i="18" a="1"/>
  <c r="I30" i="18" s="1"/>
  <c r="K56" i="18" a="1"/>
  <c r="K56" i="18" s="1"/>
  <c r="O59" i="18" a="1"/>
  <c r="O59" i="18" s="1"/>
  <c r="E26" i="18" a="1"/>
  <c r="E26" i="18" s="1"/>
  <c r="F53" i="18" a="1"/>
  <c r="F53" i="18" s="1"/>
  <c r="K63" i="18" a="1"/>
  <c r="K63" i="18" s="1"/>
  <c r="N10" i="18" a="1"/>
  <c r="N10" i="18" s="1"/>
  <c r="G49" i="18" a="1"/>
  <c r="G49" i="18" s="1"/>
  <c r="K22" i="18" a="1"/>
  <c r="K22" i="18" s="1"/>
  <c r="O24" i="18" a="1"/>
  <c r="O24" i="18" s="1"/>
  <c r="K53" i="18" a="1"/>
  <c r="K53" i="18" s="1"/>
  <c r="I38" i="18" a="1"/>
  <c r="I38" i="18" s="1"/>
  <c r="N62" i="18" a="1"/>
  <c r="N62" i="18" s="1"/>
  <c r="O54" i="18" a="1"/>
  <c r="O54" i="18" s="1"/>
  <c r="E64" i="18" a="1"/>
  <c r="E64" i="18" s="1"/>
  <c r="H59" i="18" a="1"/>
  <c r="H59" i="18" s="1"/>
  <c r="O9" i="18" a="1"/>
  <c r="O9" i="18" s="1"/>
  <c r="E28" i="18" a="1"/>
  <c r="E28" i="18" s="1"/>
  <c r="L16" i="18" a="1"/>
  <c r="L16" i="18" s="1"/>
  <c r="I27" i="18" a="1"/>
  <c r="I27" i="18" s="1"/>
  <c r="G58" i="18" a="1"/>
  <c r="G58" i="18" s="1"/>
  <c r="H44" i="18" a="1"/>
  <c r="H44" i="18" s="1"/>
  <c r="L60" i="18" a="1"/>
  <c r="L60" i="18" s="1"/>
  <c r="G24" i="18" a="1"/>
  <c r="G24" i="18" s="1"/>
  <c r="K57" i="18" a="1"/>
  <c r="K57" i="18" s="1"/>
  <c r="E56" i="18" a="1"/>
  <c r="E56" i="18" s="1"/>
  <c r="G47" i="18" a="1"/>
  <c r="G47" i="18" s="1"/>
  <c r="F17" i="18" a="1"/>
  <c r="F17" i="18" s="1"/>
  <c r="F22" i="18" a="1"/>
  <c r="F22" i="18" s="1"/>
  <c r="I48" i="18" a="1"/>
  <c r="I48" i="18" s="1"/>
  <c r="K25" i="18" a="1"/>
  <c r="K25" i="18" s="1"/>
  <c r="O22" i="18" a="1"/>
  <c r="O22" i="18" s="1"/>
  <c r="N19" i="18" a="1"/>
  <c r="N19" i="18" s="1"/>
  <c r="H65" i="18" a="1"/>
  <c r="H65" i="18" s="1"/>
  <c r="I42" i="18" a="1"/>
  <c r="I42" i="18" s="1"/>
  <c r="L38" i="18" a="1"/>
  <c r="L38" i="18" s="1"/>
  <c r="L44" i="18" a="1"/>
  <c r="L44" i="18" s="1"/>
  <c r="L58" i="18" a="1"/>
  <c r="L58" i="18" s="1"/>
  <c r="L64" i="18" a="1"/>
  <c r="L64" i="18" s="1"/>
  <c r="N67" i="18" a="1"/>
  <c r="N67" i="18" s="1"/>
  <c r="L53" i="18" a="1"/>
  <c r="L53" i="18" s="1"/>
  <c r="L21" i="18" a="1"/>
  <c r="L21" i="18" s="1"/>
  <c r="L63" i="18" a="1"/>
  <c r="L63" i="18" s="1"/>
  <c r="H41" i="18" a="1"/>
  <c r="H41" i="18" s="1"/>
  <c r="K68" i="18" a="1"/>
  <c r="K68" i="18" s="1"/>
  <c r="K59" i="18" a="1"/>
  <c r="K59" i="18" s="1"/>
  <c r="H46" i="18" a="1"/>
  <c r="H46" i="18" s="1"/>
  <c r="K45" i="18" a="1"/>
  <c r="K45" i="18" s="1"/>
  <c r="O50" i="18" a="1"/>
  <c r="O50" i="18" s="1"/>
  <c r="I28" i="18" a="1"/>
  <c r="I28" i="18" s="1"/>
  <c r="I41" i="18" a="1"/>
  <c r="I41" i="18" s="1"/>
  <c r="L22" i="18" a="1"/>
  <c r="L22" i="18" s="1"/>
  <c r="E27" i="18" a="1"/>
  <c r="E27" i="18" s="1"/>
  <c r="I39" i="18" a="1"/>
  <c r="I39" i="18" s="1"/>
  <c r="G15" i="18" a="1"/>
  <c r="G15" i="18" s="1"/>
  <c r="N9" i="18" a="1"/>
  <c r="N9" i="18" s="1"/>
  <c r="G29" i="18" a="1"/>
  <c r="G29" i="18" s="1"/>
  <c r="K12" i="18" a="1"/>
  <c r="K12" i="18" s="1"/>
  <c r="O41" i="18" a="1"/>
  <c r="O41" i="18" s="1"/>
  <c r="L25" i="18" a="1"/>
  <c r="L25" i="18" s="1"/>
  <c r="H20" i="18" a="1"/>
  <c r="H20" i="18" s="1"/>
  <c r="K13" i="18" a="1"/>
  <c r="K13" i="18" s="1"/>
  <c r="N52" i="18" a="1"/>
  <c r="N52" i="18" s="1"/>
  <c r="I45" i="18" a="1"/>
  <c r="I45" i="18" s="1"/>
  <c r="G27" i="18" a="1"/>
  <c r="G27" i="18" s="1"/>
  <c r="K44" i="18" a="1"/>
  <c r="K44" i="18" s="1"/>
  <c r="G61" i="18" a="1"/>
  <c r="G61" i="18" s="1"/>
  <c r="K21" i="18" a="1"/>
  <c r="K21" i="18" s="1"/>
  <c r="E46" i="18" a="1"/>
  <c r="E46" i="18" s="1"/>
  <c r="K52" i="18" a="1"/>
  <c r="K52" i="18" s="1"/>
  <c r="K65" i="18" a="1"/>
  <c r="K65" i="18" s="1"/>
  <c r="O21" i="18" a="1"/>
  <c r="O21" i="18" s="1"/>
  <c r="I23" i="18" a="1"/>
  <c r="I23" i="18" s="1"/>
  <c r="E25" i="18" a="1"/>
  <c r="E25" i="18" s="1"/>
  <c r="F20" i="18" a="1"/>
  <c r="F20" i="18" s="1"/>
  <c r="L42" i="18" a="1"/>
  <c r="L42" i="18" s="1"/>
  <c r="O38" i="18" a="1"/>
  <c r="O38" i="18" s="1"/>
  <c r="I40" i="18" a="1"/>
  <c r="I40" i="18" s="1"/>
  <c r="O39" i="18" a="1"/>
  <c r="O39" i="18" s="1"/>
  <c r="I54" i="18" a="1"/>
  <c r="I54" i="18" s="1"/>
  <c r="I59" i="18" a="1"/>
  <c r="I59" i="18" s="1"/>
  <c r="N41" i="18" a="1"/>
  <c r="N41" i="18" s="1"/>
  <c r="E13" i="18" a="1"/>
  <c r="E13" i="18" s="1"/>
  <c r="N68" i="18" a="1"/>
  <c r="N68" i="18" s="1"/>
  <c r="H15" i="18" a="1"/>
  <c r="H15" i="18" s="1"/>
  <c r="H31" i="18" a="1"/>
  <c r="H31" i="18" s="1"/>
  <c r="E61" i="18" a="1"/>
  <c r="E61" i="18" s="1"/>
  <c r="F18" i="18" a="1"/>
  <c r="F18" i="18" s="1"/>
  <c r="H47" i="18" a="1"/>
  <c r="H47" i="18" s="1"/>
  <c r="O29" i="18" a="1"/>
  <c r="O29" i="18" s="1"/>
  <c r="E15" i="18" a="1"/>
  <c r="E15" i="18" s="1"/>
  <c r="E43" i="18" a="1"/>
  <c r="E43" i="18" s="1"/>
  <c r="F56" i="18" a="1"/>
  <c r="F56" i="18" s="1"/>
  <c r="F45" i="18" a="1"/>
  <c r="F45" i="18" s="1"/>
  <c r="N8" i="18" a="1"/>
  <c r="N8" i="18" s="1"/>
  <c r="L24" i="18" a="1"/>
  <c r="L24" i="18" s="1"/>
  <c r="N43" i="18" a="1"/>
  <c r="N43" i="18" s="1"/>
  <c r="G14" i="18" a="1"/>
  <c r="G14" i="18" s="1"/>
  <c r="O6" i="18" a="1"/>
  <c r="O6" i="18" s="1"/>
  <c r="I57" i="18" a="1"/>
  <c r="I57" i="18" s="1"/>
  <c r="K14" i="18" a="1"/>
  <c r="K14" i="18" s="1"/>
  <c r="G55" i="18" a="1"/>
  <c r="G55" i="18" s="1"/>
  <c r="G37" i="18" a="1"/>
  <c r="G37" i="18" s="1"/>
  <c r="I12" i="18" a="1"/>
  <c r="I12" i="18" s="1"/>
  <c r="H50" i="18" a="1"/>
  <c r="H50" i="18" s="1"/>
  <c r="H40" i="18" a="1"/>
  <c r="H40" i="18" s="1"/>
  <c r="O36" i="18" a="1"/>
  <c r="O36" i="18" s="1"/>
  <c r="N30" i="18" a="1"/>
  <c r="N30" i="18" s="1"/>
  <c r="L27" i="18" a="1"/>
  <c r="L27" i="18" s="1"/>
  <c r="G62" i="18" a="1"/>
  <c r="G62" i="18" s="1"/>
  <c r="F38" i="18" a="1"/>
  <c r="F38" i="18" s="1"/>
  <c r="K31" i="18" a="1"/>
  <c r="K31" i="18" s="1"/>
  <c r="L29" i="18" a="1"/>
  <c r="L29" i="18" s="1"/>
  <c r="I58" i="18" a="1"/>
  <c r="I58" i="18" s="1"/>
  <c r="K66" i="18" a="1"/>
  <c r="K66" i="18" s="1"/>
  <c r="M46" i="18" a="1"/>
  <c r="M46" i="18" s="1"/>
  <c r="C77" i="12"/>
  <c r="L280" i="18" s="1"/>
  <c r="O27" i="18" a="1"/>
  <c r="O27" i="18" s="1"/>
  <c r="H55" i="18" a="1"/>
  <c r="H55" i="18" s="1"/>
  <c r="G51" i="18" a="1"/>
  <c r="G51" i="18" s="1"/>
  <c r="N29" i="18" a="1"/>
  <c r="N29" i="18" s="1"/>
  <c r="F29" i="18" a="1"/>
  <c r="F29" i="18" s="1"/>
  <c r="H45" i="18" a="1"/>
  <c r="H45" i="18" s="1"/>
  <c r="F60" i="18" a="1"/>
  <c r="F60" i="18" s="1"/>
  <c r="G52" i="18" a="1"/>
  <c r="G52" i="18" s="1"/>
  <c r="M25" i="18" a="1"/>
  <c r="M25" i="18" s="1"/>
  <c r="L15" i="18" a="1"/>
  <c r="L15" i="18" s="1"/>
  <c r="O10" i="18" a="1"/>
  <c r="O10" i="18" s="1"/>
  <c r="F55" i="18" a="1"/>
  <c r="F55" i="18" s="1"/>
  <c r="G39" i="18" a="1"/>
  <c r="G39" i="18" s="1"/>
  <c r="L47" i="18" a="1"/>
  <c r="L47" i="18" s="1"/>
  <c r="L41" i="18" a="1"/>
  <c r="L41" i="18" s="1"/>
  <c r="L20" i="18" a="1"/>
  <c r="L20" i="18" s="1"/>
  <c r="L36" i="18" a="1"/>
  <c r="L36" i="18" s="1"/>
  <c r="O28" i="18" a="1"/>
  <c r="O28" i="18" s="1"/>
  <c r="N20" i="18" a="1"/>
  <c r="N20" i="18" s="1"/>
  <c r="K61" i="18" a="1"/>
  <c r="K61" i="18" s="1"/>
  <c r="E24" i="18" a="1"/>
  <c r="E24" i="18" s="1"/>
  <c r="L54" i="18" a="1"/>
  <c r="L54" i="18" s="1"/>
  <c r="O43" i="18" a="1"/>
  <c r="O43" i="18" s="1"/>
  <c r="K20" i="18" a="1"/>
  <c r="K20" i="18" s="1"/>
  <c r="L50" i="18" a="1"/>
  <c r="L50" i="18" s="1"/>
  <c r="G13" i="18" a="1"/>
  <c r="G13" i="18" s="1"/>
  <c r="G67" i="18" a="1"/>
  <c r="G67" i="18" s="1"/>
  <c r="K47" i="18" a="1"/>
  <c r="K47" i="18" s="1"/>
  <c r="O8" i="18" a="1"/>
  <c r="O8" i="18" s="1"/>
  <c r="N63" i="18" a="1"/>
  <c r="N63" i="18" s="1"/>
  <c r="L13" i="18" a="1"/>
  <c r="L13" i="18" s="1"/>
  <c r="F66" i="18" a="1"/>
  <c r="F66" i="18" s="1"/>
  <c r="K38" i="18" a="1"/>
  <c r="K38" i="18" s="1"/>
  <c r="F61" i="18" a="1"/>
  <c r="F61" i="18" s="1"/>
  <c r="E55" i="18" a="1"/>
  <c r="E55" i="18" s="1"/>
  <c r="I36" i="18" a="1"/>
  <c r="I36" i="18" s="1"/>
  <c r="I55" i="18" a="1"/>
  <c r="I55" i="18" s="1"/>
  <c r="H36" i="18" a="1"/>
  <c r="H36" i="18" s="1"/>
  <c r="O66" i="18" a="1"/>
  <c r="O66" i="18" s="1"/>
  <c r="L40" i="18" a="1"/>
  <c r="L40" i="18" s="1"/>
  <c r="I31" i="18" a="1"/>
  <c r="I31" i="18" s="1"/>
  <c r="G44" i="18" a="1"/>
  <c r="G44" i="18" s="1"/>
  <c r="E62" i="18" a="1"/>
  <c r="E62" i="18" s="1"/>
  <c r="N7" i="18" a="1"/>
  <c r="N7" i="18" s="1"/>
  <c r="O3" i="18" a="1"/>
  <c r="O3" i="18" s="1"/>
  <c r="F12" i="18" a="1"/>
  <c r="F12" i="18" s="1"/>
  <c r="G30" i="18" a="1"/>
  <c r="G30" i="18" s="1"/>
  <c r="G12" i="18" a="1"/>
  <c r="G12" i="18" s="1"/>
  <c r="L48" i="18" a="1"/>
  <c r="L48" i="18" s="1"/>
  <c r="E65" i="18" a="1"/>
  <c r="E65" i="18" s="1"/>
  <c r="K43" i="18" a="1"/>
  <c r="K43" i="18" s="1"/>
  <c r="F58" i="18" a="1"/>
  <c r="F58" i="18" s="1"/>
  <c r="O26" i="18" a="1"/>
  <c r="O26" i="18" s="1"/>
  <c r="F48" i="18" a="1"/>
  <c r="F48" i="18" s="1"/>
  <c r="O37" i="18" a="1"/>
  <c r="O37" i="18" s="1"/>
  <c r="K58" i="18" a="1"/>
  <c r="K58" i="18" s="1"/>
  <c r="O40" i="18" a="1"/>
  <c r="O40" i="18" s="1"/>
  <c r="I14" i="18" a="1"/>
  <c r="I14" i="18" s="1"/>
  <c r="O61" i="18" a="1"/>
  <c r="O61" i="18" s="1"/>
  <c r="I16" i="18" a="1"/>
  <c r="I16" i="18" s="1"/>
  <c r="M68" i="18" a="1"/>
  <c r="M68" i="18" s="1"/>
  <c r="F43" i="18" a="1"/>
  <c r="F43" i="18" s="1"/>
  <c r="N49" i="18" a="1"/>
  <c r="N49" i="18" s="1"/>
  <c r="N64" i="18" a="1"/>
  <c r="N64" i="18" s="1"/>
  <c r="K27" i="18" a="1"/>
  <c r="K27" i="18" s="1"/>
  <c r="E49" i="18" a="1"/>
  <c r="E49" i="18" s="1"/>
  <c r="E47" i="18" a="1"/>
  <c r="E47" i="18" s="1"/>
  <c r="O64" i="18" a="1"/>
  <c r="O64" i="18" s="1"/>
  <c r="E18" i="18" a="1"/>
  <c r="E18" i="18" s="1"/>
  <c r="H12" i="18" a="1"/>
  <c r="H12" i="18" s="1"/>
  <c r="I46" i="18" a="1"/>
  <c r="I46" i="18" s="1"/>
  <c r="N18" i="18" a="1"/>
  <c r="N18" i="18" s="1"/>
  <c r="I64" i="18" a="1"/>
  <c r="I64" i="18" s="1"/>
  <c r="K30" i="18" a="1"/>
  <c r="K30" i="18" s="1"/>
  <c r="E52" i="18" a="1"/>
  <c r="E52" i="18" s="1"/>
  <c r="F28" i="18" a="1"/>
  <c r="F28" i="18" s="1"/>
  <c r="G65" i="18" a="1"/>
  <c r="G65" i="18" s="1"/>
  <c r="E30" i="18" a="1"/>
  <c r="E30" i="18" s="1"/>
  <c r="I52" i="18" a="1"/>
  <c r="I52" i="18" s="1"/>
  <c r="O67" i="18" a="1"/>
  <c r="O67" i="18" s="1"/>
  <c r="O12" i="18" a="1"/>
  <c r="O12" i="18" s="1"/>
  <c r="N40" i="18" a="1"/>
  <c r="N40" i="18" s="1"/>
  <c r="F67" i="18" a="1"/>
  <c r="F67" i="18" s="1"/>
  <c r="N53" i="18" a="1"/>
  <c r="N53" i="18" s="1"/>
  <c r="N25" i="18" a="1"/>
  <c r="N25" i="18" s="1"/>
  <c r="K23" i="18" a="1"/>
  <c r="K23" i="18" s="1"/>
  <c r="N47" i="18" a="1"/>
  <c r="N47" i="18" s="1"/>
  <c r="E42" i="18" a="1"/>
  <c r="E42" i="18" s="1"/>
  <c r="H57" i="18" a="1"/>
  <c r="H57" i="18" s="1"/>
  <c r="I18" i="18" a="1"/>
  <c r="I18" i="18" s="1"/>
  <c r="N23" i="18" a="1"/>
  <c r="N23" i="18" s="1"/>
  <c r="G59" i="18" a="1"/>
  <c r="G59" i="18" s="1"/>
  <c r="G26" i="18" a="1"/>
  <c r="G26" i="18" s="1"/>
  <c r="L46" i="18" a="1"/>
  <c r="L46" i="18" s="1"/>
  <c r="O63" i="18" a="1"/>
  <c r="O63" i="18" s="1"/>
  <c r="H17" i="18" a="1"/>
  <c r="H17" i="18" s="1"/>
  <c r="F50" i="18" a="1"/>
  <c r="F50" i="18" s="1"/>
  <c r="C80" i="12"/>
  <c r="H280" i="18" s="1"/>
  <c r="E66" i="18" a="1"/>
  <c r="E66" i="18" s="1"/>
  <c r="L37" i="18" a="1"/>
  <c r="L37" i="18" s="1"/>
  <c r="L67" i="18" a="1"/>
  <c r="L67" i="18" s="1"/>
  <c r="L62" i="18" a="1"/>
  <c r="L62" i="18" s="1"/>
  <c r="N60" i="18" a="1"/>
  <c r="N60" i="18" s="1"/>
  <c r="F44" i="18" a="1"/>
  <c r="F44" i="18" s="1"/>
  <c r="N15" i="18" a="1"/>
  <c r="N15" i="18" s="1"/>
  <c r="K49" i="18" a="1"/>
  <c r="K49" i="18" s="1"/>
  <c r="I15" i="18" a="1"/>
  <c r="I15" i="18" s="1"/>
  <c r="L61" i="18" a="1"/>
  <c r="L61" i="18" s="1"/>
  <c r="L68" i="18" a="1"/>
  <c r="L68" i="18" s="1"/>
  <c r="G48" i="18" a="1"/>
  <c r="G48" i="18" s="1"/>
  <c r="E59" i="18" a="1"/>
  <c r="E59" i="18" s="1"/>
  <c r="H48" i="18" a="1"/>
  <c r="H48" i="18" s="1"/>
  <c r="I13" i="18" a="1"/>
  <c r="I13" i="18" s="1"/>
  <c r="C81" i="12"/>
  <c r="E98" i="12" s="1"/>
  <c r="I61" i="18" a="1"/>
  <c r="I61" i="18" s="1"/>
  <c r="E22" i="18" a="1"/>
  <c r="E22" i="18" s="1"/>
  <c r="H23" i="18" a="1"/>
  <c r="H23" i="18" s="1"/>
  <c r="G54" i="18" a="1"/>
  <c r="G54" i="18" s="1"/>
  <c r="O20" i="18" a="1"/>
  <c r="O20" i="18" s="1"/>
  <c r="I56" i="18" a="1"/>
  <c r="I56" i="18" s="1"/>
  <c r="E41" i="18" a="1"/>
  <c r="E41" i="18" s="1"/>
  <c r="I20" i="18" a="1"/>
  <c r="I20" i="18" s="1"/>
  <c r="G31" i="18" a="1"/>
  <c r="G31" i="18" s="1"/>
  <c r="E50" i="18" a="1"/>
  <c r="E50" i="18" s="1"/>
  <c r="L49" i="18" a="1"/>
  <c r="L49" i="18" s="1"/>
  <c r="H22" i="18" a="1"/>
  <c r="H22" i="18" s="1"/>
  <c r="I65" i="18" a="1"/>
  <c r="I65" i="18" s="1"/>
  <c r="G18" i="18" a="1"/>
  <c r="G18" i="18" s="1"/>
  <c r="H42" i="18" a="1"/>
  <c r="H42" i="18" s="1"/>
  <c r="E51" i="18" a="1"/>
  <c r="E51" i="18" s="1"/>
  <c r="O17" i="18" a="1"/>
  <c r="O17" i="18" s="1"/>
  <c r="G50" i="18" a="1"/>
  <c r="G50" i="18" s="1"/>
  <c r="H62" i="18" a="1"/>
  <c r="H62" i="18" s="1"/>
  <c r="H29" i="18" a="1"/>
  <c r="H29" i="18" s="1"/>
  <c r="I17" i="18" a="1"/>
  <c r="I17" i="18" s="1"/>
  <c r="O31" i="18" a="1"/>
  <c r="O31" i="18" s="1"/>
  <c r="H16" i="18" a="1"/>
  <c r="H16" i="18" s="1"/>
  <c r="E36" i="18" a="1"/>
  <c r="E36" i="18" s="1"/>
  <c r="H21" i="18" a="1"/>
  <c r="H21" i="18" s="1"/>
  <c r="E67" i="18" a="1"/>
  <c r="E67" i="18" s="1"/>
  <c r="E17" i="18" a="1"/>
  <c r="E17" i="18" s="1"/>
  <c r="K46" i="18" a="1"/>
  <c r="K46" i="18" s="1"/>
  <c r="F27" i="18" a="1"/>
  <c r="F27" i="18" s="1"/>
  <c r="I26" i="18" a="1"/>
  <c r="I26" i="18" s="1"/>
  <c r="L43" i="18" a="1"/>
  <c r="L43" i="18" s="1"/>
  <c r="F23" i="18" a="1"/>
  <c r="F23" i="18" s="1"/>
  <c r="K64" i="18" a="1"/>
  <c r="K64" i="18" s="1"/>
  <c r="N65" i="18" a="1"/>
  <c r="N65" i="18" s="1"/>
  <c r="E54" i="18" a="1"/>
  <c r="E54" i="18" s="1"/>
  <c r="O14" i="18" a="1"/>
  <c r="O14" i="18" s="1"/>
  <c r="F36" i="18" a="1"/>
  <c r="F36" i="18" s="1"/>
  <c r="N26" i="18" a="1"/>
  <c r="N26" i="18" s="1"/>
  <c r="O11" i="18" a="1"/>
  <c r="O11" i="18" s="1"/>
  <c r="O56" i="18" a="1"/>
  <c r="O56" i="18" s="1"/>
  <c r="L52" i="18" a="1"/>
  <c r="L52" i="18" s="1"/>
  <c r="G23" i="18" a="1"/>
  <c r="G23" i="18" s="1"/>
  <c r="G46" i="18" a="1"/>
  <c r="G46" i="18" s="1"/>
  <c r="L12" i="18" a="1"/>
  <c r="L12" i="18" s="1"/>
  <c r="G36" i="18" a="1"/>
  <c r="G36" i="18" s="1"/>
  <c r="H60" i="18" a="1"/>
  <c r="H60" i="18" s="1"/>
  <c r="K41" i="18" a="1"/>
  <c r="K41" i="18" s="1"/>
  <c r="I29" i="18" a="1"/>
  <c r="I29" i="18" s="1"/>
  <c r="N22" i="18" a="1"/>
  <c r="N22" i="18" s="1"/>
  <c r="L57" i="18" a="1"/>
  <c r="L57" i="18" s="1"/>
  <c r="H43" i="18" a="1"/>
  <c r="H43" i="18" s="1"/>
  <c r="G53" i="18" a="1"/>
  <c r="G53" i="18" s="1"/>
  <c r="O16" i="18" a="1"/>
  <c r="O16" i="18" s="1"/>
  <c r="E14" i="18" a="1"/>
  <c r="E14" i="18" s="1"/>
  <c r="N5" i="18" a="1"/>
  <c r="N5" i="18" s="1"/>
  <c r="F59" i="18" a="1"/>
  <c r="F59" i="18" s="1"/>
  <c r="G42" i="18" a="1"/>
  <c r="G42" i="18" s="1"/>
  <c r="I44" i="18" a="1"/>
  <c r="I44" i="18" s="1"/>
  <c r="O5" i="18" a="1"/>
  <c r="O5" i="18" s="1"/>
  <c r="O44" i="18" a="1"/>
  <c r="O44" i="18" s="1"/>
  <c r="G40" i="18" a="1"/>
  <c r="G40" i="18" s="1"/>
  <c r="O2" i="18" a="1"/>
  <c r="O2" i="18" s="1"/>
  <c r="K42" i="18" a="1"/>
  <c r="K42" i="18" s="1"/>
  <c r="N11" i="18" a="1"/>
  <c r="N11" i="18" s="1"/>
  <c r="K40" i="18" a="1"/>
  <c r="K40" i="18" s="1"/>
  <c r="H53" i="18" a="1"/>
  <c r="H53" i="18" s="1"/>
  <c r="G16" i="18" a="1"/>
  <c r="G16" i="18" s="1"/>
  <c r="E21" i="18" a="1"/>
  <c r="E21" i="18" s="1"/>
  <c r="E38" i="18" a="1"/>
  <c r="E38" i="18" s="1"/>
  <c r="H61" i="18" a="1"/>
  <c r="H61" i="18" s="1"/>
  <c r="O47" i="18" a="1"/>
  <c r="O47" i="18" s="1"/>
  <c r="H27" i="18" a="1"/>
  <c r="H27" i="18" s="1"/>
  <c r="H51" i="18" a="1"/>
  <c r="H51" i="18" s="1"/>
  <c r="K54" i="18" a="1"/>
  <c r="K54" i="18" s="1"/>
  <c r="K48" i="18" a="1"/>
  <c r="K48" i="18" s="1"/>
  <c r="G68" i="18" a="1"/>
  <c r="G68" i="18" s="1"/>
  <c r="L18" i="18" a="1"/>
  <c r="L18" i="18" s="1"/>
  <c r="N61" i="18" a="1"/>
  <c r="N61" i="18" s="1"/>
  <c r="F40" i="18" a="1"/>
  <c r="F40" i="18" s="1"/>
  <c r="K51" i="18" a="1"/>
  <c r="K51" i="18" s="1"/>
  <c r="L55" i="18" a="1"/>
  <c r="L55" i="18" s="1"/>
  <c r="H13" i="18" a="1"/>
  <c r="H13" i="18" s="1"/>
  <c r="F37" i="18" a="1"/>
  <c r="F37" i="18" s="1"/>
  <c r="L45" i="18" a="1"/>
  <c r="L45" i="18" s="1"/>
  <c r="L23" i="18" a="1"/>
  <c r="L23" i="18" s="1"/>
  <c r="E29" i="18" a="1"/>
  <c r="E29" i="18" s="1"/>
  <c r="H58" i="18" a="1"/>
  <c r="H58" i="18" s="1"/>
  <c r="E68" i="18" a="1"/>
  <c r="E68" i="18" s="1"/>
  <c r="H67" i="18" a="1"/>
  <c r="H67" i="18" s="1"/>
  <c r="K60" i="18" a="1"/>
  <c r="K60" i="18" s="1"/>
  <c r="I66" i="18" a="1"/>
  <c r="I66" i="18" s="1"/>
  <c r="O7" i="18" a="1"/>
  <c r="O7" i="18" s="1"/>
  <c r="H66" i="18" a="1"/>
  <c r="H66" i="18" s="1"/>
  <c r="O55" i="18" a="1"/>
  <c r="O55" i="18" s="1"/>
  <c r="E63" i="18" a="1"/>
  <c r="E63" i="18" s="1"/>
  <c r="H52" i="18" a="1"/>
  <c r="H52" i="18" s="1"/>
  <c r="H14" i="18" a="1"/>
  <c r="H14" i="18" s="1"/>
  <c r="E44" i="18" a="1"/>
  <c r="E44" i="18" s="1"/>
  <c r="E19" i="18" a="1"/>
  <c r="E19" i="18" s="1"/>
  <c r="K28" i="18" a="1"/>
  <c r="K28" i="18" s="1"/>
  <c r="N31" i="18" a="1"/>
  <c r="N31" i="18" s="1"/>
  <c r="L19" i="18" a="1"/>
  <c r="L19" i="18" s="1"/>
  <c r="G56" i="18" a="1"/>
  <c r="G56" i="18" s="1"/>
  <c r="O60" i="18" a="1"/>
  <c r="O60" i="18" s="1"/>
  <c r="K16" i="18" a="1"/>
  <c r="K16" i="18" s="1"/>
  <c r="H18" i="18" a="1"/>
  <c r="H18" i="18" s="1"/>
  <c r="E45" i="18" a="1"/>
  <c r="E45" i="18" s="1"/>
  <c r="O46" i="18" a="1"/>
  <c r="O46" i="18" s="1"/>
  <c r="G45" i="18" a="1"/>
  <c r="G45" i="18" s="1"/>
  <c r="G280" i="18"/>
  <c r="N16" i="18" a="1"/>
  <c r="N16" i="18" s="1"/>
  <c r="N50" i="18" a="1"/>
  <c r="N50" i="18" s="1"/>
  <c r="N17" i="18" a="1"/>
  <c r="N17" i="18" s="1"/>
  <c r="C76" i="12"/>
  <c r="F280" i="18"/>
  <c r="C78" i="12" l="1"/>
  <c r="C90" i="12" s="1"/>
  <c r="I280" i="18"/>
  <c r="E84" i="12" a="1"/>
  <c r="E84" i="12" s="1"/>
  <c r="E97" i="12"/>
  <c r="N27" i="18" a="1"/>
  <c r="N27" i="18" s="1"/>
  <c r="I47" i="18" a="1"/>
  <c r="I47" i="18" s="1"/>
  <c r="G22" i="18" a="1"/>
  <c r="G22" i="18" s="1"/>
  <c r="K18" i="18" a="1"/>
  <c r="K18" i="18" s="1"/>
  <c r="N59" i="18" a="1"/>
  <c r="N59" i="18" s="1"/>
  <c r="F54" i="18" a="1"/>
  <c r="F54" i="18" s="1"/>
  <c r="O53" i="18" a="1"/>
  <c r="O53" i="18" s="1"/>
  <c r="L14" i="18" a="1"/>
  <c r="L14" i="18" s="1"/>
  <c r="G64" i="18" a="1"/>
  <c r="G64" i="18" s="1"/>
  <c r="G57" i="18" a="1"/>
  <c r="G57" i="18" s="1"/>
  <c r="N58" i="18" a="1"/>
  <c r="N58" i="18" s="1"/>
  <c r="F13" i="18" a="1"/>
  <c r="F13" i="18" s="1"/>
  <c r="K37" i="18" a="1"/>
  <c r="K37" i="18" s="1"/>
  <c r="E31" i="18" a="1"/>
  <c r="E31" i="18" s="1"/>
  <c r="K39" i="18" a="1"/>
  <c r="K39" i="18" s="1"/>
  <c r="G66" i="18" a="1"/>
  <c r="G66" i="18" s="1"/>
  <c r="O68" i="18" a="1"/>
  <c r="O68" i="18" s="1"/>
  <c r="O48" i="18" a="1"/>
  <c r="O48" i="18" s="1"/>
  <c r="H26" i="18" a="1"/>
  <c r="H26" i="18" s="1"/>
  <c r="K24" i="18" a="1"/>
  <c r="K24" i="18" s="1"/>
  <c r="I25" i="18" a="1"/>
  <c r="I25" i="18" s="1"/>
  <c r="N46" i="18" a="1"/>
  <c r="N46" i="18" s="1"/>
  <c r="Q46" i="18" s="1" a="1"/>
  <c r="Q46" i="18" s="1"/>
  <c r="F68" i="18" a="1"/>
  <c r="F68" i="18" s="1"/>
  <c r="N42" i="18" a="1"/>
  <c r="N42" i="18" s="1"/>
  <c r="I50" i="18" a="1"/>
  <c r="I50" i="18" s="1"/>
  <c r="N48" i="18" a="1"/>
  <c r="N48" i="18" s="1"/>
  <c r="S77" i="12" a="1"/>
  <c r="S77" i="12" s="1"/>
  <c r="M3" i="18" a="1"/>
  <c r="M3" i="18" s="1"/>
  <c r="M5" i="18" a="1"/>
  <c r="M5" i="18" s="1"/>
  <c r="S101" i="12" a="1"/>
  <c r="S101" i="12" s="1"/>
  <c r="M14" i="18" a="1"/>
  <c r="M14" i="18" s="1"/>
  <c r="S209" i="12" a="1"/>
  <c r="S209" i="12" s="1"/>
  <c r="E37" i="18" a="1"/>
  <c r="E37" i="18" s="1"/>
  <c r="F19" i="18" a="1"/>
  <c r="F19" i="18" s="1"/>
  <c r="K29" i="18" a="1"/>
  <c r="K29" i="18" s="1"/>
  <c r="O30" i="18" a="1"/>
  <c r="O30" i="18" s="1"/>
  <c r="H68" i="18" a="1"/>
  <c r="H68" i="18" s="1"/>
  <c r="I21" i="18" a="1"/>
  <c r="I21" i="18" s="1"/>
  <c r="S425" i="12" a="1"/>
  <c r="S425" i="12" s="1"/>
  <c r="T425" i="12" s="1" a="1"/>
  <c r="T425" i="12" s="1"/>
  <c r="S233" i="12" a="1"/>
  <c r="S233" i="12" s="1"/>
  <c r="M16" i="18" a="1"/>
  <c r="M16" i="18" s="1"/>
  <c r="M27" i="18" a="1"/>
  <c r="M27" i="18" s="1"/>
  <c r="S365" i="12" a="1"/>
  <c r="S365" i="12" s="1"/>
  <c r="S221" i="12" a="1"/>
  <c r="S221" i="12" s="1"/>
  <c r="M15" i="18" a="1"/>
  <c r="M15" i="18" s="1"/>
  <c r="M12" i="18" a="1"/>
  <c r="M12" i="18" s="1"/>
  <c r="S185" i="12" a="1"/>
  <c r="S185" i="12" s="1"/>
  <c r="O42" i="18" a="1"/>
  <c r="O42" i="18" s="1"/>
  <c r="N56" i="18" a="1"/>
  <c r="N56" i="18" s="1"/>
  <c r="G25" i="18" a="1"/>
  <c r="G25" i="18" s="1"/>
  <c r="F64" i="18" a="1"/>
  <c r="F64" i="18" s="1"/>
  <c r="M48" i="18" a="1"/>
  <c r="M48" i="18" s="1"/>
  <c r="S617" i="12" a="1"/>
  <c r="S617" i="12" s="1"/>
  <c r="O52" i="18" a="1"/>
  <c r="O52" i="18" s="1"/>
  <c r="M41" i="18" a="1"/>
  <c r="M41" i="18" s="1"/>
  <c r="S533" i="12" a="1"/>
  <c r="S533" i="12" s="1"/>
  <c r="S485" i="12" a="1"/>
  <c r="S485" i="12" s="1"/>
  <c r="M37" i="18" a="1"/>
  <c r="M37" i="18" s="1"/>
  <c r="I51" i="18" a="1"/>
  <c r="I51" i="18" s="1"/>
  <c r="M66" i="18" a="1"/>
  <c r="M66" i="18" s="1"/>
  <c r="S833" i="12" a="1"/>
  <c r="S833" i="12" s="1"/>
  <c r="N38" i="18" a="1"/>
  <c r="N38" i="18" s="1"/>
  <c r="M11" i="18" a="1"/>
  <c r="M11" i="18" s="1"/>
  <c r="S173" i="12" a="1"/>
  <c r="S173" i="12" s="1"/>
  <c r="S449" i="12" a="1"/>
  <c r="S449" i="12" s="1"/>
  <c r="K17" i="18" a="1"/>
  <c r="K17" i="18" s="1"/>
  <c r="M10" i="18" a="1"/>
  <c r="M10" i="18" s="1"/>
  <c r="S161" i="12" a="1"/>
  <c r="S161" i="12" s="1"/>
  <c r="F24" i="18" a="1"/>
  <c r="F24" i="18" s="1"/>
  <c r="S473" i="12" a="1"/>
  <c r="S473" i="12" s="1"/>
  <c r="M36" i="18" a="1"/>
  <c r="M36" i="18" s="1"/>
  <c r="F16" i="18" a="1"/>
  <c r="F16" i="18" s="1"/>
  <c r="O23" i="18" a="1"/>
  <c r="O23" i="18" s="1"/>
  <c r="G38" i="18" a="1"/>
  <c r="G38" i="18" s="1"/>
  <c r="H38" i="18" a="1"/>
  <c r="H38" i="18" s="1"/>
  <c r="S773" i="12" a="1"/>
  <c r="S773" i="12" s="1"/>
  <c r="M61" i="18" a="1"/>
  <c r="M61" i="18" s="1"/>
  <c r="I63" i="18" a="1"/>
  <c r="I63" i="18" s="1"/>
  <c r="M55" i="18" a="1"/>
  <c r="M55" i="18" s="1"/>
  <c r="S701" i="12" a="1"/>
  <c r="S701" i="12" s="1"/>
  <c r="M50" i="18" a="1"/>
  <c r="M50" i="18" s="1"/>
  <c r="S641" i="12" a="1"/>
  <c r="S641" i="12" s="1"/>
  <c r="M63" i="18" a="1"/>
  <c r="M63" i="18" s="1"/>
  <c r="S797" i="12" a="1"/>
  <c r="S797" i="12" s="1"/>
  <c r="M6" i="18" a="1"/>
  <c r="M6" i="18" s="1"/>
  <c r="S113" i="12" a="1"/>
  <c r="S113" i="12" s="1"/>
  <c r="S305" i="12" a="1"/>
  <c r="S305" i="12" s="1"/>
  <c r="M22" i="18" a="1"/>
  <c r="M22" i="18" s="1"/>
  <c r="O65" i="18" a="1"/>
  <c r="O65" i="18" s="1"/>
  <c r="S689" i="12" a="1"/>
  <c r="S689" i="12" s="1"/>
  <c r="M54" i="18" a="1"/>
  <c r="M54" i="18" s="1"/>
  <c r="M23" i="18" a="1"/>
  <c r="M23" i="18" s="1"/>
  <c r="S317" i="12" a="1"/>
  <c r="S317" i="12" s="1"/>
  <c r="S809" i="12" a="1"/>
  <c r="S809" i="12" s="1"/>
  <c r="M64" i="18" a="1"/>
  <c r="M64" i="18" s="1"/>
  <c r="S245" i="12" a="1"/>
  <c r="S245" i="12" s="1"/>
  <c r="M17" i="18" a="1"/>
  <c r="M17" i="18" s="1"/>
  <c r="M67" i="18" a="1"/>
  <c r="M67" i="18" s="1"/>
  <c r="S845" i="12" a="1"/>
  <c r="S845" i="12" s="1"/>
  <c r="S605" i="12" a="1"/>
  <c r="S605" i="12" s="1"/>
  <c r="M47" i="18" a="1"/>
  <c r="M47" i="18" s="1"/>
  <c r="F46" i="18" a="1"/>
  <c r="F46" i="18" s="1"/>
  <c r="S377" i="12" a="1"/>
  <c r="S377" i="12" s="1"/>
  <c r="M28" i="18" a="1"/>
  <c r="M28" i="18" s="1"/>
  <c r="G19" i="18" a="1"/>
  <c r="G19" i="18" s="1"/>
  <c r="O13" i="18" a="1"/>
  <c r="O13" i="18" s="1"/>
  <c r="S725" i="12" a="1"/>
  <c r="S725" i="12" s="1"/>
  <c r="M57" i="18" a="1"/>
  <c r="M57" i="18" s="1"/>
  <c r="M20" i="18" a="1"/>
  <c r="M20" i="18" s="1"/>
  <c r="S281" i="12" a="1"/>
  <c r="S281" i="12" s="1"/>
  <c r="S389" i="12" a="1"/>
  <c r="S389" i="12" s="1"/>
  <c r="M29" i="18" a="1"/>
  <c r="M29" i="18" s="1"/>
  <c r="S461" i="12" a="1"/>
  <c r="S461" i="12" s="1"/>
  <c r="S125" i="12" a="1"/>
  <c r="S125" i="12" s="1"/>
  <c r="M7" i="18" a="1"/>
  <c r="M7" i="18" s="1"/>
  <c r="S137" i="12" a="1"/>
  <c r="S137" i="12" s="1"/>
  <c r="M8" i="18" a="1"/>
  <c r="M8" i="18" s="1"/>
  <c r="S437" i="12" a="1"/>
  <c r="S437" i="12" s="1"/>
  <c r="M31" i="18" a="1"/>
  <c r="M31" i="18" s="1"/>
  <c r="S413" i="12" a="1"/>
  <c r="S413" i="12" s="1"/>
  <c r="S401" i="12" a="1"/>
  <c r="S401" i="12" s="1"/>
  <c r="M30" i="18" a="1"/>
  <c r="M30" i="18" s="1"/>
  <c r="L17" i="18" a="1"/>
  <c r="L17" i="18" s="1"/>
  <c r="S269" i="12" a="1"/>
  <c r="S269" i="12" s="1"/>
  <c r="M19" i="18" a="1"/>
  <c r="M19" i="18" s="1"/>
  <c r="S329" i="12" a="1"/>
  <c r="S329" i="12" s="1"/>
  <c r="M24" i="18" a="1"/>
  <c r="M24" i="18" s="1"/>
  <c r="E48" i="18" a="1"/>
  <c r="E48" i="18" s="1"/>
  <c r="G60" i="18" a="1"/>
  <c r="G60" i="18" s="1"/>
  <c r="S821" i="12" a="1"/>
  <c r="S821" i="12" s="1"/>
  <c r="M65" i="18" a="1"/>
  <c r="M65" i="18" s="1"/>
  <c r="M39" i="18" a="1"/>
  <c r="M39" i="18" s="1"/>
  <c r="S509" i="12" a="1"/>
  <c r="S509" i="12" s="1"/>
  <c r="O4" i="18" a="1"/>
  <c r="O4" i="18" s="1"/>
  <c r="N57" i="18" a="1"/>
  <c r="N57" i="18" s="1"/>
  <c r="O57" i="18" a="1"/>
  <c r="O57" i="18" s="1"/>
  <c r="M38" i="18" a="1"/>
  <c r="M38" i="18" s="1"/>
  <c r="S497" i="12" a="1"/>
  <c r="S497" i="12" s="1"/>
  <c r="N51" i="18" a="1"/>
  <c r="N51" i="18" s="1"/>
  <c r="I22" i="18" a="1"/>
  <c r="I22" i="18" s="1"/>
  <c r="S569" i="12" a="1"/>
  <c r="S569" i="12" s="1"/>
  <c r="M44" i="18" a="1"/>
  <c r="M44" i="18" s="1"/>
  <c r="M13" i="18" a="1"/>
  <c r="M13" i="18" s="1"/>
  <c r="S197" i="12" a="1"/>
  <c r="S197" i="12" s="1"/>
  <c r="S665" i="12" a="1"/>
  <c r="S665" i="12" s="1"/>
  <c r="M52" i="18" a="1"/>
  <c r="M52" i="18" s="1"/>
  <c r="F49" i="18" a="1"/>
  <c r="F49" i="18" s="1"/>
  <c r="L26" i="18" a="1"/>
  <c r="L26" i="18" s="1"/>
  <c r="O25" i="18" a="1"/>
  <c r="O25" i="18" s="1"/>
  <c r="M43" i="18" a="1"/>
  <c r="M43" i="18" s="1"/>
  <c r="S557" i="12" a="1"/>
  <c r="S557" i="12" s="1"/>
  <c r="M59" i="18" a="1"/>
  <c r="M59" i="18" s="1"/>
  <c r="S749" i="12" a="1"/>
  <c r="S749" i="12" s="1"/>
  <c r="F57" i="18" a="1"/>
  <c r="F57" i="18" s="1"/>
  <c r="S581" i="12" a="1"/>
  <c r="S581" i="12" s="1"/>
  <c r="M45" i="18" a="1"/>
  <c r="M45" i="18" s="1"/>
  <c r="S737" i="12" a="1"/>
  <c r="S737" i="12" s="1"/>
  <c r="M58" i="18" a="1"/>
  <c r="M58" i="18" s="1"/>
  <c r="M4" i="18" a="1"/>
  <c r="M4" i="18" s="1"/>
  <c r="S89" i="12" a="1"/>
  <c r="S89" i="12" s="1"/>
  <c r="O19" i="18" a="1"/>
  <c r="O19" i="18" s="1"/>
  <c r="E23" i="18" a="1"/>
  <c r="E23" i="18" s="1"/>
  <c r="S341" i="12" a="1"/>
  <c r="S341" i="12" s="1"/>
  <c r="M60" i="18" a="1"/>
  <c r="M60" i="18" s="1"/>
  <c r="S761" i="12" a="1"/>
  <c r="S761" i="12" s="1"/>
  <c r="M51" i="18" a="1"/>
  <c r="M51" i="18" s="1"/>
  <c r="S653" i="12" a="1"/>
  <c r="S653" i="12" s="1"/>
  <c r="H54" i="18" a="1"/>
  <c r="H54" i="18" s="1"/>
  <c r="N13" i="18" a="1"/>
  <c r="N13" i="18" s="1"/>
  <c r="G63" i="18" a="1"/>
  <c r="G63" i="18" s="1"/>
  <c r="S293" i="12" a="1"/>
  <c r="S293" i="12" s="1"/>
  <c r="M21" i="18" a="1"/>
  <c r="M21" i="18" s="1"/>
  <c r="K67" i="18" a="1"/>
  <c r="K67" i="18" s="1"/>
  <c r="N3" i="18" a="1"/>
  <c r="N3" i="18" s="1"/>
  <c r="I43" i="18" a="1"/>
  <c r="I43" i="18" s="1"/>
  <c r="S521" i="12" a="1"/>
  <c r="S521" i="12" s="1"/>
  <c r="M40" i="18" a="1"/>
  <c r="M40" i="18" s="1"/>
  <c r="M53" i="18" a="1"/>
  <c r="M53" i="18" s="1"/>
  <c r="S677" i="12" a="1"/>
  <c r="S677" i="12" s="1"/>
  <c r="N54" i="18" a="1"/>
  <c r="N54" i="18" s="1"/>
  <c r="S713" i="12" a="1"/>
  <c r="S713" i="12" s="1"/>
  <c r="M56" i="18" a="1"/>
  <c r="M56" i="18" s="1"/>
  <c r="S629" i="12" a="1"/>
  <c r="S629" i="12" s="1"/>
  <c r="M49" i="18" a="1"/>
  <c r="M49" i="18" s="1"/>
  <c r="S857" i="12" a="1"/>
  <c r="S857" i="12" s="1"/>
  <c r="M9" i="18" a="1"/>
  <c r="M9" i="18" s="1"/>
  <c r="S149" i="12" a="1"/>
  <c r="S149" i="12" s="1"/>
  <c r="F21" i="18" a="1"/>
  <c r="F21" i="18" s="1"/>
  <c r="N45" i="18" a="1"/>
  <c r="N45" i="18" s="1"/>
  <c r="N6" i="18" a="1"/>
  <c r="N6" i="18" s="1"/>
  <c r="F25" i="18" a="1"/>
  <c r="F25" i="18" s="1"/>
  <c r="N4" i="18" a="1"/>
  <c r="N4" i="18" s="1"/>
  <c r="E58" i="18" a="1"/>
  <c r="E58" i="18" s="1"/>
  <c r="S545" i="12" a="1"/>
  <c r="S545" i="12" s="1"/>
  <c r="M42" i="18" a="1"/>
  <c r="M42" i="18" s="1"/>
  <c r="S257" i="12" a="1"/>
  <c r="S257" i="12" s="1"/>
  <c r="M18" i="18" a="1"/>
  <c r="M18" i="18" s="1"/>
  <c r="M62" i="18" a="1"/>
  <c r="M62" i="18" s="1"/>
  <c r="S785" i="12" a="1"/>
  <c r="S785" i="12" s="1"/>
  <c r="S593" i="12" a="1"/>
  <c r="S593" i="12" s="1"/>
  <c r="M26" i="18" a="1"/>
  <c r="M26" i="18" s="1"/>
  <c r="S353" i="12" a="1"/>
  <c r="S353" i="12" s="1"/>
  <c r="K19" i="18" a="1"/>
  <c r="K19" i="18" s="1"/>
  <c r="N39" i="18" a="1"/>
  <c r="N39" i="18" s="1"/>
  <c r="L28" i="18" a="1"/>
  <c r="L28" i="18" s="1"/>
  <c r="N37" i="18" a="1"/>
  <c r="N37" i="18" s="1"/>
  <c r="I37" i="18" a="1"/>
  <c r="I37" i="18" s="1"/>
  <c r="N44" i="18" a="1"/>
  <c r="N44" i="18" s="1"/>
  <c r="L31" i="18" a="1"/>
  <c r="L31" i="18" s="1"/>
  <c r="H28" i="18" a="1"/>
  <c r="H28" i="18" s="1"/>
  <c r="L59" i="18" a="1"/>
  <c r="L59" i="18" s="1"/>
  <c r="F52" i="18" a="1"/>
  <c r="F52" i="18" s="1"/>
  <c r="L39" i="18" a="1"/>
  <c r="L39" i="18" s="1"/>
  <c r="F15" i="18" a="1"/>
  <c r="F15" i="18" s="1"/>
  <c r="H25" i="18" a="1"/>
  <c r="H25" i="18" s="1"/>
  <c r="F41" i="18" a="1"/>
  <c r="F41" i="18" s="1"/>
  <c r="K50" i="18" a="1"/>
  <c r="K50" i="18" s="1"/>
  <c r="K36" i="18" a="1"/>
  <c r="K36" i="18" s="1"/>
  <c r="F26" i="18" a="1"/>
  <c r="F26" i="18" s="1"/>
  <c r="E53" i="18" a="1"/>
  <c r="E53" i="18" s="1"/>
  <c r="H30" i="18" a="1"/>
  <c r="H30" i="18" s="1"/>
  <c r="H49" i="18" a="1"/>
  <c r="H49" i="18" s="1"/>
  <c r="N14" i="18" a="1"/>
  <c r="N14" i="18" s="1"/>
  <c r="I24" i="18" a="1"/>
  <c r="I24" i="18" s="1"/>
  <c r="E60" i="18" a="1"/>
  <c r="E60" i="18" s="1"/>
  <c r="F39" i="18" a="1"/>
  <c r="F39" i="18" s="1"/>
  <c r="I60" i="18" a="1"/>
  <c r="I60" i="18" s="1"/>
  <c r="I19" i="18" a="1"/>
  <c r="I19" i="18" s="1"/>
  <c r="H39" i="18" a="1"/>
  <c r="H39" i="18" s="1"/>
  <c r="G41" i="18" a="1"/>
  <c r="G41" i="18" s="1"/>
  <c r="F42" i="18" a="1"/>
  <c r="F42" i="18" s="1"/>
  <c r="N2" i="18" a="1"/>
  <c r="N2" i="18" s="1"/>
  <c r="N28" i="18" a="1"/>
  <c r="N28" i="18" s="1"/>
  <c r="G21" i="18" a="1"/>
  <c r="G21" i="18" s="1"/>
  <c r="I68" i="18" a="1"/>
  <c r="I68" i="18" s="1"/>
  <c r="H24" i="18" a="1"/>
  <c r="H24" i="18" s="1"/>
  <c r="O58" i="18" a="1"/>
  <c r="O58" i="18" s="1"/>
  <c r="E12" i="18" a="1"/>
  <c r="E12" i="18" s="1"/>
  <c r="L30" i="18" a="1"/>
  <c r="L30" i="18" s="1"/>
  <c r="E16" i="18" a="1"/>
  <c r="E16" i="18" s="1"/>
  <c r="N21" i="18" a="1"/>
  <c r="N21" i="18" s="1"/>
  <c r="N12" i="18" a="1"/>
  <c r="N12" i="18" s="1"/>
  <c r="F30" i="18" a="1"/>
  <c r="F30" i="18" s="1"/>
  <c r="H19" i="18" a="1"/>
  <c r="H19" i="18" s="1"/>
  <c r="O45" i="18" a="1"/>
  <c r="O45" i="18" s="1"/>
  <c r="O15" i="18" a="1"/>
  <c r="O15" i="18" s="1"/>
  <c r="F31" i="18" a="1"/>
  <c r="F31" i="18" s="1"/>
  <c r="O51" i="18" a="1"/>
  <c r="O51" i="18" s="1"/>
  <c r="F51" i="18" a="1"/>
  <c r="F51" i="18" s="1"/>
  <c r="E280" i="18"/>
  <c r="H63" i="18" a="1"/>
  <c r="H63" i="18" s="1"/>
  <c r="E40" i="18" a="1"/>
  <c r="E40" i="18" s="1"/>
  <c r="U593" i="12" l="1" a="1"/>
  <c r="U593" i="12" s="1"/>
  <c r="U521" i="12" a="1"/>
  <c r="U521" i="12" s="1"/>
  <c r="U137" i="12" a="1"/>
  <c r="U137" i="12" s="1"/>
  <c r="U701" i="12" a="1"/>
  <c r="U701" i="12" s="1"/>
  <c r="U161" i="12" a="1"/>
  <c r="U161" i="12" s="1"/>
  <c r="U533" i="12" a="1"/>
  <c r="U533" i="12" s="1"/>
  <c r="U221" i="12" a="1"/>
  <c r="U221" i="12" s="1"/>
  <c r="U209" i="12" a="1"/>
  <c r="U209" i="12" s="1"/>
  <c r="U497" i="12" a="1"/>
  <c r="U497" i="12" s="1"/>
  <c r="U329" i="12" a="1"/>
  <c r="U329" i="12" s="1"/>
  <c r="U125" i="12" a="1"/>
  <c r="U125" i="12" s="1"/>
  <c r="U689" i="12" a="1"/>
  <c r="U689" i="12" s="1"/>
  <c r="U101" i="12" a="1"/>
  <c r="U101" i="12" s="1"/>
  <c r="T857" i="12" a="1"/>
  <c r="T857" i="12" s="1"/>
  <c r="U857" i="12" a="1"/>
  <c r="U857" i="12" s="1"/>
  <c r="T332" i="12" a="1"/>
  <c r="T332" i="12" s="1"/>
  <c r="T337" i="12" a="1"/>
  <c r="T337" i="12" s="1"/>
  <c r="T340" i="12" a="1"/>
  <c r="T340" i="12" s="1"/>
  <c r="T334" i="12" a="1"/>
  <c r="T334" i="12" s="1"/>
  <c r="T338" i="12" a="1"/>
  <c r="T338" i="12" s="1"/>
  <c r="T336" i="12" a="1"/>
  <c r="T336" i="12" s="1"/>
  <c r="T333" i="12" a="1"/>
  <c r="T333" i="12" s="1"/>
  <c r="T335" i="12" a="1"/>
  <c r="T335" i="12" s="1"/>
  <c r="T330" i="12" a="1"/>
  <c r="T330" i="12" s="1"/>
  <c r="T331" i="12" a="1"/>
  <c r="T331" i="12" s="1"/>
  <c r="T339" i="12" a="1"/>
  <c r="T339" i="12" s="1"/>
  <c r="T461" i="12" a="1"/>
  <c r="T461" i="12" s="1"/>
  <c r="U461" i="12" a="1"/>
  <c r="U461" i="12" s="1"/>
  <c r="T449" i="12" a="1"/>
  <c r="T449" i="12" s="1"/>
  <c r="U449" i="12" a="1"/>
  <c r="U449" i="12" s="1"/>
  <c r="U617" i="12" a="1"/>
  <c r="U617" i="12" s="1"/>
  <c r="T850" i="12" a="1"/>
  <c r="T850" i="12" s="1"/>
  <c r="T855" i="12" a="1"/>
  <c r="T855" i="12" s="1"/>
  <c r="T852" i="12" a="1"/>
  <c r="T852" i="12" s="1"/>
  <c r="T853" i="12" a="1"/>
  <c r="T853" i="12" s="1"/>
  <c r="T856" i="12" a="1"/>
  <c r="T856" i="12" s="1"/>
  <c r="T847" i="12" a="1"/>
  <c r="T847" i="12" s="1"/>
  <c r="T854" i="12" a="1"/>
  <c r="T854" i="12" s="1"/>
  <c r="T851" i="12" a="1"/>
  <c r="T851" i="12" s="1"/>
  <c r="T848" i="12" a="1"/>
  <c r="T848" i="12" s="1"/>
  <c r="T849" i="12" a="1"/>
  <c r="T849" i="12" s="1"/>
  <c r="T846" i="12" a="1"/>
  <c r="T846" i="12" s="1"/>
  <c r="U365" i="12" a="1"/>
  <c r="U365" i="12" s="1"/>
  <c r="U257" i="12" a="1"/>
  <c r="U257" i="12" s="1"/>
  <c r="U89" i="12" a="1"/>
  <c r="U89" i="12" s="1"/>
  <c r="U269" i="12" a="1"/>
  <c r="U269" i="12" s="1"/>
  <c r="U605" i="12" a="1"/>
  <c r="U605" i="12" s="1"/>
  <c r="U773" i="12" a="1"/>
  <c r="U773" i="12" s="1"/>
  <c r="U173" i="12" a="1"/>
  <c r="U173" i="12" s="1"/>
  <c r="U233" i="12" a="1"/>
  <c r="U233" i="12" s="1"/>
  <c r="T341" i="12" a="1"/>
  <c r="T341" i="12" s="1"/>
  <c r="U341" i="12" a="1"/>
  <c r="U341" i="12" s="1"/>
  <c r="U629" i="12" a="1"/>
  <c r="U629" i="12" s="1"/>
  <c r="U293" i="12" a="1"/>
  <c r="U293" i="12" s="1"/>
  <c r="U389" i="12" a="1"/>
  <c r="U389" i="12" s="1"/>
  <c r="U845" i="12" a="1"/>
  <c r="U845" i="12" s="1"/>
  <c r="U305" i="12" a="1"/>
  <c r="U305" i="12" s="1"/>
  <c r="U425" i="12" a="1"/>
  <c r="U425" i="12" s="1"/>
  <c r="U77" i="12" a="1"/>
  <c r="U77" i="12" s="1"/>
  <c r="U545" i="12" a="1"/>
  <c r="U545" i="12" s="1"/>
  <c r="U281" i="12" a="1"/>
  <c r="U281" i="12" s="1"/>
  <c r="U113" i="12" a="1"/>
  <c r="U113" i="12" s="1"/>
  <c r="U149" i="12" a="1"/>
  <c r="U149" i="12" s="1"/>
  <c r="U713" i="12" a="1"/>
  <c r="U713" i="12" s="1"/>
  <c r="U737" i="12" a="1"/>
  <c r="U737" i="12" s="1"/>
  <c r="U665" i="12" a="1"/>
  <c r="U665" i="12" s="1"/>
  <c r="U509" i="12" a="1"/>
  <c r="U509" i="12" s="1"/>
  <c r="U401" i="12" a="1"/>
  <c r="U401" i="12" s="1"/>
  <c r="U833" i="12" a="1"/>
  <c r="U833" i="12" s="1"/>
  <c r="U377" i="12" a="1"/>
  <c r="U377" i="12" s="1"/>
  <c r="U197" i="12" a="1"/>
  <c r="U197" i="12" s="1"/>
  <c r="U413" i="12" a="1"/>
  <c r="U413" i="12" s="1"/>
  <c r="U245" i="12" a="1"/>
  <c r="U245" i="12" s="1"/>
  <c r="U797" i="12" a="1"/>
  <c r="U797" i="12" s="1"/>
  <c r="U557" i="12" a="1"/>
  <c r="U557" i="12" s="1"/>
  <c r="U653" i="12" a="1"/>
  <c r="U653" i="12" s="1"/>
  <c r="U581" i="12" a="1"/>
  <c r="U581" i="12" s="1"/>
  <c r="U725" i="12" a="1"/>
  <c r="U725" i="12" s="1"/>
  <c r="U185" i="12" a="1"/>
  <c r="U185" i="12" s="1"/>
  <c r="U353" i="12" a="1"/>
  <c r="U353" i="12" s="1"/>
  <c r="U821" i="12" a="1"/>
  <c r="U821" i="12" s="1"/>
  <c r="T437" i="12" a="1"/>
  <c r="T437" i="12" s="1"/>
  <c r="U437" i="12" a="1"/>
  <c r="U437" i="12" s="1"/>
  <c r="U809" i="12" a="1"/>
  <c r="U809" i="12" s="1"/>
  <c r="U641" i="12" a="1"/>
  <c r="U641" i="12" s="1"/>
  <c r="U473" i="12" a="1"/>
  <c r="U473" i="12" s="1"/>
  <c r="U785" i="12" a="1"/>
  <c r="U785" i="12" s="1"/>
  <c r="U677" i="12" a="1"/>
  <c r="U677" i="12" s="1"/>
  <c r="U761" i="12" a="1"/>
  <c r="U761" i="12" s="1"/>
  <c r="U749" i="12" a="1"/>
  <c r="U749" i="12" s="1"/>
  <c r="U569" i="12" a="1"/>
  <c r="U569" i="12" s="1"/>
  <c r="U317" i="12" a="1"/>
  <c r="U317" i="12" s="1"/>
  <c r="U485" i="12" a="1"/>
  <c r="U485" i="12" s="1"/>
  <c r="F82" i="12" a="1"/>
  <c r="F82" i="12" s="1"/>
  <c r="I11" i="18" a="1"/>
  <c r="I11" i="18" s="1"/>
  <c r="H11" i="18" a="1"/>
  <c r="H11" i="18" s="1"/>
  <c r="L11" i="18" a="1"/>
  <c r="L11" i="18" s="1"/>
  <c r="K11" i="18" a="1"/>
  <c r="K11" i="18" s="1"/>
  <c r="I10" i="18" a="1"/>
  <c r="I10" i="18" s="1"/>
  <c r="H10" i="18" a="1"/>
  <c r="H10" i="18" s="1"/>
  <c r="G10" i="18" a="1"/>
  <c r="G10" i="18" s="1"/>
  <c r="F10" i="18" a="1"/>
  <c r="F10" i="18" s="1"/>
  <c r="L10" i="18" a="1"/>
  <c r="L10" i="18" s="1"/>
  <c r="E10" i="18" a="1"/>
  <c r="E10" i="18" s="1"/>
  <c r="K10" i="18" a="1"/>
  <c r="K10" i="18" s="1"/>
  <c r="I9" i="18" a="1"/>
  <c r="I9" i="18" s="1"/>
  <c r="H9" i="18" a="1"/>
  <c r="H9" i="18" s="1"/>
  <c r="G9" i="18" a="1"/>
  <c r="G9" i="18" s="1"/>
  <c r="F9" i="18" a="1"/>
  <c r="F9" i="18" s="1"/>
  <c r="L9" i="18" a="1"/>
  <c r="L9" i="18" s="1"/>
  <c r="E9" i="18" a="1"/>
  <c r="E9" i="18" s="1"/>
  <c r="K9" i="18" a="1"/>
  <c r="K9" i="18" s="1"/>
  <c r="I8" i="18" a="1"/>
  <c r="I8" i="18" s="1"/>
  <c r="H8" i="18" a="1"/>
  <c r="H8" i="18" s="1"/>
  <c r="G8" i="18" a="1"/>
  <c r="G8" i="18" s="1"/>
  <c r="F8" i="18" a="1"/>
  <c r="F8" i="18" s="1"/>
  <c r="L8" i="18" a="1"/>
  <c r="L8" i="18" s="1"/>
  <c r="E8" i="18" a="1"/>
  <c r="E8" i="18" s="1"/>
  <c r="K8" i="18" a="1"/>
  <c r="K8" i="18" s="1"/>
  <c r="I7" i="18" a="1"/>
  <c r="I7" i="18" s="1"/>
  <c r="H7" i="18" a="1"/>
  <c r="H7" i="18" s="1"/>
  <c r="G7" i="18" a="1"/>
  <c r="G7" i="18" s="1"/>
  <c r="F7" i="18" a="1"/>
  <c r="F7" i="18" s="1"/>
  <c r="L7" i="18" a="1"/>
  <c r="L7" i="18" s="1"/>
  <c r="E7" i="18" a="1"/>
  <c r="E7" i="18" s="1"/>
  <c r="K7" i="18" a="1"/>
  <c r="K7" i="18" s="1"/>
  <c r="I6" i="18" a="1"/>
  <c r="I6" i="18" s="1"/>
  <c r="H6" i="18" a="1"/>
  <c r="H6" i="18" s="1"/>
  <c r="G6" i="18" a="1"/>
  <c r="G6" i="18" s="1"/>
  <c r="F6" i="18" a="1"/>
  <c r="F6" i="18" s="1"/>
  <c r="L6" i="18" a="1"/>
  <c r="L6" i="18" s="1"/>
  <c r="E6" i="18" a="1"/>
  <c r="E6" i="18" s="1"/>
  <c r="K6" i="18" a="1"/>
  <c r="K6" i="18" s="1"/>
  <c r="I5" i="18" a="1"/>
  <c r="I5" i="18" s="1"/>
  <c r="H5" i="18" a="1"/>
  <c r="H5" i="18" s="1"/>
  <c r="G5" i="18" a="1"/>
  <c r="G5" i="18" s="1"/>
  <c r="F5" i="18" a="1"/>
  <c r="F5" i="18" s="1"/>
  <c r="L5" i="18" a="1"/>
  <c r="L5" i="18" s="1"/>
  <c r="E5" i="18" a="1"/>
  <c r="E5" i="18" s="1"/>
  <c r="K5" i="18" a="1"/>
  <c r="K5" i="18" s="1"/>
  <c r="I4" i="18" a="1"/>
  <c r="I4" i="18" s="1"/>
  <c r="H4" i="18" a="1"/>
  <c r="H4" i="18" s="1"/>
  <c r="G4" i="18" a="1"/>
  <c r="G4" i="18" s="1"/>
  <c r="F4" i="18" a="1"/>
  <c r="F4" i="18" s="1"/>
  <c r="L4" i="18" a="1"/>
  <c r="L4" i="18" s="1"/>
  <c r="E4" i="18" a="1"/>
  <c r="E4" i="18" s="1"/>
  <c r="K4" i="18" a="1"/>
  <c r="K4" i="18" s="1"/>
  <c r="I3" i="18" a="1"/>
  <c r="I3" i="18" s="1"/>
  <c r="H3" i="18" a="1"/>
  <c r="H3" i="18" s="1"/>
  <c r="G3" i="18" a="1"/>
  <c r="G3" i="18" s="1"/>
  <c r="F3" i="18" a="1"/>
  <c r="F3" i="18" s="1"/>
  <c r="L3" i="18" a="1"/>
  <c r="L3" i="18" s="1"/>
  <c r="E3" i="18" a="1"/>
  <c r="E3" i="18" s="1"/>
  <c r="K3" i="18" a="1"/>
  <c r="K3" i="18" s="1"/>
  <c r="Q68" i="18" a="1"/>
  <c r="Q68" i="18" s="1"/>
  <c r="Q25" i="18" a="1"/>
  <c r="Q25" i="18" s="1"/>
  <c r="Q44" i="18" a="1"/>
  <c r="Q44" i="18" s="1"/>
  <c r="T569" i="12" a="1"/>
  <c r="T569" i="12" s="1"/>
  <c r="Q39" i="18" a="1"/>
  <c r="Q39" i="18" s="1"/>
  <c r="T509" i="12" a="1"/>
  <c r="T509" i="12" s="1"/>
  <c r="Q62" i="18" a="1"/>
  <c r="Q62" i="18" s="1"/>
  <c r="T785" i="12" a="1"/>
  <c r="T785" i="12" s="1"/>
  <c r="Q9" i="18" a="1"/>
  <c r="Q9" i="18" s="1"/>
  <c r="T149" i="12" a="1"/>
  <c r="T149" i="12" s="1"/>
  <c r="Q19" i="18" a="1"/>
  <c r="Q19" i="18" s="1"/>
  <c r="Q47" i="18" a="1"/>
  <c r="Q47" i="18" s="1"/>
  <c r="T605" i="12" a="1"/>
  <c r="T605" i="12" s="1"/>
  <c r="Q18" i="18" a="1"/>
  <c r="Q18" i="18" s="1"/>
  <c r="T257" i="12" a="1"/>
  <c r="T257" i="12" s="1"/>
  <c r="Q56" i="18" a="1"/>
  <c r="Q56" i="18" s="1"/>
  <c r="Q65" i="18" a="1"/>
  <c r="Q65" i="18" s="1"/>
  <c r="T821" i="12" a="1"/>
  <c r="T821" i="12" s="1"/>
  <c r="Q54" i="18" a="1"/>
  <c r="Q54" i="18" s="1"/>
  <c r="T689" i="12" a="1"/>
  <c r="T689" i="12" s="1"/>
  <c r="Q15" i="18" a="1"/>
  <c r="Q15" i="18" s="1"/>
  <c r="Q5" i="18" a="1"/>
  <c r="Q5" i="18" s="1"/>
  <c r="Q60" i="18" a="1"/>
  <c r="Q60" i="18" s="1"/>
  <c r="Q4" i="18" a="1"/>
  <c r="Q4" i="18" s="1"/>
  <c r="T557" i="12" a="1"/>
  <c r="T557" i="12" s="1"/>
  <c r="Q43" i="18" a="1"/>
  <c r="Q43" i="18" s="1"/>
  <c r="Q30" i="18" a="1"/>
  <c r="Q30" i="18" s="1"/>
  <c r="Q29" i="18" a="1"/>
  <c r="Q29" i="18" s="1"/>
  <c r="Q17" i="18" a="1"/>
  <c r="Q17" i="18" s="1"/>
  <c r="T245" i="12" a="1"/>
  <c r="T245" i="12" s="1"/>
  <c r="Q63" i="18" a="1"/>
  <c r="Q63" i="18" s="1"/>
  <c r="T797" i="12" a="1"/>
  <c r="T797" i="12" s="1"/>
  <c r="Q37" i="18" a="1"/>
  <c r="Q37" i="18" s="1"/>
  <c r="T485" i="12" a="1"/>
  <c r="T485" i="12" s="1"/>
  <c r="Q16" i="18" a="1"/>
  <c r="Q16" i="18" s="1"/>
  <c r="T233" i="12" a="1"/>
  <c r="T233" i="12" s="1"/>
  <c r="Q58" i="18" a="1"/>
  <c r="Q58" i="18" s="1"/>
  <c r="Q59" i="18" a="1"/>
  <c r="Q59" i="18" s="1"/>
  <c r="Q52" i="18" a="1"/>
  <c r="Q52" i="18" s="1"/>
  <c r="T665" i="12" a="1"/>
  <c r="T665" i="12" s="1"/>
  <c r="Q7" i="18" a="1"/>
  <c r="Q7" i="18" s="1"/>
  <c r="T125" i="12" a="1"/>
  <c r="T125" i="12" s="1"/>
  <c r="Q23" i="18" a="1"/>
  <c r="Q23" i="18" s="1"/>
  <c r="T317" i="12" a="1"/>
  <c r="T317" i="12" s="1"/>
  <c r="Q11" i="18" a="1"/>
  <c r="Q11" i="18" s="1"/>
  <c r="T173" i="12" a="1"/>
  <c r="T173" i="12" s="1"/>
  <c r="Q3" i="18" a="1"/>
  <c r="Q3" i="18" s="1"/>
  <c r="Q42" i="18" a="1"/>
  <c r="Q42" i="18" s="1"/>
  <c r="Q41" i="18" a="1"/>
  <c r="Q41" i="18" s="1"/>
  <c r="T533" i="12" a="1"/>
  <c r="T533" i="12" s="1"/>
  <c r="Q24" i="18" a="1"/>
  <c r="Q24" i="18" s="1"/>
  <c r="T329" i="12" a="1"/>
  <c r="T329" i="12" s="1"/>
  <c r="Q20" i="18" a="1"/>
  <c r="Q20" i="18" s="1"/>
  <c r="T281" i="12" a="1"/>
  <c r="T281" i="12" s="1"/>
  <c r="Q67" i="18" a="1"/>
  <c r="Q67" i="18" s="1"/>
  <c r="T845" i="12" a="1"/>
  <c r="T845" i="12" s="1"/>
  <c r="Q64" i="18" a="1"/>
  <c r="Q64" i="18" s="1"/>
  <c r="Q50" i="18" a="1"/>
  <c r="Q50" i="18" s="1"/>
  <c r="Q36" i="18" a="1"/>
  <c r="Q36" i="18" s="1"/>
  <c r="T473" i="12" a="1"/>
  <c r="T473" i="12" s="1"/>
  <c r="T677" i="12" a="1"/>
  <c r="T677" i="12" s="1"/>
  <c r="Q53" i="18" a="1"/>
  <c r="Q53" i="18" s="1"/>
  <c r="Q31" i="18" a="1"/>
  <c r="Q31" i="18" s="1"/>
  <c r="Q8" i="18" a="1"/>
  <c r="Q8" i="18" s="1"/>
  <c r="Q57" i="18" a="1"/>
  <c r="Q57" i="18" s="1"/>
  <c r="Q22" i="18" a="1"/>
  <c r="Q22" i="18" s="1"/>
  <c r="T305" i="12" a="1"/>
  <c r="T305" i="12" s="1"/>
  <c r="Q12" i="18" a="1"/>
  <c r="Q12" i="18" s="1"/>
  <c r="T185" i="12" a="1"/>
  <c r="T185" i="12" s="1"/>
  <c r="Q49" i="18" a="1"/>
  <c r="Q49" i="18" s="1"/>
  <c r="Q40" i="18" a="1"/>
  <c r="Q40" i="18" s="1"/>
  <c r="Q13" i="18" a="1"/>
  <c r="Q13" i="18" s="1"/>
  <c r="Q28" i="18" a="1"/>
  <c r="Q28" i="18" s="1"/>
  <c r="Q61" i="18" a="1"/>
  <c r="Q61" i="18" s="1"/>
  <c r="Q26" i="18" a="1"/>
  <c r="Q26" i="18" s="1"/>
  <c r="T353" i="12" a="1"/>
  <c r="T353" i="12" s="1"/>
  <c r="Q48" i="18" a="1"/>
  <c r="Q48" i="18" s="1"/>
  <c r="T617" i="12" a="1"/>
  <c r="T617" i="12" s="1"/>
  <c r="Q27" i="18" a="1"/>
  <c r="Q27" i="18" s="1"/>
  <c r="T365" i="12" a="1"/>
  <c r="T365" i="12" s="1"/>
  <c r="Q21" i="18" a="1"/>
  <c r="Q21" i="18" s="1"/>
  <c r="Q51" i="18" a="1"/>
  <c r="Q51" i="18" s="1"/>
  <c r="Q45" i="18" a="1"/>
  <c r="Q45" i="18" s="1"/>
  <c r="Q38" i="18" a="1"/>
  <c r="Q38" i="18" s="1"/>
  <c r="T497" i="12" a="1"/>
  <c r="T497" i="12" s="1"/>
  <c r="Q6" i="18" a="1"/>
  <c r="Q6" i="18" s="1"/>
  <c r="T113" i="12" a="1"/>
  <c r="T113" i="12" s="1"/>
  <c r="Q55" i="18" a="1"/>
  <c r="Q55" i="18" s="1"/>
  <c r="T701" i="12" a="1"/>
  <c r="T701" i="12" s="1"/>
  <c r="Q10" i="18" a="1"/>
  <c r="Q10" i="18" s="1"/>
  <c r="T161" i="12" a="1"/>
  <c r="T161" i="12" s="1"/>
  <c r="Q66" i="18" a="1"/>
  <c r="Q66" i="18" s="1"/>
  <c r="T833" i="12" a="1"/>
  <c r="T833" i="12" s="1"/>
  <c r="Q14" i="18" a="1"/>
  <c r="Q14" i="18" s="1"/>
  <c r="T199" i="12" l="1" a="1"/>
  <c r="T199" i="12" s="1"/>
  <c r="T206" i="12" a="1"/>
  <c r="T206" i="12" s="1"/>
  <c r="T208" i="12" a="1"/>
  <c r="T208" i="12" s="1"/>
  <c r="T200" i="12" a="1"/>
  <c r="T200" i="12" s="1"/>
  <c r="T202" i="12" a="1"/>
  <c r="T202" i="12" s="1"/>
  <c r="T204" i="12" a="1"/>
  <c r="T204" i="12" s="1"/>
  <c r="T198" i="12" a="1"/>
  <c r="T198" i="12" s="1"/>
  <c r="T205" i="12" a="1"/>
  <c r="T205" i="12" s="1"/>
  <c r="T203" i="12" a="1"/>
  <c r="T203" i="12" s="1"/>
  <c r="T201" i="12" a="1"/>
  <c r="T201" i="12" s="1"/>
  <c r="T207" i="12" a="1"/>
  <c r="T207" i="12" s="1"/>
  <c r="T575" i="12" a="1"/>
  <c r="T575" i="12" s="1"/>
  <c r="T572" i="12" a="1"/>
  <c r="T572" i="12" s="1"/>
  <c r="T573" i="12" a="1"/>
  <c r="T573" i="12" s="1"/>
  <c r="T579" i="12" a="1"/>
  <c r="T579" i="12" s="1"/>
  <c r="T577" i="12" a="1"/>
  <c r="T577" i="12" s="1"/>
  <c r="T571" i="12" a="1"/>
  <c r="T571" i="12" s="1"/>
  <c r="T576" i="12" a="1"/>
  <c r="T576" i="12" s="1"/>
  <c r="T580" i="12" a="1"/>
  <c r="T580" i="12" s="1"/>
  <c r="T570" i="12" a="1"/>
  <c r="T570" i="12" s="1"/>
  <c r="T574" i="12" a="1"/>
  <c r="T574" i="12" s="1"/>
  <c r="T578" i="12" a="1"/>
  <c r="T578" i="12" s="1"/>
  <c r="T770" i="12" a="1"/>
  <c r="T770" i="12" s="1"/>
  <c r="T766" i="12" a="1"/>
  <c r="T766" i="12" s="1"/>
  <c r="T769" i="12" a="1"/>
  <c r="T769" i="12" s="1"/>
  <c r="T772" i="12" a="1"/>
  <c r="T772" i="12" s="1"/>
  <c r="T767" i="12" a="1"/>
  <c r="T767" i="12" s="1"/>
  <c r="T763" i="12" a="1"/>
  <c r="T763" i="12" s="1"/>
  <c r="T764" i="12" a="1"/>
  <c r="T764" i="12" s="1"/>
  <c r="T768" i="12" a="1"/>
  <c r="T768" i="12" s="1"/>
  <c r="T762" i="12" a="1"/>
  <c r="T762" i="12" s="1"/>
  <c r="T771" i="12" a="1"/>
  <c r="T771" i="12" s="1"/>
  <c r="T765" i="12" a="1"/>
  <c r="T765" i="12" s="1"/>
  <c r="T303" i="12" a="1"/>
  <c r="T303" i="12" s="1"/>
  <c r="T296" i="12" a="1"/>
  <c r="T296" i="12" s="1"/>
  <c r="T299" i="12" a="1"/>
  <c r="T299" i="12" s="1"/>
  <c r="T297" i="12" a="1"/>
  <c r="T297" i="12" s="1"/>
  <c r="T300" i="12" a="1"/>
  <c r="T300" i="12" s="1"/>
  <c r="T304" i="12" a="1"/>
  <c r="T304" i="12" s="1"/>
  <c r="T298" i="12" a="1"/>
  <c r="T298" i="12" s="1"/>
  <c r="T301" i="12" a="1"/>
  <c r="T301" i="12" s="1"/>
  <c r="T294" i="12" a="1"/>
  <c r="T294" i="12" s="1"/>
  <c r="T302" i="12" a="1"/>
  <c r="T302" i="12" s="1"/>
  <c r="T295" i="12" a="1"/>
  <c r="T295" i="12" s="1"/>
  <c r="T638" i="12" a="1"/>
  <c r="T638" i="12" s="1"/>
  <c r="T636" i="12" a="1"/>
  <c r="T636" i="12" s="1"/>
  <c r="T640" i="12" a="1"/>
  <c r="T640" i="12" s="1"/>
  <c r="T634" i="12" a="1"/>
  <c r="T634" i="12" s="1"/>
  <c r="T637" i="12" a="1"/>
  <c r="T637" i="12" s="1"/>
  <c r="T630" i="12" a="1"/>
  <c r="T630" i="12" s="1"/>
  <c r="T631" i="12" a="1"/>
  <c r="T631" i="12" s="1"/>
  <c r="T632" i="12" a="1"/>
  <c r="T632" i="12" s="1"/>
  <c r="T633" i="12" a="1"/>
  <c r="T633" i="12" s="1"/>
  <c r="T635" i="12" a="1"/>
  <c r="T635" i="12" s="1"/>
  <c r="T639" i="12" a="1"/>
  <c r="T639" i="12" s="1"/>
  <c r="T540" i="12" a="1"/>
  <c r="T540" i="12" s="1"/>
  <c r="T534" i="12" a="1"/>
  <c r="T534" i="12" s="1"/>
  <c r="T535" i="12" a="1"/>
  <c r="T535" i="12" s="1"/>
  <c r="T536" i="12" a="1"/>
  <c r="T536" i="12" s="1"/>
  <c r="T542" i="12" a="1"/>
  <c r="T542" i="12" s="1"/>
  <c r="T537" i="12" a="1"/>
  <c r="T537" i="12" s="1"/>
  <c r="T544" i="12" a="1"/>
  <c r="T544" i="12" s="1"/>
  <c r="T539" i="12" a="1"/>
  <c r="T539" i="12" s="1"/>
  <c r="T538" i="12" a="1"/>
  <c r="T538" i="12" s="1"/>
  <c r="T541" i="12" a="1"/>
  <c r="T541" i="12" s="1"/>
  <c r="T543" i="12" a="1"/>
  <c r="T543" i="12" s="1"/>
  <c r="T748" i="12" a="1"/>
  <c r="T748" i="12" s="1"/>
  <c r="T741" i="12" a="1"/>
  <c r="T741" i="12" s="1"/>
  <c r="T740" i="12" a="1"/>
  <c r="T740" i="12" s="1"/>
  <c r="T743" i="12" a="1"/>
  <c r="T743" i="12" s="1"/>
  <c r="T742" i="12" a="1"/>
  <c r="T742" i="12" s="1"/>
  <c r="T739" i="12" a="1"/>
  <c r="T739" i="12" s="1"/>
  <c r="T744" i="12" a="1"/>
  <c r="T744" i="12" s="1"/>
  <c r="T747" i="12" a="1"/>
  <c r="T747" i="12" s="1"/>
  <c r="T745" i="12" a="1"/>
  <c r="T745" i="12" s="1"/>
  <c r="T738" i="12" a="1"/>
  <c r="T738" i="12" s="1"/>
  <c r="T746" i="12" a="1"/>
  <c r="T746" i="12" s="1"/>
  <c r="T384" i="12" a="1"/>
  <c r="T384" i="12" s="1"/>
  <c r="T378" i="12" a="1"/>
  <c r="T378" i="12" s="1"/>
  <c r="T385" i="12" a="1"/>
  <c r="T385" i="12" s="1"/>
  <c r="T379" i="12" a="1"/>
  <c r="T379" i="12" s="1"/>
  <c r="T380" i="12" a="1"/>
  <c r="T380" i="12" s="1"/>
  <c r="T382" i="12" a="1"/>
  <c r="T382" i="12" s="1"/>
  <c r="T381" i="12" a="1"/>
  <c r="T381" i="12" s="1"/>
  <c r="T383" i="12" a="1"/>
  <c r="T383" i="12" s="1"/>
  <c r="T387" i="12" a="1"/>
  <c r="T387" i="12" s="1"/>
  <c r="T388" i="12" a="1"/>
  <c r="T388" i="12" s="1"/>
  <c r="T386" i="12" a="1"/>
  <c r="T386" i="12" s="1"/>
  <c r="T220" i="12" a="1"/>
  <c r="T220" i="12" s="1"/>
  <c r="T211" i="12" a="1"/>
  <c r="T211" i="12" s="1"/>
  <c r="T215" i="12" a="1"/>
  <c r="T215" i="12" s="1"/>
  <c r="T218" i="12" a="1"/>
  <c r="T218" i="12" s="1"/>
  <c r="T214" i="12" a="1"/>
  <c r="T214" i="12" s="1"/>
  <c r="T217" i="12" a="1"/>
  <c r="T217" i="12" s="1"/>
  <c r="T213" i="12" a="1"/>
  <c r="T213" i="12" s="1"/>
  <c r="T219" i="12" a="1"/>
  <c r="T219" i="12" s="1"/>
  <c r="T210" i="12" a="1"/>
  <c r="T210" i="12" s="1"/>
  <c r="T212" i="12" a="1"/>
  <c r="T212" i="12" s="1"/>
  <c r="T216" i="12" a="1"/>
  <c r="T216" i="12" s="1"/>
  <c r="T264" i="12" a="1"/>
  <c r="T264" i="12" s="1"/>
  <c r="T261" i="12" a="1"/>
  <c r="T261" i="12" s="1"/>
  <c r="T258" i="12" a="1"/>
  <c r="T258" i="12" s="1"/>
  <c r="T259" i="12" a="1"/>
  <c r="T259" i="12" s="1"/>
  <c r="T262" i="12" a="1"/>
  <c r="T262" i="12" s="1"/>
  <c r="T267" i="12" a="1"/>
  <c r="T267" i="12" s="1"/>
  <c r="T260" i="12" a="1"/>
  <c r="T260" i="12" s="1"/>
  <c r="T263" i="12" a="1"/>
  <c r="T263" i="12" s="1"/>
  <c r="T266" i="12" a="1"/>
  <c r="T266" i="12" s="1"/>
  <c r="T268" i="12" a="1"/>
  <c r="T268" i="12" s="1"/>
  <c r="T265" i="12" a="1"/>
  <c r="T265" i="12" s="1"/>
  <c r="T830" i="12" a="1"/>
  <c r="T830" i="12" s="1"/>
  <c r="T825" i="12" a="1"/>
  <c r="T825" i="12" s="1"/>
  <c r="T831" i="12" a="1"/>
  <c r="T831" i="12" s="1"/>
  <c r="T828" i="12" a="1"/>
  <c r="T828" i="12" s="1"/>
  <c r="T822" i="12" a="1"/>
  <c r="T822" i="12" s="1"/>
  <c r="T823" i="12" a="1"/>
  <c r="T823" i="12" s="1"/>
  <c r="T824" i="12" a="1"/>
  <c r="T824" i="12" s="1"/>
  <c r="T827" i="12" a="1"/>
  <c r="T827" i="12" s="1"/>
  <c r="T826" i="12" a="1"/>
  <c r="T826" i="12" s="1"/>
  <c r="T829" i="12" a="1"/>
  <c r="T829" i="12" s="1"/>
  <c r="T832" i="12" a="1"/>
  <c r="T832" i="12" s="1"/>
  <c r="T646" i="12" a="1"/>
  <c r="T646" i="12" s="1"/>
  <c r="T649" i="12" a="1"/>
  <c r="T649" i="12" s="1"/>
  <c r="T652" i="12" a="1"/>
  <c r="T652" i="12" s="1"/>
  <c r="T642" i="12" a="1"/>
  <c r="T642" i="12" s="1"/>
  <c r="T650" i="12" a="1"/>
  <c r="T650" i="12" s="1"/>
  <c r="T648" i="12" a="1"/>
  <c r="T648" i="12" s="1"/>
  <c r="T651" i="12" a="1"/>
  <c r="T651" i="12" s="1"/>
  <c r="T643" i="12" a="1"/>
  <c r="T643" i="12" s="1"/>
  <c r="T644" i="12" a="1"/>
  <c r="T644" i="12" s="1"/>
  <c r="T645" i="12" a="1"/>
  <c r="T645" i="12" s="1"/>
  <c r="T647" i="12" a="1"/>
  <c r="T647" i="12" s="1"/>
  <c r="T372" i="12" a="1"/>
  <c r="T372" i="12" s="1"/>
  <c r="T370" i="12" a="1"/>
  <c r="T370" i="12" s="1"/>
  <c r="T366" i="12" a="1"/>
  <c r="T366" i="12" s="1"/>
  <c r="T371" i="12" a="1"/>
  <c r="T371" i="12" s="1"/>
  <c r="T375" i="12" a="1"/>
  <c r="T375" i="12" s="1"/>
  <c r="T373" i="12" a="1"/>
  <c r="T373" i="12" s="1"/>
  <c r="T367" i="12" a="1"/>
  <c r="T367" i="12" s="1"/>
  <c r="T376" i="12" a="1"/>
  <c r="T376" i="12" s="1"/>
  <c r="T374" i="12" a="1"/>
  <c r="T374" i="12" s="1"/>
  <c r="T368" i="12" a="1"/>
  <c r="T368" i="12" s="1"/>
  <c r="T369" i="12" a="1"/>
  <c r="T369" i="12" s="1"/>
  <c r="T717" i="12" a="1"/>
  <c r="T717" i="12" s="1"/>
  <c r="T723" i="12" a="1"/>
  <c r="T723" i="12" s="1"/>
  <c r="T724" i="12" a="1"/>
  <c r="T724" i="12" s="1"/>
  <c r="T714" i="12" a="1"/>
  <c r="T714" i="12" s="1"/>
  <c r="T716" i="12" a="1"/>
  <c r="T716" i="12" s="1"/>
  <c r="T715" i="12" a="1"/>
  <c r="T715" i="12" s="1"/>
  <c r="T719" i="12" a="1"/>
  <c r="T719" i="12" s="1"/>
  <c r="T718" i="12" a="1"/>
  <c r="T718" i="12" s="1"/>
  <c r="T722" i="12" a="1"/>
  <c r="T722" i="12" s="1"/>
  <c r="T720" i="12" a="1"/>
  <c r="T720" i="12" s="1"/>
  <c r="T721" i="12" a="1"/>
  <c r="T721" i="12" s="1"/>
  <c r="T802" i="12" a="1"/>
  <c r="T802" i="12" s="1"/>
  <c r="T798" i="12" a="1"/>
  <c r="T798" i="12" s="1"/>
  <c r="T805" i="12" a="1"/>
  <c r="T805" i="12" s="1"/>
  <c r="T806" i="12" a="1"/>
  <c r="T806" i="12" s="1"/>
  <c r="T799" i="12" a="1"/>
  <c r="T799" i="12" s="1"/>
  <c r="T804" i="12" a="1"/>
  <c r="T804" i="12" s="1"/>
  <c r="T801" i="12" a="1"/>
  <c r="T801" i="12" s="1"/>
  <c r="T807" i="12" a="1"/>
  <c r="T807" i="12" s="1"/>
  <c r="T808" i="12" a="1"/>
  <c r="T808" i="12" s="1"/>
  <c r="T800" i="12" a="1"/>
  <c r="T800" i="12" s="1"/>
  <c r="T803" i="12" a="1"/>
  <c r="T803" i="12" s="1"/>
  <c r="T73" i="12" a="1"/>
  <c r="T73" i="12" s="1"/>
  <c r="T74" i="12" a="1"/>
  <c r="T74" i="12" s="1"/>
  <c r="T66" i="12" a="1"/>
  <c r="T66" i="12" s="1"/>
  <c r="T70" i="12" a="1"/>
  <c r="T70" i="12" s="1"/>
  <c r="T72" i="12" a="1"/>
  <c r="T72" i="12" s="1"/>
  <c r="T67" i="12" a="1"/>
  <c r="T67" i="12" s="1"/>
  <c r="T76" i="12" a="1"/>
  <c r="T76" i="12" s="1"/>
  <c r="T75" i="12" a="1"/>
  <c r="T75" i="12" s="1"/>
  <c r="T71" i="12" a="1"/>
  <c r="T71" i="12" s="1"/>
  <c r="T69" i="12" a="1"/>
  <c r="T69" i="12" s="1"/>
  <c r="T68" i="12" a="1"/>
  <c r="T68" i="12" s="1"/>
  <c r="T729" i="12" a="1"/>
  <c r="T729" i="12" s="1"/>
  <c r="T736" i="12" a="1"/>
  <c r="T736" i="12" s="1"/>
  <c r="T735" i="12" a="1"/>
  <c r="T735" i="12" s="1"/>
  <c r="T728" i="12" a="1"/>
  <c r="T728" i="12" s="1"/>
  <c r="T730" i="12" a="1"/>
  <c r="T730" i="12" s="1"/>
  <c r="T731" i="12" a="1"/>
  <c r="T731" i="12" s="1"/>
  <c r="T733" i="12" a="1"/>
  <c r="T733" i="12" s="1"/>
  <c r="T726" i="12" a="1"/>
  <c r="T726" i="12" s="1"/>
  <c r="T727" i="12" a="1"/>
  <c r="T727" i="12" s="1"/>
  <c r="T734" i="12" a="1"/>
  <c r="T734" i="12" s="1"/>
  <c r="T732" i="12" a="1"/>
  <c r="T732" i="12" s="1"/>
  <c r="T393" i="12" a="1"/>
  <c r="T393" i="12" s="1"/>
  <c r="T398" i="12" a="1"/>
  <c r="T398" i="12" s="1"/>
  <c r="T396" i="12" a="1"/>
  <c r="T396" i="12" s="1"/>
  <c r="T390" i="12" a="1"/>
  <c r="T390" i="12" s="1"/>
  <c r="T399" i="12" a="1"/>
  <c r="T399" i="12" s="1"/>
  <c r="T391" i="12" a="1"/>
  <c r="T391" i="12" s="1"/>
  <c r="T395" i="12" a="1"/>
  <c r="T395" i="12" s="1"/>
  <c r="T397" i="12" a="1"/>
  <c r="T397" i="12" s="1"/>
  <c r="T392" i="12" a="1"/>
  <c r="T392" i="12" s="1"/>
  <c r="T400" i="12" a="1"/>
  <c r="T400" i="12" s="1"/>
  <c r="T394" i="12" a="1"/>
  <c r="T394" i="12" s="1"/>
  <c r="T679" i="12" a="1"/>
  <c r="T679" i="12" s="1"/>
  <c r="T683" i="12" a="1"/>
  <c r="T683" i="12" s="1"/>
  <c r="T686" i="12" a="1"/>
  <c r="T686" i="12" s="1"/>
  <c r="T681" i="12" a="1"/>
  <c r="T681" i="12" s="1"/>
  <c r="T678" i="12" a="1"/>
  <c r="T678" i="12" s="1"/>
  <c r="T687" i="12" a="1"/>
  <c r="T687" i="12" s="1"/>
  <c r="T682" i="12" a="1"/>
  <c r="T682" i="12" s="1"/>
  <c r="T680" i="12" a="1"/>
  <c r="T680" i="12" s="1"/>
  <c r="T685" i="12" a="1"/>
  <c r="T685" i="12" s="1"/>
  <c r="T684" i="12" a="1"/>
  <c r="T684" i="12" s="1"/>
  <c r="T688" i="12" a="1"/>
  <c r="T688" i="12" s="1"/>
  <c r="T146" i="12" a="1"/>
  <c r="T146" i="12" s="1"/>
  <c r="T139" i="12" a="1"/>
  <c r="T139" i="12" s="1"/>
  <c r="T147" i="12" a="1"/>
  <c r="T147" i="12" s="1"/>
  <c r="T142" i="12" a="1"/>
  <c r="T142" i="12" s="1"/>
  <c r="T144" i="12" a="1"/>
  <c r="T144" i="12" s="1"/>
  <c r="T148" i="12" a="1"/>
  <c r="T148" i="12" s="1"/>
  <c r="T138" i="12" a="1"/>
  <c r="T138" i="12" s="1"/>
  <c r="T143" i="12" a="1"/>
  <c r="T143" i="12" s="1"/>
  <c r="T140" i="12" a="1"/>
  <c r="T140" i="12" s="1"/>
  <c r="T141" i="12" a="1"/>
  <c r="T141" i="12" s="1"/>
  <c r="T145" i="12" a="1"/>
  <c r="T145" i="12" s="1"/>
  <c r="T401" i="12" a="1"/>
  <c r="T401" i="12" s="1"/>
  <c r="T156" i="12" a="1"/>
  <c r="T156" i="12" s="1"/>
  <c r="T160" i="12" a="1"/>
  <c r="T160" i="12" s="1"/>
  <c r="T157" i="12" a="1"/>
  <c r="T157" i="12" s="1"/>
  <c r="T159" i="12" a="1"/>
  <c r="T159" i="12" s="1"/>
  <c r="T158" i="12" a="1"/>
  <c r="T158" i="12" s="1"/>
  <c r="T153" i="12" a="1"/>
  <c r="T153" i="12" s="1"/>
  <c r="T154" i="12" a="1"/>
  <c r="T154" i="12" s="1"/>
  <c r="T151" i="12" a="1"/>
  <c r="T151" i="12" s="1"/>
  <c r="T152" i="12" a="1"/>
  <c r="T152" i="12" s="1"/>
  <c r="T155" i="12" a="1"/>
  <c r="T155" i="12" s="1"/>
  <c r="T150" i="12" a="1"/>
  <c r="T150" i="12" s="1"/>
  <c r="T283" i="12" a="1"/>
  <c r="T283" i="12" s="1"/>
  <c r="T289" i="12" a="1"/>
  <c r="T289" i="12" s="1"/>
  <c r="T285" i="12" a="1"/>
  <c r="T285" i="12" s="1"/>
  <c r="T291" i="12" a="1"/>
  <c r="T291" i="12" s="1"/>
  <c r="T288" i="12" a="1"/>
  <c r="T288" i="12" s="1"/>
  <c r="T287" i="12" a="1"/>
  <c r="T287" i="12" s="1"/>
  <c r="T282" i="12" a="1"/>
  <c r="T282" i="12" s="1"/>
  <c r="T284" i="12" a="1"/>
  <c r="T284" i="12" s="1"/>
  <c r="T292" i="12" a="1"/>
  <c r="T292" i="12" s="1"/>
  <c r="T286" i="12" a="1"/>
  <c r="T286" i="12" s="1"/>
  <c r="T290" i="12" a="1"/>
  <c r="T290" i="12" s="1"/>
  <c r="T190" i="12" a="1"/>
  <c r="T190" i="12" s="1"/>
  <c r="T188" i="12" a="1"/>
  <c r="T188" i="12" s="1"/>
  <c r="T196" i="12" a="1"/>
  <c r="T196" i="12" s="1"/>
  <c r="T195" i="12" a="1"/>
  <c r="T195" i="12" s="1"/>
  <c r="T189" i="12" a="1"/>
  <c r="T189" i="12" s="1"/>
  <c r="T194" i="12" a="1"/>
  <c r="T194" i="12" s="1"/>
  <c r="T193" i="12" a="1"/>
  <c r="T193" i="12" s="1"/>
  <c r="T191" i="12" a="1"/>
  <c r="T191" i="12" s="1"/>
  <c r="T192" i="12" a="1"/>
  <c r="T192" i="12" s="1"/>
  <c r="T186" i="12" a="1"/>
  <c r="T186" i="12" s="1"/>
  <c r="T187" i="12" a="1"/>
  <c r="T187" i="12" s="1"/>
  <c r="T129" i="12" a="1"/>
  <c r="T129" i="12" s="1"/>
  <c r="T131" i="12" a="1"/>
  <c r="T131" i="12" s="1"/>
  <c r="T135" i="12" a="1"/>
  <c r="T135" i="12" s="1"/>
  <c r="T134" i="12" a="1"/>
  <c r="T134" i="12" s="1"/>
  <c r="T128" i="12" a="1"/>
  <c r="T128" i="12" s="1"/>
  <c r="T133" i="12" a="1"/>
  <c r="T133" i="12" s="1"/>
  <c r="T126" i="12" a="1"/>
  <c r="T126" i="12" s="1"/>
  <c r="T136" i="12" a="1"/>
  <c r="T136" i="12" s="1"/>
  <c r="T127" i="12" a="1"/>
  <c r="T127" i="12" s="1"/>
  <c r="T130" i="12" a="1"/>
  <c r="T130" i="12" s="1"/>
  <c r="T132" i="12" a="1"/>
  <c r="T132" i="12" s="1"/>
  <c r="T837" i="12" a="1"/>
  <c r="T837" i="12" s="1"/>
  <c r="T843" i="12" a="1"/>
  <c r="T843" i="12" s="1"/>
  <c r="T842" i="12" a="1"/>
  <c r="T842" i="12" s="1"/>
  <c r="T834" i="12" a="1"/>
  <c r="T834" i="12" s="1"/>
  <c r="T838" i="12" a="1"/>
  <c r="T838" i="12" s="1"/>
  <c r="T841" i="12" a="1"/>
  <c r="T841" i="12" s="1"/>
  <c r="T835" i="12" a="1"/>
  <c r="T835" i="12" s="1"/>
  <c r="T844" i="12" a="1"/>
  <c r="T844" i="12" s="1"/>
  <c r="T836" i="12" a="1"/>
  <c r="T836" i="12" s="1"/>
  <c r="T839" i="12" a="1"/>
  <c r="T839" i="12" s="1"/>
  <c r="T840" i="12" a="1"/>
  <c r="T840" i="12" s="1"/>
  <c r="T167" i="12" a="1"/>
  <c r="T167" i="12" s="1"/>
  <c r="T163" i="12" a="1"/>
  <c r="T163" i="12" s="1"/>
  <c r="T168" i="12" a="1"/>
  <c r="T168" i="12" s="1"/>
  <c r="T170" i="12" a="1"/>
  <c r="T170" i="12" s="1"/>
  <c r="T164" i="12" a="1"/>
  <c r="T164" i="12" s="1"/>
  <c r="T172" i="12" a="1"/>
  <c r="T172" i="12" s="1"/>
  <c r="T165" i="12" a="1"/>
  <c r="T165" i="12" s="1"/>
  <c r="T169" i="12" a="1"/>
  <c r="T169" i="12" s="1"/>
  <c r="T166" i="12" a="1"/>
  <c r="T166" i="12" s="1"/>
  <c r="T162" i="12" a="1"/>
  <c r="T162" i="12" s="1"/>
  <c r="T171" i="12" a="1"/>
  <c r="T171" i="12" s="1"/>
  <c r="T229" i="12" a="1"/>
  <c r="T229" i="12" s="1"/>
  <c r="T223" i="12" a="1"/>
  <c r="T223" i="12" s="1"/>
  <c r="T230" i="12" a="1"/>
  <c r="T230" i="12" s="1"/>
  <c r="T228" i="12" a="1"/>
  <c r="T228" i="12" s="1"/>
  <c r="T231" i="12" a="1"/>
  <c r="T231" i="12" s="1"/>
  <c r="T226" i="12" a="1"/>
  <c r="T226" i="12" s="1"/>
  <c r="T224" i="12" a="1"/>
  <c r="T224" i="12" s="1"/>
  <c r="T232" i="12" a="1"/>
  <c r="T232" i="12" s="1"/>
  <c r="T227" i="12" a="1"/>
  <c r="T227" i="12" s="1"/>
  <c r="T225" i="12" a="1"/>
  <c r="T225" i="12" s="1"/>
  <c r="T222" i="12" a="1"/>
  <c r="T222" i="12" s="1"/>
  <c r="T811" i="12" a="1"/>
  <c r="T811" i="12" s="1"/>
  <c r="T818" i="12" a="1"/>
  <c r="T818" i="12" s="1"/>
  <c r="T817" i="12" a="1"/>
  <c r="T817" i="12" s="1"/>
  <c r="T816" i="12" a="1"/>
  <c r="T816" i="12" s="1"/>
  <c r="T813" i="12" a="1"/>
  <c r="T813" i="12" s="1"/>
  <c r="T815" i="12" a="1"/>
  <c r="T815" i="12" s="1"/>
  <c r="T819" i="12" a="1"/>
  <c r="T819" i="12" s="1"/>
  <c r="T810" i="12" a="1"/>
  <c r="T810" i="12" s="1"/>
  <c r="T814" i="12" a="1"/>
  <c r="T814" i="12" s="1"/>
  <c r="T812" i="12" a="1"/>
  <c r="T812" i="12" s="1"/>
  <c r="T820" i="12" a="1"/>
  <c r="T820" i="12" s="1"/>
  <c r="T784" i="12" a="1"/>
  <c r="T784" i="12" s="1"/>
  <c r="T778" i="12" a="1"/>
  <c r="T778" i="12" s="1"/>
  <c r="T781" i="12" a="1"/>
  <c r="T781" i="12" s="1"/>
  <c r="T780" i="12" a="1"/>
  <c r="T780" i="12" s="1"/>
  <c r="T783" i="12" a="1"/>
  <c r="T783" i="12" s="1"/>
  <c r="T777" i="12" a="1"/>
  <c r="T777" i="12" s="1"/>
  <c r="T775" i="12" a="1"/>
  <c r="T775" i="12" s="1"/>
  <c r="T774" i="12" a="1"/>
  <c r="T774" i="12" s="1"/>
  <c r="T779" i="12" a="1"/>
  <c r="T779" i="12" s="1"/>
  <c r="T782" i="12" a="1"/>
  <c r="T782" i="12" s="1"/>
  <c r="T776" i="12" a="1"/>
  <c r="T776" i="12" s="1"/>
  <c r="T546" i="12" a="1"/>
  <c r="T546" i="12" s="1"/>
  <c r="T552" i="12" a="1"/>
  <c r="T552" i="12" s="1"/>
  <c r="T547" i="12" a="1"/>
  <c r="T547" i="12" s="1"/>
  <c r="T548" i="12" a="1"/>
  <c r="T548" i="12" s="1"/>
  <c r="T549" i="12" a="1"/>
  <c r="T549" i="12" s="1"/>
  <c r="T551" i="12" a="1"/>
  <c r="T551" i="12" s="1"/>
  <c r="T555" i="12" a="1"/>
  <c r="T555" i="12" s="1"/>
  <c r="T550" i="12" a="1"/>
  <c r="T550" i="12" s="1"/>
  <c r="T553" i="12" a="1"/>
  <c r="T553" i="12" s="1"/>
  <c r="T556" i="12" a="1"/>
  <c r="T556" i="12" s="1"/>
  <c r="T554" i="12" a="1"/>
  <c r="T554" i="12" s="1"/>
  <c r="T389" i="12" a="1"/>
  <c r="T389" i="12" s="1"/>
  <c r="T773" i="12" a="1"/>
  <c r="T773" i="12" s="1"/>
  <c r="T691" i="12" a="1"/>
  <c r="T691" i="12" s="1"/>
  <c r="T692" i="12" a="1"/>
  <c r="T692" i="12" s="1"/>
  <c r="T693" i="12" a="1"/>
  <c r="T693" i="12" s="1"/>
  <c r="T695" i="12" a="1"/>
  <c r="T695" i="12" s="1"/>
  <c r="T699" i="12" a="1"/>
  <c r="T699" i="12" s="1"/>
  <c r="T700" i="12" a="1"/>
  <c r="T700" i="12" s="1"/>
  <c r="T697" i="12" a="1"/>
  <c r="T697" i="12" s="1"/>
  <c r="T690" i="12" a="1"/>
  <c r="T690" i="12" s="1"/>
  <c r="T694" i="12" a="1"/>
  <c r="T694" i="12" s="1"/>
  <c r="T696" i="12" a="1"/>
  <c r="T696" i="12" s="1"/>
  <c r="T698" i="12" a="1"/>
  <c r="T698" i="12" s="1"/>
  <c r="T362" i="12" a="1"/>
  <c r="T362" i="12" s="1"/>
  <c r="T355" i="12" a="1"/>
  <c r="T355" i="12" s="1"/>
  <c r="T364" i="12" a="1"/>
  <c r="T364" i="12" s="1"/>
  <c r="T358" i="12" a="1"/>
  <c r="T358" i="12" s="1"/>
  <c r="T360" i="12" a="1"/>
  <c r="T360" i="12" s="1"/>
  <c r="T363" i="12" a="1"/>
  <c r="T363" i="12" s="1"/>
  <c r="T361" i="12" a="1"/>
  <c r="T361" i="12" s="1"/>
  <c r="T356" i="12" a="1"/>
  <c r="T356" i="12" s="1"/>
  <c r="T359" i="12" a="1"/>
  <c r="T359" i="12" s="1"/>
  <c r="T357" i="12" a="1"/>
  <c r="T357" i="12" s="1"/>
  <c r="T354" i="12" a="1"/>
  <c r="T354" i="12" s="1"/>
  <c r="T514" i="12" a="1"/>
  <c r="T514" i="12" s="1"/>
  <c r="T510" i="12" a="1"/>
  <c r="T510" i="12" s="1"/>
  <c r="T517" i="12" a="1"/>
  <c r="T517" i="12" s="1"/>
  <c r="T518" i="12" a="1"/>
  <c r="T518" i="12" s="1"/>
  <c r="T511" i="12" a="1"/>
  <c r="T511" i="12" s="1"/>
  <c r="T516" i="12" a="1"/>
  <c r="T516" i="12" s="1"/>
  <c r="T513" i="12" a="1"/>
  <c r="T513" i="12" s="1"/>
  <c r="T519" i="12" a="1"/>
  <c r="T519" i="12" s="1"/>
  <c r="T520" i="12" a="1"/>
  <c r="T520" i="12" s="1"/>
  <c r="T512" i="12" a="1"/>
  <c r="T512" i="12" s="1"/>
  <c r="T515" i="12" a="1"/>
  <c r="T515" i="12" s="1"/>
  <c r="T410" i="12" a="1"/>
  <c r="T410" i="12" s="1"/>
  <c r="T402" i="12" a="1"/>
  <c r="T402" i="12" s="1"/>
  <c r="T403" i="12" a="1"/>
  <c r="T403" i="12" s="1"/>
  <c r="T408" i="12" a="1"/>
  <c r="T408" i="12" s="1"/>
  <c r="T404" i="12" a="1"/>
  <c r="T404" i="12" s="1"/>
  <c r="T405" i="12" a="1"/>
  <c r="T405" i="12" s="1"/>
  <c r="T407" i="12" a="1"/>
  <c r="T407" i="12" s="1"/>
  <c r="T412" i="12" a="1"/>
  <c r="T412" i="12" s="1"/>
  <c r="T406" i="12" a="1"/>
  <c r="T406" i="12" s="1"/>
  <c r="T409" i="12" a="1"/>
  <c r="T409" i="12" s="1"/>
  <c r="T411" i="12" a="1"/>
  <c r="T411" i="12" s="1"/>
  <c r="T270" i="12" a="1"/>
  <c r="T270" i="12" s="1"/>
  <c r="T272" i="12" a="1"/>
  <c r="T272" i="12" s="1"/>
  <c r="T271" i="12" a="1"/>
  <c r="T271" i="12" s="1"/>
  <c r="T273" i="12" a="1"/>
  <c r="T273" i="12" s="1"/>
  <c r="T275" i="12" a="1"/>
  <c r="T275" i="12" s="1"/>
  <c r="T278" i="12" a="1"/>
  <c r="T278" i="12" s="1"/>
  <c r="T280" i="12" a="1"/>
  <c r="T280" i="12" s="1"/>
  <c r="T274" i="12" a="1"/>
  <c r="T274" i="12" s="1"/>
  <c r="T276" i="12" a="1"/>
  <c r="T276" i="12" s="1"/>
  <c r="T279" i="12" a="1"/>
  <c r="T279" i="12" s="1"/>
  <c r="T277" i="12" a="1"/>
  <c r="T277" i="12" s="1"/>
  <c r="T308" i="12" a="1"/>
  <c r="T308" i="12" s="1"/>
  <c r="T311" i="12" a="1"/>
  <c r="T311" i="12" s="1"/>
  <c r="T315" i="12" a="1"/>
  <c r="T315" i="12" s="1"/>
  <c r="T306" i="12" a="1"/>
  <c r="T306" i="12" s="1"/>
  <c r="T313" i="12" a="1"/>
  <c r="T313" i="12" s="1"/>
  <c r="T314" i="12" a="1"/>
  <c r="T314" i="12" s="1"/>
  <c r="T312" i="12" a="1"/>
  <c r="T312" i="12" s="1"/>
  <c r="T307" i="12" a="1"/>
  <c r="T307" i="12" s="1"/>
  <c r="T309" i="12" a="1"/>
  <c r="T309" i="12" s="1"/>
  <c r="T310" i="12" a="1"/>
  <c r="T310" i="12" s="1"/>
  <c r="T316" i="12" a="1"/>
  <c r="T316" i="12" s="1"/>
  <c r="T484" i="12" a="1"/>
  <c r="T484" i="12" s="1"/>
  <c r="T483" i="12" a="1"/>
  <c r="T483" i="12" s="1"/>
  <c r="T478" i="12" a="1"/>
  <c r="T478" i="12" s="1"/>
  <c r="T480" i="12" a="1"/>
  <c r="T480" i="12" s="1"/>
  <c r="T481" i="12" a="1"/>
  <c r="T481" i="12" s="1"/>
  <c r="T476" i="12" a="1"/>
  <c r="T476" i="12" s="1"/>
  <c r="T479" i="12" a="1"/>
  <c r="T479" i="12" s="1"/>
  <c r="T477" i="12" a="1"/>
  <c r="T477" i="12" s="1"/>
  <c r="T475" i="12" a="1"/>
  <c r="T475" i="12" s="1"/>
  <c r="T482" i="12" a="1"/>
  <c r="T482" i="12" s="1"/>
  <c r="T474" i="12" a="1"/>
  <c r="T474" i="12" s="1"/>
  <c r="T80" i="12" a="1"/>
  <c r="T80" i="12" s="1"/>
  <c r="T83" i="12" a="1"/>
  <c r="T83" i="12" s="1"/>
  <c r="T81" i="12" a="1"/>
  <c r="T81" i="12" s="1"/>
  <c r="T84" i="12" a="1"/>
  <c r="T84" i="12" s="1"/>
  <c r="T82" i="12" a="1"/>
  <c r="T82" i="12" s="1"/>
  <c r="T79" i="12" a="1"/>
  <c r="T79" i="12" s="1"/>
  <c r="T86" i="12" a="1"/>
  <c r="T86" i="12" s="1"/>
  <c r="T78" i="12" a="1"/>
  <c r="T78" i="12" s="1"/>
  <c r="T87" i="12" a="1"/>
  <c r="T87" i="12" s="1"/>
  <c r="T88" i="12" a="1"/>
  <c r="T88" i="12" s="1"/>
  <c r="T85" i="12" a="1"/>
  <c r="T85" i="12" s="1"/>
  <c r="T702" i="12" a="1"/>
  <c r="T702" i="12" s="1"/>
  <c r="T704" i="12" a="1"/>
  <c r="T704" i="12" s="1"/>
  <c r="T703" i="12" a="1"/>
  <c r="T703" i="12" s="1"/>
  <c r="T705" i="12" a="1"/>
  <c r="T705" i="12" s="1"/>
  <c r="T707" i="12" a="1"/>
  <c r="T707" i="12" s="1"/>
  <c r="T711" i="12" a="1"/>
  <c r="T711" i="12" s="1"/>
  <c r="T712" i="12" a="1"/>
  <c r="T712" i="12" s="1"/>
  <c r="T706" i="12" a="1"/>
  <c r="T706" i="12" s="1"/>
  <c r="T708" i="12" a="1"/>
  <c r="T708" i="12" s="1"/>
  <c r="T709" i="12" a="1"/>
  <c r="T709" i="12" s="1"/>
  <c r="T710" i="12" a="1"/>
  <c r="T710" i="12" s="1"/>
  <c r="T504" i="12" a="1"/>
  <c r="T504" i="12" s="1"/>
  <c r="T502" i="12" a="1"/>
  <c r="T502" i="12" s="1"/>
  <c r="T508" i="12" a="1"/>
  <c r="T508" i="12" s="1"/>
  <c r="T505" i="12" a="1"/>
  <c r="T505" i="12" s="1"/>
  <c r="T498" i="12" a="1"/>
  <c r="T498" i="12" s="1"/>
  <c r="T499" i="12" a="1"/>
  <c r="T499" i="12" s="1"/>
  <c r="T503" i="12" a="1"/>
  <c r="T503" i="12" s="1"/>
  <c r="T506" i="12" a="1"/>
  <c r="T506" i="12" s="1"/>
  <c r="T501" i="12" a="1"/>
  <c r="T501" i="12" s="1"/>
  <c r="T507" i="12" a="1"/>
  <c r="T507" i="12" s="1"/>
  <c r="T500" i="12" a="1"/>
  <c r="T500" i="12" s="1"/>
  <c r="T413" i="12" a="1"/>
  <c r="T413" i="12" s="1"/>
  <c r="T641" i="12" a="1"/>
  <c r="T641" i="12" s="1"/>
  <c r="T725" i="12" a="1"/>
  <c r="T725" i="12" s="1"/>
  <c r="T545" i="12" a="1"/>
  <c r="T545" i="12" s="1"/>
  <c r="T293" i="12" a="1"/>
  <c r="T293" i="12" s="1"/>
  <c r="T137" i="12" a="1"/>
  <c r="T137" i="12" s="1"/>
  <c r="T109" i="12" a="1"/>
  <c r="T109" i="12" s="1"/>
  <c r="T111" i="12" a="1"/>
  <c r="T111" i="12" s="1"/>
  <c r="T102" i="12" a="1"/>
  <c r="T102" i="12" s="1"/>
  <c r="T104" i="12" a="1"/>
  <c r="T104" i="12" s="1"/>
  <c r="T105" i="12" a="1"/>
  <c r="T105" i="12" s="1"/>
  <c r="T107" i="12" a="1"/>
  <c r="T107" i="12" s="1"/>
  <c r="T112" i="12" a="1"/>
  <c r="T112" i="12" s="1"/>
  <c r="T110" i="12" a="1"/>
  <c r="T110" i="12" s="1"/>
  <c r="T106" i="12" a="1"/>
  <c r="T106" i="12" s="1"/>
  <c r="T103" i="12" a="1"/>
  <c r="T103" i="12" s="1"/>
  <c r="T108" i="12" a="1"/>
  <c r="T108" i="12" s="1"/>
  <c r="T611" i="12" a="1"/>
  <c r="T611" i="12" s="1"/>
  <c r="T616" i="12" a="1"/>
  <c r="T616" i="12" s="1"/>
  <c r="T612" i="12" a="1"/>
  <c r="T612" i="12" s="1"/>
  <c r="T610" i="12" a="1"/>
  <c r="T610" i="12" s="1"/>
  <c r="T614" i="12" a="1"/>
  <c r="T614" i="12" s="1"/>
  <c r="T607" i="12" a="1"/>
  <c r="T607" i="12" s="1"/>
  <c r="T613" i="12" a="1"/>
  <c r="T613" i="12" s="1"/>
  <c r="T609" i="12" a="1"/>
  <c r="T609" i="12" s="1"/>
  <c r="T608" i="12" a="1"/>
  <c r="T608" i="12" s="1"/>
  <c r="T606" i="12" a="1"/>
  <c r="T606" i="12" s="1"/>
  <c r="T615" i="12" a="1"/>
  <c r="T615" i="12" s="1"/>
  <c r="T628" i="12" a="1"/>
  <c r="T628" i="12" s="1"/>
  <c r="T626" i="12" a="1"/>
  <c r="T626" i="12" s="1"/>
  <c r="T622" i="12" a="1"/>
  <c r="T622" i="12" s="1"/>
  <c r="T624" i="12" a="1"/>
  <c r="T624" i="12" s="1"/>
  <c r="T625" i="12" a="1"/>
  <c r="T625" i="12" s="1"/>
  <c r="T620" i="12" a="1"/>
  <c r="T620" i="12" s="1"/>
  <c r="T623" i="12" a="1"/>
  <c r="T623" i="12" s="1"/>
  <c r="T618" i="12" a="1"/>
  <c r="T618" i="12" s="1"/>
  <c r="T621" i="12" a="1"/>
  <c r="T621" i="12" s="1"/>
  <c r="T627" i="12" a="1"/>
  <c r="T627" i="12" s="1"/>
  <c r="T619" i="12" a="1"/>
  <c r="T619" i="12" s="1"/>
  <c r="T322" i="12" a="1"/>
  <c r="T322" i="12" s="1"/>
  <c r="T320" i="12" a="1"/>
  <c r="T320" i="12" s="1"/>
  <c r="T325" i="12" a="1"/>
  <c r="T325" i="12" s="1"/>
  <c r="T323" i="12" a="1"/>
  <c r="T323" i="12" s="1"/>
  <c r="T328" i="12" a="1"/>
  <c r="T328" i="12" s="1"/>
  <c r="T324" i="12" a="1"/>
  <c r="T324" i="12" s="1"/>
  <c r="T321" i="12" a="1"/>
  <c r="T321" i="12" s="1"/>
  <c r="T318" i="12" a="1"/>
  <c r="T318" i="12" s="1"/>
  <c r="T327" i="12" a="1"/>
  <c r="T327" i="12" s="1"/>
  <c r="T319" i="12" a="1"/>
  <c r="T319" i="12" s="1"/>
  <c r="T326" i="12" a="1"/>
  <c r="T326" i="12" s="1"/>
  <c r="T118" i="12" a="1"/>
  <c r="T118" i="12" s="1"/>
  <c r="T120" i="12" a="1"/>
  <c r="T120" i="12" s="1"/>
  <c r="T115" i="12" a="1"/>
  <c r="T115" i="12" s="1"/>
  <c r="T117" i="12" a="1"/>
  <c r="T117" i="12" s="1"/>
  <c r="T116" i="12" a="1"/>
  <c r="T116" i="12" s="1"/>
  <c r="T121" i="12" a="1"/>
  <c r="T121" i="12" s="1"/>
  <c r="T123" i="12" a="1"/>
  <c r="T123" i="12" s="1"/>
  <c r="T122" i="12" a="1"/>
  <c r="T122" i="12" s="1"/>
  <c r="T114" i="12" a="1"/>
  <c r="T114" i="12" s="1"/>
  <c r="T124" i="12" a="1"/>
  <c r="T124" i="12" s="1"/>
  <c r="T119" i="12" a="1"/>
  <c r="T119" i="12" s="1"/>
  <c r="T790" i="12" a="1"/>
  <c r="T790" i="12" s="1"/>
  <c r="T793" i="12" a="1"/>
  <c r="T793" i="12" s="1"/>
  <c r="T786" i="12" a="1"/>
  <c r="T786" i="12" s="1"/>
  <c r="T794" i="12" a="1"/>
  <c r="T794" i="12" s="1"/>
  <c r="T791" i="12" a="1"/>
  <c r="T791" i="12" s="1"/>
  <c r="T792" i="12" a="1"/>
  <c r="T792" i="12" s="1"/>
  <c r="T796" i="12" a="1"/>
  <c r="T796" i="12" s="1"/>
  <c r="T789" i="12" a="1"/>
  <c r="T789" i="12" s="1"/>
  <c r="T788" i="12" a="1"/>
  <c r="T788" i="12" s="1"/>
  <c r="T787" i="12" a="1"/>
  <c r="T787" i="12" s="1"/>
  <c r="T795" i="12" a="1"/>
  <c r="T795" i="12" s="1"/>
  <c r="T754" i="12" a="1"/>
  <c r="T754" i="12" s="1"/>
  <c r="T753" i="12" a="1"/>
  <c r="T753" i="12" s="1"/>
  <c r="T760" i="12" a="1"/>
  <c r="T760" i="12" s="1"/>
  <c r="T758" i="12" a="1"/>
  <c r="T758" i="12" s="1"/>
  <c r="T757" i="12" a="1"/>
  <c r="T757" i="12" s="1"/>
  <c r="T752" i="12" a="1"/>
  <c r="T752" i="12" s="1"/>
  <c r="T756" i="12" a="1"/>
  <c r="T756" i="12" s="1"/>
  <c r="T750" i="12" a="1"/>
  <c r="T750" i="12" s="1"/>
  <c r="T759" i="12" a="1"/>
  <c r="T759" i="12" s="1"/>
  <c r="T751" i="12" a="1"/>
  <c r="T751" i="12" s="1"/>
  <c r="T755" i="12" a="1"/>
  <c r="T755" i="12" s="1"/>
  <c r="T254" i="12" a="1"/>
  <c r="T254" i="12" s="1"/>
  <c r="T249" i="12" a="1"/>
  <c r="T249" i="12" s="1"/>
  <c r="T252" i="12" a="1"/>
  <c r="T252" i="12" s="1"/>
  <c r="T246" i="12" a="1"/>
  <c r="T246" i="12" s="1"/>
  <c r="T250" i="12" a="1"/>
  <c r="T250" i="12" s="1"/>
  <c r="T255" i="12" a="1"/>
  <c r="T255" i="12" s="1"/>
  <c r="T247" i="12" a="1"/>
  <c r="T247" i="12" s="1"/>
  <c r="T251" i="12" a="1"/>
  <c r="T251" i="12" s="1"/>
  <c r="T253" i="12" a="1"/>
  <c r="T253" i="12" s="1"/>
  <c r="T256" i="12" a="1"/>
  <c r="T256" i="12" s="1"/>
  <c r="T248" i="12" a="1"/>
  <c r="T248" i="12" s="1"/>
  <c r="T561" i="12" a="1"/>
  <c r="T561" i="12" s="1"/>
  <c r="T568" i="12" a="1"/>
  <c r="T568" i="12" s="1"/>
  <c r="T560" i="12" a="1"/>
  <c r="T560" i="12" s="1"/>
  <c r="T559" i="12" a="1"/>
  <c r="T559" i="12" s="1"/>
  <c r="T567" i="12" a="1"/>
  <c r="T567" i="12" s="1"/>
  <c r="T565" i="12" a="1"/>
  <c r="T565" i="12" s="1"/>
  <c r="T563" i="12" a="1"/>
  <c r="T563" i="12" s="1"/>
  <c r="T558" i="12" a="1"/>
  <c r="T558" i="12" s="1"/>
  <c r="T566" i="12" a="1"/>
  <c r="T566" i="12" s="1"/>
  <c r="T562" i="12" a="1"/>
  <c r="T562" i="12" s="1"/>
  <c r="T564" i="12" a="1"/>
  <c r="T564" i="12" s="1"/>
  <c r="T581" i="12" a="1"/>
  <c r="T581" i="12" s="1"/>
  <c r="T666" i="12" a="1"/>
  <c r="T666" i="12" s="1"/>
  <c r="T675" i="12" a="1"/>
  <c r="T675" i="12" s="1"/>
  <c r="T667" i="12" a="1"/>
  <c r="T667" i="12" s="1"/>
  <c r="T670" i="12" a="1"/>
  <c r="T670" i="12" s="1"/>
  <c r="T674" i="12" a="1"/>
  <c r="T674" i="12" s="1"/>
  <c r="T673" i="12" a="1"/>
  <c r="T673" i="12" s="1"/>
  <c r="T672" i="12" a="1"/>
  <c r="T672" i="12" s="1"/>
  <c r="T676" i="12" a="1"/>
  <c r="T676" i="12" s="1"/>
  <c r="T668" i="12" a="1"/>
  <c r="T668" i="12" s="1"/>
  <c r="T669" i="12" a="1"/>
  <c r="T669" i="12" s="1"/>
  <c r="T671" i="12" a="1"/>
  <c r="T671" i="12" s="1"/>
  <c r="T749" i="12" a="1"/>
  <c r="T749" i="12" s="1"/>
  <c r="T809" i="12" a="1"/>
  <c r="T809" i="12" s="1"/>
  <c r="T197" i="12" a="1"/>
  <c r="T197" i="12" s="1"/>
  <c r="T737" i="12" a="1"/>
  <c r="T737" i="12" s="1"/>
  <c r="T77" i="12" a="1"/>
  <c r="T77" i="12" s="1"/>
  <c r="T629" i="12" a="1"/>
  <c r="T629" i="12" s="1"/>
  <c r="T269" i="12" a="1"/>
  <c r="T269" i="12" s="1"/>
  <c r="T209" i="12" a="1"/>
  <c r="T209" i="12" s="1"/>
  <c r="T521" i="12" a="1"/>
  <c r="T521" i="12" s="1"/>
  <c r="T494" i="12" a="1"/>
  <c r="T494" i="12" s="1"/>
  <c r="T496" i="12" a="1"/>
  <c r="T496" i="12" s="1"/>
  <c r="T490" i="12" a="1"/>
  <c r="T490" i="12" s="1"/>
  <c r="T492" i="12" a="1"/>
  <c r="T492" i="12" s="1"/>
  <c r="T493" i="12" a="1"/>
  <c r="T493" i="12" s="1"/>
  <c r="T487" i="12" a="1"/>
  <c r="T487" i="12" s="1"/>
  <c r="T486" i="12" a="1"/>
  <c r="T486" i="12" s="1"/>
  <c r="T488" i="12" a="1"/>
  <c r="T488" i="12" s="1"/>
  <c r="T491" i="12" a="1"/>
  <c r="T491" i="12" s="1"/>
  <c r="T489" i="12" a="1"/>
  <c r="T489" i="12" s="1"/>
  <c r="T495" i="12" a="1"/>
  <c r="T495" i="12" s="1"/>
  <c r="T352" i="12" a="1"/>
  <c r="T352" i="12" s="1"/>
  <c r="T346" i="12" a="1"/>
  <c r="T346" i="12" s="1"/>
  <c r="T348" i="12" a="1"/>
  <c r="T348" i="12" s="1"/>
  <c r="T349" i="12" a="1"/>
  <c r="T349" i="12" s="1"/>
  <c r="T342" i="12" a="1"/>
  <c r="T342" i="12" s="1"/>
  <c r="T350" i="12" a="1"/>
  <c r="T350" i="12" s="1"/>
  <c r="T344" i="12" a="1"/>
  <c r="T344" i="12" s="1"/>
  <c r="T345" i="12" a="1"/>
  <c r="T345" i="12" s="1"/>
  <c r="T347" i="12" a="1"/>
  <c r="T347" i="12" s="1"/>
  <c r="T351" i="12" a="1"/>
  <c r="T351" i="12" s="1"/>
  <c r="T343" i="12" a="1"/>
  <c r="T343" i="12" s="1"/>
  <c r="T182" i="12" a="1"/>
  <c r="T182" i="12" s="1"/>
  <c r="T179" i="12" a="1"/>
  <c r="T179" i="12" s="1"/>
  <c r="T181" i="12" a="1"/>
  <c r="T181" i="12" s="1"/>
  <c r="T176" i="12" a="1"/>
  <c r="T176" i="12" s="1"/>
  <c r="T184" i="12" a="1"/>
  <c r="T184" i="12" s="1"/>
  <c r="T178" i="12" a="1"/>
  <c r="T178" i="12" s="1"/>
  <c r="T180" i="12" a="1"/>
  <c r="T180" i="12" s="1"/>
  <c r="T183" i="12" a="1"/>
  <c r="T183" i="12" s="1"/>
  <c r="T174" i="12" a="1"/>
  <c r="T174" i="12" s="1"/>
  <c r="T175" i="12" a="1"/>
  <c r="T175" i="12" s="1"/>
  <c r="T177" i="12" a="1"/>
  <c r="T177" i="12" s="1"/>
  <c r="T464" i="12" a="1"/>
  <c r="T464" i="12" s="1"/>
  <c r="T469" i="12" a="1"/>
  <c r="T469" i="12" s="1"/>
  <c r="T471" i="12" a="1"/>
  <c r="T471" i="12" s="1"/>
  <c r="T472" i="12" a="1"/>
  <c r="T472" i="12" s="1"/>
  <c r="T470" i="12" a="1"/>
  <c r="T470" i="12" s="1"/>
  <c r="T468" i="12" a="1"/>
  <c r="T468" i="12" s="1"/>
  <c r="T462" i="12" a="1"/>
  <c r="T462" i="12" s="1"/>
  <c r="T463" i="12" a="1"/>
  <c r="T463" i="12" s="1"/>
  <c r="T467" i="12" a="1"/>
  <c r="T467" i="12" s="1"/>
  <c r="T466" i="12" a="1"/>
  <c r="T466" i="12" s="1"/>
  <c r="T465" i="12" a="1"/>
  <c r="T465" i="12" s="1"/>
  <c r="T525" i="12" a="1"/>
  <c r="T525" i="12" s="1"/>
  <c r="T526" i="12" a="1"/>
  <c r="T526" i="12" s="1"/>
  <c r="T522" i="12" a="1"/>
  <c r="T522" i="12" s="1"/>
  <c r="T531" i="12" a="1"/>
  <c r="T531" i="12" s="1"/>
  <c r="T523" i="12" a="1"/>
  <c r="T523" i="12" s="1"/>
  <c r="T529" i="12" a="1"/>
  <c r="T529" i="12" s="1"/>
  <c r="T524" i="12" a="1"/>
  <c r="T524" i="12" s="1"/>
  <c r="T527" i="12" a="1"/>
  <c r="T527" i="12" s="1"/>
  <c r="T530" i="12" a="1"/>
  <c r="T530" i="12" s="1"/>
  <c r="T532" i="12" a="1"/>
  <c r="T532" i="12" s="1"/>
  <c r="T528" i="12" a="1"/>
  <c r="T528" i="12" s="1"/>
  <c r="T658" i="12" a="1"/>
  <c r="T658" i="12" s="1"/>
  <c r="T654" i="12" a="1"/>
  <c r="T654" i="12" s="1"/>
  <c r="T662" i="12" a="1"/>
  <c r="T662" i="12" s="1"/>
  <c r="T655" i="12" a="1"/>
  <c r="T655" i="12" s="1"/>
  <c r="T661" i="12" a="1"/>
  <c r="T661" i="12" s="1"/>
  <c r="T660" i="12" a="1"/>
  <c r="T660" i="12" s="1"/>
  <c r="T657" i="12" a="1"/>
  <c r="T657" i="12" s="1"/>
  <c r="T664" i="12" a="1"/>
  <c r="T664" i="12" s="1"/>
  <c r="T663" i="12" a="1"/>
  <c r="T663" i="12" s="1"/>
  <c r="T656" i="12" a="1"/>
  <c r="T656" i="12" s="1"/>
  <c r="T659" i="12" a="1"/>
  <c r="T659" i="12" s="1"/>
  <c r="T244" i="12" a="1"/>
  <c r="T244" i="12" s="1"/>
  <c r="T242" i="12" a="1"/>
  <c r="T242" i="12" s="1"/>
  <c r="T240" i="12" a="1"/>
  <c r="T240" i="12" s="1"/>
  <c r="T243" i="12" a="1"/>
  <c r="T243" i="12" s="1"/>
  <c r="T241" i="12" a="1"/>
  <c r="T241" i="12" s="1"/>
  <c r="T234" i="12" a="1"/>
  <c r="T234" i="12" s="1"/>
  <c r="T236" i="12" a="1"/>
  <c r="T236" i="12" s="1"/>
  <c r="T238" i="12" a="1"/>
  <c r="T238" i="12" s="1"/>
  <c r="T239" i="12" a="1"/>
  <c r="T239" i="12" s="1"/>
  <c r="T235" i="12" a="1"/>
  <c r="T235" i="12" s="1"/>
  <c r="T237" i="12" a="1"/>
  <c r="T237" i="12" s="1"/>
  <c r="T92" i="12" a="1"/>
  <c r="T92" i="12" s="1"/>
  <c r="T91" i="12" a="1"/>
  <c r="T91" i="12" s="1"/>
  <c r="T100" i="12" a="1"/>
  <c r="T100" i="12" s="1"/>
  <c r="T93" i="12" a="1"/>
  <c r="T93" i="12" s="1"/>
  <c r="T90" i="12" a="1"/>
  <c r="T90" i="12" s="1"/>
  <c r="T97" i="12" a="1"/>
  <c r="T97" i="12" s="1"/>
  <c r="T96" i="12" a="1"/>
  <c r="T96" i="12" s="1"/>
  <c r="T98" i="12" a="1"/>
  <c r="T98" i="12" s="1"/>
  <c r="T99" i="12" a="1"/>
  <c r="T99" i="12" s="1"/>
  <c r="T95" i="12" a="1"/>
  <c r="T95" i="12" s="1"/>
  <c r="T94" i="12" a="1"/>
  <c r="T94" i="12" s="1"/>
  <c r="T601" i="12" a="1"/>
  <c r="T601" i="12" s="1"/>
  <c r="T604" i="12" a="1"/>
  <c r="T604" i="12" s="1"/>
  <c r="T597" i="12" a="1"/>
  <c r="T597" i="12" s="1"/>
  <c r="T596" i="12" a="1"/>
  <c r="T596" i="12" s="1"/>
  <c r="T599" i="12" a="1"/>
  <c r="T599" i="12" s="1"/>
  <c r="T594" i="12" a="1"/>
  <c r="T594" i="12" s="1"/>
  <c r="T595" i="12" a="1"/>
  <c r="T595" i="12" s="1"/>
  <c r="T602" i="12" a="1"/>
  <c r="T602" i="12" s="1"/>
  <c r="T603" i="12" a="1"/>
  <c r="T603" i="12" s="1"/>
  <c r="T600" i="12" a="1"/>
  <c r="T600" i="12" s="1"/>
  <c r="T598" i="12" a="1"/>
  <c r="T598" i="12" s="1"/>
  <c r="T585" i="12" a="1"/>
  <c r="T585" i="12" s="1"/>
  <c r="T592" i="12" a="1"/>
  <c r="T592" i="12" s="1"/>
  <c r="T584" i="12" a="1"/>
  <c r="T584" i="12" s="1"/>
  <c r="T586" i="12" a="1"/>
  <c r="T586" i="12" s="1"/>
  <c r="T591" i="12" a="1"/>
  <c r="T591" i="12" s="1"/>
  <c r="T587" i="12" a="1"/>
  <c r="T587" i="12" s="1"/>
  <c r="T582" i="12" a="1"/>
  <c r="T582" i="12" s="1"/>
  <c r="T590" i="12" a="1"/>
  <c r="T590" i="12" s="1"/>
  <c r="T583" i="12" a="1"/>
  <c r="T583" i="12" s="1"/>
  <c r="T588" i="12" a="1"/>
  <c r="T588" i="12" s="1"/>
  <c r="T589" i="12" a="1"/>
  <c r="T589" i="12" s="1"/>
  <c r="T761" i="12" a="1"/>
  <c r="T761" i="12" s="1"/>
  <c r="T653" i="12" a="1"/>
  <c r="T653" i="12" s="1"/>
  <c r="T377" i="12" a="1"/>
  <c r="T377" i="12" s="1"/>
  <c r="T713" i="12" a="1"/>
  <c r="T713" i="12" s="1"/>
  <c r="T89" i="12" a="1"/>
  <c r="T89" i="12" s="1"/>
  <c r="T101" i="12" a="1"/>
  <c r="T101" i="12" s="1"/>
  <c r="T221" i="12" a="1"/>
  <c r="T221" i="12" s="1"/>
  <c r="T593" i="12" a="1"/>
  <c r="T593" i="12" s="1"/>
  <c r="E11" i="18" a="1"/>
  <c r="E11" i="18" s="1"/>
  <c r="F72" i="12" a="1"/>
  <c r="F72" i="12" s="1"/>
  <c r="F11" i="18" a="1"/>
  <c r="F11" i="18" s="1"/>
  <c r="F73" i="12" a="1"/>
  <c r="F73" i="12" s="1"/>
  <c r="G11" i="18" a="1"/>
  <c r="G11" i="18" s="1"/>
  <c r="F74" i="12" a="1"/>
  <c r="F74" i="12" s="1"/>
  <c r="J60" i="18" a="1"/>
  <c r="J60" i="18" s="1"/>
  <c r="R60" i="18" s="1" a="1"/>
  <c r="R60" i="18" s="1"/>
  <c r="S60" i="18" s="1"/>
  <c r="J64" i="18" a="1"/>
  <c r="J64" i="18" s="1"/>
  <c r="R64" i="18" s="1" a="1"/>
  <c r="R64" i="18" s="1"/>
  <c r="S64" i="18" s="1"/>
  <c r="J51" i="18" a="1"/>
  <c r="J51" i="18" s="1"/>
  <c r="R51" i="18" s="1" a="1"/>
  <c r="R51" i="18" s="1"/>
  <c r="S51" i="18" s="1"/>
  <c r="J9" i="18" a="1"/>
  <c r="J9" i="18" s="1"/>
  <c r="R9" i="18" s="1" a="1"/>
  <c r="R9" i="18" s="1"/>
  <c r="S9" i="18" s="1"/>
  <c r="J53" i="18" a="1"/>
  <c r="J53" i="18" s="1"/>
  <c r="R53" i="18" s="1" a="1"/>
  <c r="R53" i="18" s="1"/>
  <c r="S53" i="18" s="1"/>
  <c r="J45" i="18" a="1"/>
  <c r="J45" i="18" s="1"/>
  <c r="R45" i="18" s="1" a="1"/>
  <c r="R45" i="18" s="1"/>
  <c r="S45" i="18" s="1"/>
  <c r="J36" i="18" a="1"/>
  <c r="J36" i="18" s="1"/>
  <c r="R36" i="18" s="1" a="1"/>
  <c r="R36" i="18" s="1"/>
  <c r="S36" i="18" s="1"/>
  <c r="J17" i="18" a="1"/>
  <c r="J17" i="18" s="1"/>
  <c r="R17" i="18" s="1" a="1"/>
  <c r="R17" i="18" s="1"/>
  <c r="S17" i="18" s="1"/>
  <c r="J29" i="18" a="1"/>
  <c r="J29" i="18" s="1"/>
  <c r="R29" i="18" s="1" a="1"/>
  <c r="R29" i="18" s="1"/>
  <c r="S29" i="18" s="1"/>
  <c r="J48" i="18" a="1"/>
  <c r="J48" i="18" s="1"/>
  <c r="R48" i="18" s="1" a="1"/>
  <c r="R48" i="18" s="1"/>
  <c r="S48" i="18" s="1"/>
  <c r="J15" i="18" a="1"/>
  <c r="J15" i="18" s="1"/>
  <c r="R15" i="18" s="1" a="1"/>
  <c r="R15" i="18" s="1"/>
  <c r="S15" i="18" s="1"/>
  <c r="J20" i="18" a="1"/>
  <c r="J20" i="18" s="1"/>
  <c r="R20" i="18" s="1" a="1"/>
  <c r="R20" i="18" s="1"/>
  <c r="S20" i="18" s="1"/>
  <c r="J41" i="18" a="1"/>
  <c r="J41" i="18" s="1"/>
  <c r="R41" i="18" s="1" a="1"/>
  <c r="R41" i="18" s="1"/>
  <c r="S41" i="18" s="1"/>
  <c r="J63" i="18" a="1"/>
  <c r="J63" i="18" s="1"/>
  <c r="R63" i="18" s="1" a="1"/>
  <c r="R63" i="18" s="1"/>
  <c r="S63" i="18" s="1"/>
  <c r="J4" i="18" a="1"/>
  <c r="J4" i="18" s="1"/>
  <c r="R4" i="18" s="1" a="1"/>
  <c r="R4" i="18" s="1"/>
  <c r="S4" i="18" s="1"/>
  <c r="J39" i="18" a="1"/>
  <c r="J39" i="18" s="1"/>
  <c r="R39" i="18" s="1" a="1"/>
  <c r="R39" i="18" s="1"/>
  <c r="S39" i="18" s="1"/>
  <c r="J5" i="18" a="1"/>
  <c r="J5" i="18" s="1"/>
  <c r="R5" i="18" s="1" a="1"/>
  <c r="R5" i="18" s="1"/>
  <c r="S5" i="18" s="1"/>
  <c r="J12" i="18" a="1"/>
  <c r="J12" i="18" s="1"/>
  <c r="R12" i="18" s="1" a="1"/>
  <c r="R12" i="18" s="1"/>
  <c r="S12" i="18" s="1"/>
  <c r="J16" i="18" a="1"/>
  <c r="J16" i="18" s="1"/>
  <c r="R16" i="18" s="1" a="1"/>
  <c r="R16" i="18" s="1"/>
  <c r="S16" i="18" s="1"/>
  <c r="J50" i="18" a="1"/>
  <c r="J50" i="18" s="1"/>
  <c r="R50" i="18" s="1" a="1"/>
  <c r="R50" i="18" s="1"/>
  <c r="S50" i="18" s="1"/>
  <c r="J54" i="18" a="1"/>
  <c r="J54" i="18" s="1"/>
  <c r="R54" i="18" s="1" a="1"/>
  <c r="R54" i="18" s="1"/>
  <c r="S54" i="18" s="1"/>
  <c r="J23" i="18" a="1"/>
  <c r="J23" i="18" s="1"/>
  <c r="R23" i="18" s="1" a="1"/>
  <c r="R23" i="18" s="1"/>
  <c r="S23" i="18" s="1"/>
  <c r="J68" i="18" a="1"/>
  <c r="J68" i="18" s="1"/>
  <c r="R68" i="18" s="1" a="1"/>
  <c r="R68" i="18" s="1"/>
  <c r="S68" i="18" s="1"/>
  <c r="J24" i="18" a="1"/>
  <c r="J24" i="18" s="1"/>
  <c r="R24" i="18" s="1" a="1"/>
  <c r="R24" i="18" s="1"/>
  <c r="S24" i="18" s="1"/>
  <c r="J43" i="18" a="1"/>
  <c r="J43" i="18" s="1"/>
  <c r="R43" i="18" s="1" a="1"/>
  <c r="R43" i="18" s="1"/>
  <c r="S43" i="18" s="1"/>
  <c r="J56" i="18" a="1"/>
  <c r="J56" i="18" s="1"/>
  <c r="R56" i="18" s="1" a="1"/>
  <c r="R56" i="18" s="1"/>
  <c r="S56" i="18" s="1"/>
  <c r="J62" i="18" a="1"/>
  <c r="J62" i="18" s="1"/>
  <c r="R62" i="18" s="1" a="1"/>
  <c r="R62" i="18" s="1"/>
  <c r="S62" i="18" s="1"/>
  <c r="J3" i="18" a="1"/>
  <c r="J3" i="18" s="1"/>
  <c r="R3" i="18" s="1" a="1"/>
  <c r="R3" i="18" s="1"/>
  <c r="S3" i="18" s="1"/>
  <c r="J14" i="18" a="1"/>
  <c r="J14" i="18" s="1"/>
  <c r="R14" i="18" s="1" a="1"/>
  <c r="R14" i="18" s="1"/>
  <c r="S14" i="18" s="1"/>
  <c r="J18" i="18" a="1"/>
  <c r="J18" i="18" s="1"/>
  <c r="R18" i="18" s="1" a="1"/>
  <c r="R18" i="18" s="1"/>
  <c r="S18" i="18" s="1"/>
  <c r="J25" i="18" a="1"/>
  <c r="J25" i="18" s="1"/>
  <c r="R25" i="18" s="1" a="1"/>
  <c r="R25" i="18" s="1"/>
  <c r="S25" i="18" s="1"/>
  <c r="J11" i="18" a="1"/>
  <c r="J11" i="18" s="1"/>
  <c r="J22" i="18" a="1"/>
  <c r="J22" i="18" s="1"/>
  <c r="R22" i="18" s="1" a="1"/>
  <c r="R22" i="18" s="1"/>
  <c r="S22" i="18" s="1"/>
  <c r="J65" i="18" a="1"/>
  <c r="J65" i="18" s="1"/>
  <c r="R65" i="18" s="1" a="1"/>
  <c r="R65" i="18" s="1"/>
  <c r="S65" i="18" s="1"/>
  <c r="J47" i="18" a="1"/>
  <c r="J47" i="18" s="1"/>
  <c r="R47" i="18" s="1" a="1"/>
  <c r="R47" i="18" s="1"/>
  <c r="S47" i="18" s="1"/>
  <c r="J55" i="18" a="1"/>
  <c r="J55" i="18" s="1"/>
  <c r="R55" i="18" s="1" a="1"/>
  <c r="R55" i="18" s="1"/>
  <c r="S55" i="18" s="1"/>
  <c r="J61" i="18" a="1"/>
  <c r="J61" i="18" s="1"/>
  <c r="R61" i="18" s="1" a="1"/>
  <c r="R61" i="18" s="1"/>
  <c r="S61" i="18" s="1"/>
  <c r="J26" i="18" a="1"/>
  <c r="J26" i="18" s="1"/>
  <c r="R26" i="18" s="1" a="1"/>
  <c r="R26" i="18" s="1"/>
  <c r="S26" i="18" s="1"/>
  <c r="J38" i="18" a="1"/>
  <c r="J38" i="18" s="1"/>
  <c r="R38" i="18" s="1" a="1"/>
  <c r="R38" i="18" s="1"/>
  <c r="S38" i="18" s="1"/>
  <c r="J30" i="18" a="1"/>
  <c r="J30" i="18" s="1"/>
  <c r="R30" i="18" s="1" a="1"/>
  <c r="R30" i="18" s="1"/>
  <c r="S30" i="18" s="1"/>
  <c r="J10" i="18" a="1"/>
  <c r="J10" i="18" s="1"/>
  <c r="R10" i="18" s="1" a="1"/>
  <c r="R10" i="18" s="1"/>
  <c r="S10" i="18" s="1"/>
  <c r="C75" i="12"/>
  <c r="R11" i="18" l="1" a="1"/>
  <c r="R11" i="18" s="1"/>
  <c r="S11" i="18" s="1"/>
  <c r="C79" i="12" a="1"/>
  <c r="C79" i="12" s="1"/>
  <c r="J42" i="18" a="1"/>
  <c r="J42" i="18" s="1"/>
  <c r="R42" i="18" s="1" a="1"/>
  <c r="R42" i="18" s="1"/>
  <c r="S42" i="18" s="1"/>
  <c r="J21" i="18" a="1"/>
  <c r="J21" i="18" s="1"/>
  <c r="R21" i="18" s="1" a="1"/>
  <c r="R21" i="18" s="1"/>
  <c r="S21" i="18" s="1"/>
  <c r="J6" i="18" a="1"/>
  <c r="J6" i="18" s="1"/>
  <c r="R6" i="18" s="1" a="1"/>
  <c r="R6" i="18" s="1"/>
  <c r="S6" i="18" s="1"/>
  <c r="J66" i="18" a="1"/>
  <c r="J66" i="18" s="1"/>
  <c r="R66" i="18" s="1" a="1"/>
  <c r="R66" i="18" s="1"/>
  <c r="S66" i="18" s="1"/>
  <c r="J49" i="18" a="1"/>
  <c r="J49" i="18" s="1"/>
  <c r="R49" i="18" s="1" a="1"/>
  <c r="R49" i="18" s="1"/>
  <c r="S49" i="18" s="1"/>
  <c r="J57" i="18" a="1"/>
  <c r="J57" i="18" s="1"/>
  <c r="R57" i="18" s="1" a="1"/>
  <c r="R57" i="18" s="1"/>
  <c r="S57" i="18" s="1"/>
  <c r="J37" i="18" a="1"/>
  <c r="J37" i="18" s="1"/>
  <c r="R37" i="18" s="1" a="1"/>
  <c r="R37" i="18" s="1"/>
  <c r="S37" i="18" s="1"/>
  <c r="J40" i="18" a="1"/>
  <c r="J40" i="18" s="1"/>
  <c r="R40" i="18" s="1" a="1"/>
  <c r="R40" i="18" s="1"/>
  <c r="S40" i="18" s="1"/>
  <c r="J13" i="18" a="1"/>
  <c r="J13" i="18" s="1"/>
  <c r="R13" i="18" s="1" a="1"/>
  <c r="R13" i="18" s="1"/>
  <c r="S13" i="18" s="1"/>
  <c r="J44" i="18" a="1"/>
  <c r="J44" i="18" s="1"/>
  <c r="R44" i="18" s="1" a="1"/>
  <c r="R44" i="18" s="1"/>
  <c r="S44" i="18" s="1"/>
  <c r="J28" i="18" a="1"/>
  <c r="J28" i="18" s="1"/>
  <c r="R28" i="18" s="1" a="1"/>
  <c r="R28" i="18" s="1"/>
  <c r="S28" i="18" s="1"/>
  <c r="J27" i="18" a="1"/>
  <c r="J27" i="18" s="1"/>
  <c r="R27" i="18" s="1" a="1"/>
  <c r="R27" i="18" s="1"/>
  <c r="S27" i="18" s="1"/>
  <c r="J7" i="18" a="1"/>
  <c r="J7" i="18" s="1"/>
  <c r="R7" i="18" s="1" a="1"/>
  <c r="R7" i="18" s="1"/>
  <c r="S7" i="18" s="1"/>
  <c r="J46" i="18" a="1"/>
  <c r="J46" i="18" s="1"/>
  <c r="R46" i="18" s="1" a="1"/>
  <c r="R46" i="18" s="1"/>
  <c r="S46" i="18" s="1"/>
  <c r="J19" i="18" a="1"/>
  <c r="J19" i="18" s="1"/>
  <c r="R19" i="18" s="1" a="1"/>
  <c r="R19" i="18" s="1"/>
  <c r="S19" i="18" s="1"/>
  <c r="J59" i="18" a="1"/>
  <c r="J59" i="18" s="1"/>
  <c r="R59" i="18" s="1" a="1"/>
  <c r="R59" i="18" s="1"/>
  <c r="S59" i="18" s="1"/>
  <c r="J31" i="18" a="1"/>
  <c r="J31" i="18" s="1"/>
  <c r="R31" i="18" s="1" a="1"/>
  <c r="R31" i="18" s="1"/>
  <c r="S31" i="18" s="1"/>
  <c r="J58" i="18" a="1"/>
  <c r="J58" i="18" s="1"/>
  <c r="R58" i="18" s="1" a="1"/>
  <c r="R58" i="18" s="1"/>
  <c r="S58" i="18" s="1"/>
  <c r="J67" i="18" a="1"/>
  <c r="J67" i="18" s="1"/>
  <c r="R67" i="18" s="1" a="1"/>
  <c r="R67" i="18" s="1"/>
  <c r="S67" i="18" s="1"/>
  <c r="J52" i="18" a="1"/>
  <c r="J52" i="18" s="1"/>
  <c r="R52" i="18" s="1" a="1"/>
  <c r="R52" i="18" s="1"/>
  <c r="S52" i="18" s="1"/>
  <c r="J8" i="18" a="1"/>
  <c r="J8" i="18" s="1"/>
  <c r="R8" i="18" s="1" a="1"/>
  <c r="R8" i="18" s="1"/>
  <c r="S8" i="18" s="1"/>
  <c r="AA48" i="12" l="1" a="1"/>
  <c r="AA48" i="12" s="1"/>
  <c r="AA39" i="12" a="1"/>
  <c r="AA39" i="12" s="1"/>
  <c r="AA40" i="12" a="1"/>
  <c r="AA40" i="12" s="1"/>
  <c r="AA50" i="12" a="1"/>
  <c r="AA50" i="12" s="1"/>
  <c r="AA47" i="12" a="1"/>
  <c r="AA47" i="12" s="1"/>
  <c r="AA43" i="12" a="1"/>
  <c r="AA43" i="12" s="1"/>
  <c r="AA44" i="12" a="1"/>
  <c r="AA44" i="12" s="1"/>
  <c r="AA45" i="12" a="1"/>
  <c r="AA45" i="12" s="1"/>
  <c r="AA41" i="12" a="1"/>
  <c r="AA41" i="12" s="1"/>
  <c r="AA42" i="12" a="1"/>
  <c r="AA42" i="12" s="1"/>
  <c r="AA49" i="12" a="1"/>
  <c r="AA49" i="12" s="1"/>
  <c r="AA46" i="12" a="1"/>
  <c r="AA46" i="12" s="1"/>
  <c r="AC47" i="12" a="1"/>
  <c r="AC47" i="12" s="1"/>
  <c r="AC48" i="12" a="1"/>
  <c r="AC48" i="12" s="1"/>
  <c r="AC42" i="12" a="1"/>
  <c r="AC42" i="12" s="1"/>
  <c r="AC39" i="12" a="1"/>
  <c r="AC39" i="12" s="1"/>
  <c r="AC44" i="12" a="1"/>
  <c r="AC44" i="12" s="1"/>
  <c r="AC46" i="12" a="1"/>
  <c r="AC46" i="12" s="1"/>
  <c r="AC41" i="12" a="1"/>
  <c r="AC41" i="12" s="1"/>
  <c r="AC50" i="12" a="1"/>
  <c r="AC50" i="12" s="1"/>
  <c r="AC43" i="12" a="1"/>
  <c r="AC43" i="12" s="1"/>
  <c r="AC45" i="12" a="1"/>
  <c r="AC45" i="12" s="1"/>
  <c r="AC40" i="12" a="1"/>
  <c r="AC40" i="12" s="1"/>
  <c r="AC49" i="12" a="1"/>
  <c r="AC49" i="12" s="1"/>
  <c r="AD49" i="12" l="1"/>
  <c r="AE49" i="12" s="1"/>
  <c r="AB46" i="12"/>
  <c r="AB47" i="12"/>
  <c r="AB43" i="12"/>
  <c r="AB45" i="12"/>
  <c r="AB42" i="12"/>
  <c r="AB48" i="12"/>
  <c r="AB44" i="12"/>
  <c r="AB41" i="12"/>
  <c r="AB39" i="12"/>
  <c r="AB40" i="12"/>
  <c r="AB50" i="12"/>
  <c r="AB49" i="12"/>
  <c r="AD46" i="12"/>
  <c r="AE46" i="12" s="1"/>
  <c r="AD42" i="12"/>
  <c r="AE42" i="12" s="1"/>
  <c r="AD41" i="12"/>
  <c r="AE41" i="12" s="1"/>
  <c r="AD39" i="12"/>
  <c r="AE39" i="12" s="1"/>
  <c r="AD45" i="12"/>
  <c r="AE45" i="12" s="1"/>
  <c r="AD44" i="12"/>
  <c r="AE44" i="12" s="1"/>
  <c r="AD43" i="12"/>
  <c r="AE43" i="12" s="1"/>
  <c r="AD47" i="12"/>
  <c r="AE47" i="12" s="1"/>
  <c r="AD50" i="12"/>
  <c r="AE50" i="12" s="1"/>
  <c r="AD40" i="12"/>
  <c r="AE40" i="12" s="1"/>
  <c r="AD48" i="12"/>
  <c r="AE48" i="12" s="1"/>
  <c r="C83" i="12" l="1"/>
  <c r="D83" i="12" s="1" a="1"/>
  <c r="D83" i="12" s="1"/>
  <c r="C82" i="12"/>
  <c r="E95" i="12" l="1"/>
  <c r="D82" i="12" a="1"/>
  <c r="D82" i="12" s="1"/>
  <c r="C84" i="12" s="1"/>
  <c r="D93" i="12"/>
  <c r="C88" i="12" a="1"/>
  <c r="C88" i="12" s="1"/>
  <c r="D95" i="12"/>
  <c r="B101" i="12"/>
  <c r="E93" i="12"/>
  <c r="E96" i="12"/>
  <c r="D94" i="12"/>
  <c r="D96" i="12"/>
  <c r="E94" i="12"/>
  <c r="C65" i="12" l="1"/>
  <c r="C66" i="12"/>
  <c r="C67" i="12"/>
  <c r="C89" i="12"/>
  <c r="D84" i="12" l="1"/>
  <c r="C87" i="12" a="1"/>
  <c r="C87" i="12" s="1"/>
  <c r="C68" i="12"/>
  <c r="C96" i="12" l="1"/>
  <c r="C94" i="12"/>
  <c r="C95" i="12"/>
  <c r="C93" i="12"/>
  <c r="C86" i="12" a="1"/>
  <c r="C86" i="12" s="1"/>
  <c r="S65" i="12" l="1" a="1"/>
  <c r="S65" i="12" s="1"/>
  <c r="M2" i="18" a="1"/>
  <c r="M2" i="18" s="1"/>
  <c r="T58" i="12" l="1" a="1"/>
  <c r="T58" i="12" s="1"/>
  <c r="T57" i="12" a="1"/>
  <c r="T57" i="12" s="1"/>
  <c r="T54" i="12" a="1"/>
  <c r="T54" i="12" s="1"/>
  <c r="T59" i="12" a="1"/>
  <c r="T59" i="12" s="1"/>
  <c r="T60" i="12" a="1"/>
  <c r="T60" i="12" s="1"/>
  <c r="T64" i="12" a="1"/>
  <c r="T64" i="12" s="1"/>
  <c r="T61" i="12" a="1"/>
  <c r="T61" i="12" s="1"/>
  <c r="T55" i="12" a="1"/>
  <c r="T55" i="12" s="1"/>
  <c r="T56" i="12" a="1"/>
  <c r="T56" i="12" s="1"/>
  <c r="T63" i="12" a="1"/>
  <c r="T63" i="12" s="1"/>
  <c r="T62" i="12" a="1"/>
  <c r="T62" i="12" s="1"/>
  <c r="T65" i="12" a="1"/>
  <c r="T65" i="12" s="1"/>
  <c r="U65" i="12" a="1"/>
  <c r="U65" i="12" s="1"/>
  <c r="Z42" i="12" a="1"/>
  <c r="Z42" i="12" s="1"/>
  <c r="X40" i="12" a="1"/>
  <c r="X40" i="12" s="1"/>
  <c r="V49" i="12" a="1"/>
  <c r="V49" i="12" s="1"/>
  <c r="Z44" i="12" a="1"/>
  <c r="Z44" i="12" s="1"/>
  <c r="X42" i="12" a="1"/>
  <c r="X42" i="12" s="1"/>
  <c r="V40" i="12" a="1"/>
  <c r="V40" i="12" s="1"/>
  <c r="Z45" i="12" a="1"/>
  <c r="Z45" i="12" s="1"/>
  <c r="X44" i="12" a="1"/>
  <c r="X44" i="12" s="1"/>
  <c r="V42" i="12" a="1"/>
  <c r="V42" i="12" s="1"/>
  <c r="Z47" i="12" a="1"/>
  <c r="Z47" i="12" s="1"/>
  <c r="X45" i="12" a="1"/>
  <c r="X45" i="12" s="1"/>
  <c r="V44" i="12" a="1"/>
  <c r="V44" i="12" s="1"/>
  <c r="Z49" i="12" a="1"/>
  <c r="Z49" i="12" s="1"/>
  <c r="X47" i="12" a="1"/>
  <c r="X47" i="12" s="1"/>
  <c r="V45" i="12" a="1"/>
  <c r="V45" i="12" s="1"/>
  <c r="Z39" i="12" a="1"/>
  <c r="Z39" i="12" s="1"/>
  <c r="Z50" i="12" a="1"/>
  <c r="Z50" i="12" s="1"/>
  <c r="X48" i="12" a="1"/>
  <c r="X48" i="12" s="1"/>
  <c r="V46" i="12" a="1"/>
  <c r="V46" i="12" s="1"/>
  <c r="Z41" i="12" a="1"/>
  <c r="Z41" i="12" s="1"/>
  <c r="X39" i="12" a="1"/>
  <c r="X39" i="12" s="1"/>
  <c r="X50" i="12" a="1"/>
  <c r="X50" i="12" s="1"/>
  <c r="V48" i="12" a="1"/>
  <c r="V48" i="12" s="1"/>
  <c r="Z43" i="12" a="1"/>
  <c r="Z43" i="12" s="1"/>
  <c r="X41" i="12" a="1"/>
  <c r="X41" i="12" s="1"/>
  <c r="V39" i="12" a="1"/>
  <c r="V39" i="12" s="1"/>
  <c r="V50" i="12" a="1"/>
  <c r="V50" i="12" s="1"/>
  <c r="X43" i="12" a="1"/>
  <c r="X43" i="12" s="1"/>
  <c r="V41" i="12" a="1"/>
  <c r="V41" i="12" s="1"/>
  <c r="Z46" i="12" a="1"/>
  <c r="Z46" i="12" s="1"/>
  <c r="V43" i="12" a="1"/>
  <c r="V43" i="12" s="1"/>
  <c r="Z48" i="12" a="1"/>
  <c r="Z48" i="12" s="1"/>
  <c r="X46" i="12" a="1"/>
  <c r="X46" i="12" s="1"/>
  <c r="Z40" i="12" a="1"/>
  <c r="Z40" i="12" s="1"/>
  <c r="X49" i="12" a="1"/>
  <c r="X49" i="12" s="1"/>
  <c r="V47" i="12" a="1"/>
  <c r="V47" i="12" s="1"/>
  <c r="Q2" i="18" a="1"/>
  <c r="Q2" i="18" s="1"/>
  <c r="AI64" i="12" l="1" a="1"/>
  <c r="AI64" i="12" s="1"/>
  <c r="E2" i="18" a="1"/>
  <c r="E2" i="18" s="1"/>
  <c r="AH60" i="12" a="1"/>
  <c r="AH60" i="12" s="1"/>
  <c r="AH64" i="12" a="1"/>
  <c r="AH64" i="12" s="1"/>
  <c r="AH54" i="12" a="1"/>
  <c r="AH54" i="12" s="1"/>
  <c r="AI56" i="12" a="1"/>
  <c r="AI56" i="12" s="1"/>
  <c r="H2" i="18" a="1"/>
  <c r="H2" i="18" s="1"/>
  <c r="AI60" i="12" a="1"/>
  <c r="AI60" i="12" s="1"/>
  <c r="AI58" i="12" a="1"/>
  <c r="AI58" i="12" s="1"/>
  <c r="AH61" i="12" a="1"/>
  <c r="AH61" i="12" s="1"/>
  <c r="AI57" i="12" a="1"/>
  <c r="AI57" i="12" s="1"/>
  <c r="AI61" i="12" a="1"/>
  <c r="AI61" i="12" s="1"/>
  <c r="AH58" i="12" a="1"/>
  <c r="AH58" i="12" s="1"/>
  <c r="AH56" i="12" a="1"/>
  <c r="AH56" i="12" s="1"/>
  <c r="AH55" i="12" a="1"/>
  <c r="AH55" i="12" s="1"/>
  <c r="AH59" i="12" a="1"/>
  <c r="AH59" i="12" s="1"/>
  <c r="AH62" i="12" a="1"/>
  <c r="AH62" i="12" s="1"/>
  <c r="AI59" i="12" a="1"/>
  <c r="AI59" i="12" s="1"/>
  <c r="AI62" i="12" a="1"/>
  <c r="AI62" i="12" s="1"/>
  <c r="L2" i="18" a="1"/>
  <c r="L2" i="18" s="1"/>
  <c r="I2" i="18" a="1"/>
  <c r="I2" i="18" s="1"/>
  <c r="K2" i="18" a="1"/>
  <c r="K2" i="18" s="1"/>
  <c r="G2" i="18" a="1"/>
  <c r="G2" i="18" s="1"/>
  <c r="F2" i="18" a="1"/>
  <c r="F2" i="18" s="1"/>
  <c r="J2" i="18" a="1"/>
  <c r="J2" i="18" s="1"/>
  <c r="AI54" i="12" a="1"/>
  <c r="AI54" i="12" s="1"/>
  <c r="AH57" i="12" a="1"/>
  <c r="AH57" i="12" s="1"/>
  <c r="AI63" i="12" a="1"/>
  <c r="AI63" i="12" s="1"/>
  <c r="AH63" i="12" a="1"/>
  <c r="AH63" i="12" s="1"/>
  <c r="AI55" i="12" a="1"/>
  <c r="AI55" i="12" s="1"/>
  <c r="U229" i="12" l="1" a="1"/>
  <c r="U229" i="12" s="1"/>
  <c r="U73" i="12" a="1"/>
  <c r="U73" i="12" s="1"/>
  <c r="U157" i="12" a="1"/>
  <c r="U157" i="12" s="1"/>
  <c r="U469" i="12" a="1"/>
  <c r="U469" i="12" s="1"/>
  <c r="U109" i="12" a="1"/>
  <c r="U109" i="12" s="1"/>
  <c r="U325" i="12" a="1"/>
  <c r="U325" i="12" s="1"/>
  <c r="U169" i="12" a="1"/>
  <c r="U169" i="12" s="1"/>
  <c r="U241" i="12" a="1"/>
  <c r="U241" i="12" s="1"/>
  <c r="U301" i="12" a="1"/>
  <c r="U301" i="12" s="1"/>
  <c r="U793" i="12" a="1"/>
  <c r="U793" i="12" s="1"/>
  <c r="U781" i="12" a="1"/>
  <c r="U781" i="12" s="1"/>
  <c r="U385" i="12" a="1"/>
  <c r="U385" i="12" s="1"/>
  <c r="U805" i="12" a="1"/>
  <c r="U805" i="12" s="1"/>
  <c r="U649" i="12" a="1"/>
  <c r="U649" i="12" s="1"/>
  <c r="U637" i="12" a="1"/>
  <c r="U637" i="12" s="1"/>
  <c r="U817" i="12" a="1"/>
  <c r="U817" i="12" s="1"/>
  <c r="U181" i="12" a="1"/>
  <c r="U181" i="12" s="1"/>
  <c r="U661" i="12" a="1"/>
  <c r="U661" i="12" s="1"/>
  <c r="U505" i="12" a="1"/>
  <c r="U505" i="12" s="1"/>
  <c r="U493" i="12" a="1"/>
  <c r="U493" i="12" s="1"/>
  <c r="U529" i="12" a="1"/>
  <c r="U529" i="12" s="1"/>
  <c r="U625" i="12" a="1"/>
  <c r="U625" i="12" s="1"/>
  <c r="U853" i="12" a="1"/>
  <c r="U853" i="12" s="1"/>
  <c r="U517" i="12" a="1"/>
  <c r="U517" i="12" s="1"/>
  <c r="U361" i="12" a="1"/>
  <c r="U361" i="12" s="1"/>
  <c r="U349" i="12" a="1"/>
  <c r="U349" i="12" s="1"/>
  <c r="U481" i="12" a="1"/>
  <c r="U481" i="12" s="1"/>
  <c r="U373" i="12" a="1"/>
  <c r="U373" i="12" s="1"/>
  <c r="U613" i="12" a="1"/>
  <c r="U613" i="12" s="1"/>
  <c r="U769" i="12" a="1"/>
  <c r="U769" i="12" s="1"/>
  <c r="U97" i="12" a="1"/>
  <c r="U97" i="12" s="1"/>
  <c r="U193" i="12" a="1"/>
  <c r="U193" i="12" s="1"/>
  <c r="U733" i="12" a="1"/>
  <c r="U733" i="12" s="1"/>
  <c r="U61" i="12" a="1"/>
  <c r="U61" i="12" s="1"/>
  <c r="U397" i="12" a="1"/>
  <c r="U397" i="12" s="1"/>
  <c r="U121" i="12" a="1"/>
  <c r="U121" i="12" s="1"/>
  <c r="U253" i="12" a="1"/>
  <c r="U253" i="12" s="1"/>
  <c r="U337" i="12" a="1"/>
  <c r="U337" i="12" s="1"/>
  <c r="U133" i="12" a="1"/>
  <c r="U133" i="12" s="1"/>
  <c r="U709" i="12" a="1"/>
  <c r="U709" i="12" s="1"/>
  <c r="U841" i="12" a="1"/>
  <c r="U841" i="12" s="1"/>
  <c r="U217" i="12" a="1"/>
  <c r="U217" i="12" s="1"/>
  <c r="U757" i="12" a="1"/>
  <c r="U757" i="12" s="1"/>
  <c r="U697" i="12" a="1"/>
  <c r="U697" i="12" s="1"/>
  <c r="U313" i="12" a="1"/>
  <c r="U313" i="12" s="1"/>
  <c r="U577" i="12" a="1"/>
  <c r="U577" i="12" s="1"/>
  <c r="U433" i="12" a="1"/>
  <c r="U433" i="12" s="1"/>
  <c r="U421" i="12" a="1"/>
  <c r="U421" i="12" s="1"/>
  <c r="U205" i="12" a="1"/>
  <c r="U205" i="12" s="1"/>
  <c r="U553" i="12" a="1"/>
  <c r="U553" i="12" s="1"/>
  <c r="U829" i="12" a="1"/>
  <c r="U829" i="12" s="1"/>
  <c r="U457" i="12" a="1"/>
  <c r="U457" i="12" s="1"/>
  <c r="U565" i="12" a="1"/>
  <c r="U565" i="12" s="1"/>
  <c r="U409" i="12" a="1"/>
  <c r="U409" i="12" s="1"/>
  <c r="U145" i="12" a="1"/>
  <c r="U145" i="12" s="1"/>
  <c r="U601" i="12" a="1"/>
  <c r="U601" i="12" s="1"/>
  <c r="U445" i="12" a="1"/>
  <c r="U445" i="12" s="1"/>
  <c r="U277" i="12" a="1"/>
  <c r="U277" i="12" s="1"/>
  <c r="U265" i="12" a="1"/>
  <c r="U265" i="12" s="1"/>
  <c r="U685" i="12" a="1"/>
  <c r="U685" i="12" s="1"/>
  <c r="U673" i="12" a="1"/>
  <c r="U673" i="12" s="1"/>
  <c r="U745" i="12" a="1"/>
  <c r="U745" i="12" s="1"/>
  <c r="U721" i="12" a="1"/>
  <c r="U721" i="12" s="1"/>
  <c r="U85" i="12" a="1"/>
  <c r="U85" i="12" s="1"/>
  <c r="U589" i="12" a="1"/>
  <c r="U589" i="12" s="1"/>
  <c r="U289" i="12" a="1"/>
  <c r="U289" i="12" s="1"/>
  <c r="U541" i="12" a="1"/>
  <c r="U541" i="12" s="1"/>
  <c r="U57" i="12" a="1"/>
  <c r="U57" i="12" s="1"/>
  <c r="U393" i="12" a="1"/>
  <c r="U393" i="12" s="1"/>
  <c r="U837" i="12" a="1"/>
  <c r="U837" i="12" s="1"/>
  <c r="U381" i="12" a="1"/>
  <c r="U381" i="12" s="1"/>
  <c r="U561" i="12" a="1"/>
  <c r="U561" i="12" s="1"/>
  <c r="U717" i="12" a="1"/>
  <c r="U717" i="12" s="1"/>
  <c r="U129" i="12" a="1"/>
  <c r="U129" i="12" s="1"/>
  <c r="U705" i="12" a="1"/>
  <c r="U705" i="12" s="1"/>
  <c r="U261" i="12" a="1"/>
  <c r="U261" i="12" s="1"/>
  <c r="U249" i="12" a="1"/>
  <c r="U249" i="12" s="1"/>
  <c r="U237" i="12" a="1"/>
  <c r="U237" i="12" s="1"/>
  <c r="U729" i="12" a="1"/>
  <c r="U729" i="12" s="1"/>
  <c r="U117" i="12" a="1"/>
  <c r="U117" i="12" s="1"/>
  <c r="U693" i="12" a="1"/>
  <c r="U693" i="12" s="1"/>
  <c r="U213" i="12" a="1"/>
  <c r="U213" i="12" s="1"/>
  <c r="U585" i="12" a="1"/>
  <c r="U585" i="12" s="1"/>
  <c r="U741" i="12" a="1"/>
  <c r="U741" i="12" s="1"/>
  <c r="U429" i="12" a="1"/>
  <c r="U429" i="12" s="1"/>
  <c r="U105" i="12" a="1"/>
  <c r="U105" i="12" s="1"/>
  <c r="U597" i="12" a="1"/>
  <c r="U597" i="12" s="1"/>
  <c r="U417" i="12" a="1"/>
  <c r="U417" i="12" s="1"/>
  <c r="U93" i="12" a="1"/>
  <c r="U93" i="12" s="1"/>
  <c r="U549" i="12" a="1"/>
  <c r="U549" i="12" s="1"/>
  <c r="U141" i="12" a="1"/>
  <c r="U141" i="12" s="1"/>
  <c r="U441" i="12" a="1"/>
  <c r="U441" i="12" s="1"/>
  <c r="U753" i="12" a="1"/>
  <c r="U753" i="12" s="1"/>
  <c r="U285" i="12" a="1"/>
  <c r="U285" i="12" s="1"/>
  <c r="U273" i="12" a="1"/>
  <c r="U273" i="12" s="1"/>
  <c r="U189" i="12" a="1"/>
  <c r="U189" i="12" s="1"/>
  <c r="U405" i="12" a="1"/>
  <c r="U405" i="12" s="1"/>
  <c r="U681" i="12" a="1"/>
  <c r="U681" i="12" s="1"/>
  <c r="U765" i="12" a="1"/>
  <c r="U765" i="12" s="1"/>
  <c r="U81" i="12" a="1"/>
  <c r="U81" i="12" s="1"/>
  <c r="U369" i="12" a="1"/>
  <c r="U369" i="12" s="1"/>
  <c r="U777" i="12" a="1"/>
  <c r="U777" i="12" s="1"/>
  <c r="U321" i="12" a="1"/>
  <c r="U321" i="12" s="1"/>
  <c r="U297" i="12" a="1"/>
  <c r="U297" i="12" s="1"/>
  <c r="U525" i="12" a="1"/>
  <c r="U525" i="12" s="1"/>
  <c r="U669" i="12" a="1"/>
  <c r="U669" i="12" s="1"/>
  <c r="U165" i="12" a="1"/>
  <c r="U165" i="12" s="1"/>
  <c r="U825" i="12" a="1"/>
  <c r="U825" i="12" s="1"/>
  <c r="U813" i="12" a="1"/>
  <c r="U813" i="12" s="1"/>
  <c r="U513" i="12" a="1"/>
  <c r="U513" i="12" s="1"/>
  <c r="U309" i="12" a="1"/>
  <c r="U309" i="12" s="1"/>
  <c r="U633" i="12" a="1"/>
  <c r="U633" i="12" s="1"/>
  <c r="U501" i="12" a="1"/>
  <c r="U501" i="12" s="1"/>
  <c r="U657" i="12" a="1"/>
  <c r="U657" i="12" s="1"/>
  <c r="U453" i="12" a="1"/>
  <c r="U453" i="12" s="1"/>
  <c r="U489" i="12" a="1"/>
  <c r="U489" i="12" s="1"/>
  <c r="U621" i="12" a="1"/>
  <c r="U621" i="12" s="1"/>
  <c r="U225" i="12" a="1"/>
  <c r="U225" i="12" s="1"/>
  <c r="U477" i="12" a="1"/>
  <c r="U477" i="12" s="1"/>
  <c r="U789" i="12" a="1"/>
  <c r="U789" i="12" s="1"/>
  <c r="U345" i="12" a="1"/>
  <c r="U345" i="12" s="1"/>
  <c r="U333" i="12" a="1"/>
  <c r="U333" i="12" s="1"/>
  <c r="U153" i="12" a="1"/>
  <c r="U153" i="12" s="1"/>
  <c r="U357" i="12" a="1"/>
  <c r="U357" i="12" s="1"/>
  <c r="U69" i="12" a="1"/>
  <c r="U69" i="12" s="1"/>
  <c r="U573" i="12" a="1"/>
  <c r="U573" i="12" s="1"/>
  <c r="U201" i="12" a="1"/>
  <c r="U201" i="12" s="1"/>
  <c r="U609" i="12" a="1"/>
  <c r="U609" i="12" s="1"/>
  <c r="U537" i="12" a="1"/>
  <c r="U537" i="12" s="1"/>
  <c r="U801" i="12" a="1"/>
  <c r="U801" i="12" s="1"/>
  <c r="U177" i="12" a="1"/>
  <c r="U177" i="12" s="1"/>
  <c r="U645" i="12" a="1"/>
  <c r="U645" i="12" s="1"/>
  <c r="U849" i="12" a="1"/>
  <c r="U849" i="12" s="1"/>
  <c r="U465" i="12" a="1"/>
  <c r="U465" i="12" s="1"/>
  <c r="U398" i="12" a="1"/>
  <c r="U398" i="12" s="1"/>
  <c r="U74" i="12" a="1"/>
  <c r="U74" i="12" s="1"/>
  <c r="U230" i="12" a="1"/>
  <c r="U230" i="12" s="1"/>
  <c r="U98" i="12" a="1"/>
  <c r="U98" i="12" s="1"/>
  <c r="U410" i="12" a="1"/>
  <c r="U410" i="12" s="1"/>
  <c r="U242" i="12" a="1"/>
  <c r="U242" i="12" s="1"/>
  <c r="U362" i="12" a="1"/>
  <c r="U362" i="12" s="1"/>
  <c r="U158" i="12" a="1"/>
  <c r="U158" i="12" s="1"/>
  <c r="U494" i="12" a="1"/>
  <c r="U494" i="12" s="1"/>
  <c r="U254" i="12" a="1"/>
  <c r="U254" i="12" s="1"/>
  <c r="U146" i="12" a="1"/>
  <c r="U146" i="12" s="1"/>
  <c r="U350" i="12" a="1"/>
  <c r="U350" i="12" s="1"/>
  <c r="U482" i="12" a="1"/>
  <c r="U482" i="12" s="1"/>
  <c r="U326" i="12" a="1"/>
  <c r="U326" i="12" s="1"/>
  <c r="U818" i="12" a="1"/>
  <c r="U818" i="12" s="1"/>
  <c r="U806" i="12" a="1"/>
  <c r="U806" i="12" s="1"/>
  <c r="U218" i="12" a="1"/>
  <c r="U218" i="12" s="1"/>
  <c r="U830" i="12" a="1"/>
  <c r="U830" i="12" s="1"/>
  <c r="U674" i="12" a="1"/>
  <c r="U674" i="12" s="1"/>
  <c r="U662" i="12" a="1"/>
  <c r="U662" i="12" s="1"/>
  <c r="U794" i="12" a="1"/>
  <c r="U794" i="12" s="1"/>
  <c r="U206" i="12" a="1"/>
  <c r="U206" i="12" s="1"/>
  <c r="U530" i="12" a="1"/>
  <c r="U530" i="12" s="1"/>
  <c r="U686" i="12" a="1"/>
  <c r="U686" i="12" s="1"/>
  <c r="U842" i="12" a="1"/>
  <c r="U842" i="12" s="1"/>
  <c r="U518" i="12" a="1"/>
  <c r="U518" i="12" s="1"/>
  <c r="U650" i="12" a="1"/>
  <c r="U650" i="12" s="1"/>
  <c r="U170" i="12" a="1"/>
  <c r="U170" i="12" s="1"/>
  <c r="U386" i="12" a="1"/>
  <c r="U386" i="12" s="1"/>
  <c r="U374" i="12" a="1"/>
  <c r="U374" i="12" s="1"/>
  <c r="U506" i="12" a="1"/>
  <c r="U506" i="12" s="1"/>
  <c r="U782" i="12" a="1"/>
  <c r="U782" i="12" s="1"/>
  <c r="U314" i="12" a="1"/>
  <c r="U314" i="12" s="1"/>
  <c r="U578" i="12" a="1"/>
  <c r="U578" i="12" s="1"/>
  <c r="U746" i="12" a="1"/>
  <c r="U746" i="12" s="1"/>
  <c r="U614" i="12" a="1"/>
  <c r="U614" i="12" s="1"/>
  <c r="U854" i="12" a="1"/>
  <c r="U854" i="12" s="1"/>
  <c r="U638" i="12" a="1"/>
  <c r="U638" i="12" s="1"/>
  <c r="U758" i="12" a="1"/>
  <c r="U758" i="12" s="1"/>
  <c r="U566" i="12" a="1"/>
  <c r="U566" i="12" s="1"/>
  <c r="U110" i="12" a="1"/>
  <c r="U110" i="12" s="1"/>
  <c r="U422" i="12" a="1"/>
  <c r="U422" i="12" s="1"/>
  <c r="U602" i="12" a="1"/>
  <c r="U602" i="12" s="1"/>
  <c r="U266" i="12" a="1"/>
  <c r="U266" i="12" s="1"/>
  <c r="U734" i="12" a="1"/>
  <c r="U734" i="12" s="1"/>
  <c r="U278" i="12" a="1"/>
  <c r="U278" i="12" s="1"/>
  <c r="U194" i="12" a="1"/>
  <c r="U194" i="12" s="1"/>
  <c r="U62" i="12" a="1"/>
  <c r="U62" i="12" s="1"/>
  <c r="U722" i="12" a="1"/>
  <c r="U722" i="12" s="1"/>
  <c r="U338" i="12" a="1"/>
  <c r="U338" i="12" s="1"/>
  <c r="U122" i="12" a="1"/>
  <c r="U122" i="12" s="1"/>
  <c r="U590" i="12" a="1"/>
  <c r="U590" i="12" s="1"/>
  <c r="U86" i="12" a="1"/>
  <c r="U86" i="12" s="1"/>
  <c r="U542" i="12" a="1"/>
  <c r="U542" i="12" s="1"/>
  <c r="U458" i="12" a="1"/>
  <c r="U458" i="12" s="1"/>
  <c r="U554" i="12" a="1"/>
  <c r="U554" i="12" s="1"/>
  <c r="U182" i="12" a="1"/>
  <c r="U182" i="12" s="1"/>
  <c r="U446" i="12" a="1"/>
  <c r="U446" i="12" s="1"/>
  <c r="U626" i="12" a="1"/>
  <c r="U626" i="12" s="1"/>
  <c r="U134" i="12" a="1"/>
  <c r="U134" i="12" s="1"/>
  <c r="U290" i="12" a="1"/>
  <c r="U290" i="12" s="1"/>
  <c r="U470" i="12" a="1"/>
  <c r="U470" i="12" s="1"/>
  <c r="U770" i="12" a="1"/>
  <c r="U770" i="12" s="1"/>
  <c r="U698" i="12" a="1"/>
  <c r="U698" i="12" s="1"/>
  <c r="U302" i="12" a="1"/>
  <c r="U302" i="12" s="1"/>
  <c r="U434" i="12" a="1"/>
  <c r="U434" i="12" s="1"/>
  <c r="U710" i="12" a="1"/>
  <c r="U710" i="12" s="1"/>
  <c r="U210" i="12" a="1"/>
  <c r="U210" i="12" s="1"/>
  <c r="U702" i="12" a="1"/>
  <c r="U702" i="12" s="1"/>
  <c r="U546" i="12" a="1"/>
  <c r="U546" i="12" s="1"/>
  <c r="U534" i="12" a="1"/>
  <c r="U534" i="12" s="1"/>
  <c r="U666" i="12" a="1"/>
  <c r="U666" i="12" s="1"/>
  <c r="U78" i="12" a="1"/>
  <c r="U78" i="12" s="1"/>
  <c r="U54" i="12" a="1"/>
  <c r="U54" i="12" s="1"/>
  <c r="U402" i="12" a="1"/>
  <c r="U402" i="12" s="1"/>
  <c r="U390" i="12" a="1"/>
  <c r="U390" i="12" s="1"/>
  <c r="U522" i="12" a="1"/>
  <c r="U522" i="12" s="1"/>
  <c r="U306" i="12" a="1"/>
  <c r="U306" i="12" s="1"/>
  <c r="U378" i="12" a="1"/>
  <c r="U378" i="12" s="1"/>
  <c r="U102" i="12" a="1"/>
  <c r="U102" i="12" s="1"/>
  <c r="U414" i="12" a="1"/>
  <c r="U414" i="12" s="1"/>
  <c r="U258" i="12" a="1"/>
  <c r="U258" i="12" s="1"/>
  <c r="U66" i="12" a="1"/>
  <c r="U66" i="12" s="1"/>
  <c r="U246" i="12" a="1"/>
  <c r="U246" i="12" s="1"/>
  <c r="U486" i="12" a="1"/>
  <c r="U486" i="12" s="1"/>
  <c r="U270" i="12" a="1"/>
  <c r="U270" i="12" s="1"/>
  <c r="U510" i="12" a="1"/>
  <c r="U510" i="12" s="1"/>
  <c r="U822" i="12" a="1"/>
  <c r="U822" i="12" s="1"/>
  <c r="U150" i="12" a="1"/>
  <c r="U150" i="12" s="1"/>
  <c r="U834" i="12" a="1"/>
  <c r="U834" i="12" s="1"/>
  <c r="U714" i="12" a="1"/>
  <c r="U714" i="12" s="1"/>
  <c r="U366" i="12" a="1"/>
  <c r="U366" i="12" s="1"/>
  <c r="U282" i="12" a="1"/>
  <c r="U282" i="12" s="1"/>
  <c r="U126" i="12" a="1"/>
  <c r="U126" i="12" s="1"/>
  <c r="U690" i="12" a="1"/>
  <c r="U690" i="12" s="1"/>
  <c r="U678" i="12" a="1"/>
  <c r="U678" i="12" s="1"/>
  <c r="U810" i="12" a="1"/>
  <c r="U810" i="12" s="1"/>
  <c r="U138" i="12" a="1"/>
  <c r="U138" i="12" s="1"/>
  <c r="U222" i="12" a="1"/>
  <c r="U222" i="12" s="1"/>
  <c r="U642" i="12" a="1"/>
  <c r="U642" i="12" s="1"/>
  <c r="U474" i="12" a="1"/>
  <c r="U474" i="12" s="1"/>
  <c r="U594" i="12" a="1"/>
  <c r="U594" i="12" s="1"/>
  <c r="U798" i="12" a="1"/>
  <c r="U798" i="12" s="1"/>
  <c r="U786" i="12" a="1"/>
  <c r="U786" i="12" s="1"/>
  <c r="U462" i="12" a="1"/>
  <c r="U462" i="12" s="1"/>
  <c r="U558" i="12" a="1"/>
  <c r="U558" i="12" s="1"/>
  <c r="U654" i="12" a="1"/>
  <c r="U654" i="12" s="1"/>
  <c r="U630" i="12" a="1"/>
  <c r="U630" i="12" s="1"/>
  <c r="U234" i="12" a="1"/>
  <c r="U234" i="12" s="1"/>
  <c r="U318" i="12" a="1"/>
  <c r="U318" i="12" s="1"/>
  <c r="U450" i="12" a="1"/>
  <c r="U450" i="12" s="1"/>
  <c r="U726" i="12" a="1"/>
  <c r="U726" i="12" s="1"/>
  <c r="U198" i="12" a="1"/>
  <c r="U198" i="12" s="1"/>
  <c r="U330" i="12" a="1"/>
  <c r="U330" i="12" s="1"/>
  <c r="U762" i="12" a="1"/>
  <c r="U762" i="12" s="1"/>
  <c r="U174" i="12" a="1"/>
  <c r="U174" i="12" s="1"/>
  <c r="U162" i="12" a="1"/>
  <c r="U162" i="12" s="1"/>
  <c r="U582" i="12" a="1"/>
  <c r="U582" i="12" s="1"/>
  <c r="U774" i="12" a="1"/>
  <c r="U774" i="12" s="1"/>
  <c r="U618" i="12" a="1"/>
  <c r="U618" i="12" s="1"/>
  <c r="U426" i="12" a="1"/>
  <c r="U426" i="12" s="1"/>
  <c r="U438" i="12" a="1"/>
  <c r="U438" i="12" s="1"/>
  <c r="U342" i="12" a="1"/>
  <c r="U342" i="12" s="1"/>
  <c r="U90" i="12" a="1"/>
  <c r="U90" i="12" s="1"/>
  <c r="U114" i="12" a="1"/>
  <c r="U114" i="12" s="1"/>
  <c r="U750" i="12" a="1"/>
  <c r="U750" i="12" s="1"/>
  <c r="U570" i="12" a="1"/>
  <c r="U570" i="12" s="1"/>
  <c r="U294" i="12" a="1"/>
  <c r="U294" i="12" s="1"/>
  <c r="U354" i="12" a="1"/>
  <c r="U354" i="12" s="1"/>
  <c r="U186" i="12" a="1"/>
  <c r="U186" i="12" s="1"/>
  <c r="U498" i="12" a="1"/>
  <c r="U498" i="12" s="1"/>
  <c r="U606" i="12" a="1"/>
  <c r="U606" i="12" s="1"/>
  <c r="U846" i="12" a="1"/>
  <c r="U846" i="12" s="1"/>
  <c r="U738" i="12" a="1"/>
  <c r="U738" i="12" s="1"/>
  <c r="U443" i="12" a="1"/>
  <c r="U443" i="12" s="1"/>
  <c r="U611" i="12" a="1"/>
  <c r="U611" i="12" s="1"/>
  <c r="U455" i="12" a="1"/>
  <c r="U455" i="12" s="1"/>
  <c r="U575" i="12" a="1"/>
  <c r="U575" i="12" s="1"/>
  <c r="U167" i="12" a="1"/>
  <c r="U167" i="12" s="1"/>
  <c r="U839" i="12" a="1"/>
  <c r="U839" i="12" s="1"/>
  <c r="U311" i="12" a="1"/>
  <c r="U311" i="12" s="1"/>
  <c r="U299" i="12" a="1"/>
  <c r="U299" i="12" s="1"/>
  <c r="U431" i="12" a="1"/>
  <c r="U431" i="12" s="1"/>
  <c r="U563" i="12" a="1"/>
  <c r="U563" i="12" s="1"/>
  <c r="U335" i="12" a="1"/>
  <c r="U335" i="12" s="1"/>
  <c r="U539" i="12" a="1"/>
  <c r="U539" i="12" s="1"/>
  <c r="U323" i="12" a="1"/>
  <c r="U323" i="12" s="1"/>
  <c r="U131" i="12" a="1"/>
  <c r="U131" i="12" s="1"/>
  <c r="U179" i="12" a="1"/>
  <c r="U179" i="12" s="1"/>
  <c r="U83" i="12" a="1"/>
  <c r="U83" i="12" s="1"/>
  <c r="U215" i="12" a="1"/>
  <c r="U215" i="12" s="1"/>
  <c r="U107" i="12" a="1"/>
  <c r="U107" i="12" s="1"/>
  <c r="U419" i="12" a="1"/>
  <c r="U419" i="12" s="1"/>
  <c r="U71" i="12" a="1"/>
  <c r="U71" i="12" s="1"/>
  <c r="U743" i="12" a="1"/>
  <c r="U743" i="12" s="1"/>
  <c r="U731" i="12" a="1"/>
  <c r="U731" i="12" s="1"/>
  <c r="U623" i="12" a="1"/>
  <c r="U623" i="12" s="1"/>
  <c r="U275" i="12" a="1"/>
  <c r="U275" i="12" s="1"/>
  <c r="U755" i="12" a="1"/>
  <c r="U755" i="12" s="1"/>
  <c r="U203" i="12" a="1"/>
  <c r="U203" i="12" s="1"/>
  <c r="U587" i="12" a="1"/>
  <c r="U587" i="12" s="1"/>
  <c r="U599" i="12" a="1"/>
  <c r="U599" i="12" s="1"/>
  <c r="U251" i="12" a="1"/>
  <c r="U251" i="12" s="1"/>
  <c r="U815" i="12" a="1"/>
  <c r="U815" i="12" s="1"/>
  <c r="U191" i="12" a="1"/>
  <c r="U191" i="12" s="1"/>
  <c r="U371" i="12" a="1"/>
  <c r="U371" i="12" s="1"/>
  <c r="U503" i="12" a="1"/>
  <c r="U503" i="12" s="1"/>
  <c r="U59" i="12" a="1"/>
  <c r="U59" i="12" s="1"/>
  <c r="U791" i="12" a="1"/>
  <c r="U791" i="12" s="1"/>
  <c r="U287" i="12" a="1"/>
  <c r="U287" i="12" s="1"/>
  <c r="U479" i="12" a="1"/>
  <c r="U479" i="12" s="1"/>
  <c r="U263" i="12" a="1"/>
  <c r="U263" i="12" s="1"/>
  <c r="U407" i="12" a="1"/>
  <c r="U407" i="12" s="1"/>
  <c r="U395" i="12" a="1"/>
  <c r="U395" i="12" s="1"/>
  <c r="U827" i="12" a="1"/>
  <c r="U827" i="12" s="1"/>
  <c r="U227" i="12" a="1"/>
  <c r="U227" i="12" s="1"/>
  <c r="U467" i="12" a="1"/>
  <c r="U467" i="12" s="1"/>
  <c r="U359" i="12" a="1"/>
  <c r="U359" i="12" s="1"/>
  <c r="U635" i="12" a="1"/>
  <c r="U635" i="12" s="1"/>
  <c r="U671" i="12" a="1"/>
  <c r="U671" i="12" s="1"/>
  <c r="U719" i="12" a="1"/>
  <c r="U719" i="12" s="1"/>
  <c r="U551" i="12" a="1"/>
  <c r="U551" i="12" s="1"/>
  <c r="U491" i="12" a="1"/>
  <c r="U491" i="12" s="1"/>
  <c r="U851" i="12" a="1"/>
  <c r="U851" i="12" s="1"/>
  <c r="U695" i="12" a="1"/>
  <c r="U695" i="12" s="1"/>
  <c r="U239" i="12" a="1"/>
  <c r="U239" i="12" s="1"/>
  <c r="U155" i="12" a="1"/>
  <c r="U155" i="12" s="1"/>
  <c r="U707" i="12" a="1"/>
  <c r="U707" i="12" s="1"/>
  <c r="U803" i="12" a="1"/>
  <c r="U803" i="12" s="1"/>
  <c r="U347" i="12" a="1"/>
  <c r="U347" i="12" s="1"/>
  <c r="U527" i="12" a="1"/>
  <c r="U527" i="12" s="1"/>
  <c r="U143" i="12" a="1"/>
  <c r="U143" i="12" s="1"/>
  <c r="U779" i="12" a="1"/>
  <c r="U779" i="12" s="1"/>
  <c r="U659" i="12" a="1"/>
  <c r="U659" i="12" s="1"/>
  <c r="U683" i="12" a="1"/>
  <c r="U683" i="12" s="1"/>
  <c r="U119" i="12" a="1"/>
  <c r="U119" i="12" s="1"/>
  <c r="U647" i="12" a="1"/>
  <c r="U647" i="12" s="1"/>
  <c r="U767" i="12" a="1"/>
  <c r="U767" i="12" s="1"/>
  <c r="U383" i="12" a="1"/>
  <c r="U383" i="12" s="1"/>
  <c r="U515" i="12" a="1"/>
  <c r="U515" i="12" s="1"/>
  <c r="U95" i="12" a="1"/>
  <c r="U95" i="12" s="1"/>
  <c r="U784" i="12" a="1"/>
  <c r="U784" i="12" s="1"/>
  <c r="U292" i="12" a="1"/>
  <c r="U292" i="12" s="1"/>
  <c r="U244" i="12" a="1"/>
  <c r="U244" i="12" s="1"/>
  <c r="U160" i="12" a="1"/>
  <c r="U160" i="12" s="1"/>
  <c r="U628" i="12" a="1"/>
  <c r="U628" i="12" s="1"/>
  <c r="U616" i="12" a="1"/>
  <c r="U616" i="12" s="1"/>
  <c r="U220" i="12" a="1"/>
  <c r="U220" i="12" s="1"/>
  <c r="U748" i="12" a="1"/>
  <c r="U748" i="12" s="1"/>
  <c r="U640" i="12" a="1"/>
  <c r="U640" i="12" s="1"/>
  <c r="U484" i="12" a="1"/>
  <c r="U484" i="12" s="1"/>
  <c r="U604" i="12" a="1"/>
  <c r="U604" i="12" s="1"/>
  <c r="U364" i="12" a="1"/>
  <c r="U364" i="12" s="1"/>
  <c r="U472" i="12" a="1"/>
  <c r="U472" i="12" s="1"/>
  <c r="U568" i="12" a="1"/>
  <c r="U568" i="12" s="1"/>
  <c r="U652" i="12" a="1"/>
  <c r="U652" i="12" s="1"/>
  <c r="U496" i="12" a="1"/>
  <c r="U496" i="12" s="1"/>
  <c r="U340" i="12" a="1"/>
  <c r="U340" i="12" s="1"/>
  <c r="U328" i="12" a="1"/>
  <c r="U328" i="12" s="1"/>
  <c r="U460" i="12" a="1"/>
  <c r="U460" i="12" s="1"/>
  <c r="U772" i="12" a="1"/>
  <c r="U772" i="12" s="1"/>
  <c r="U100" i="12" a="1"/>
  <c r="U100" i="12" s="1"/>
  <c r="U508" i="12" a="1"/>
  <c r="U508" i="12" s="1"/>
  <c r="U352" i="12" a="1"/>
  <c r="U352" i="12" s="1"/>
  <c r="U196" i="12" a="1"/>
  <c r="U196" i="12" s="1"/>
  <c r="U184" i="12" a="1"/>
  <c r="U184" i="12" s="1"/>
  <c r="U592" i="12" a="1"/>
  <c r="U592" i="12" s="1"/>
  <c r="U208" i="12" a="1"/>
  <c r="U208" i="12" s="1"/>
  <c r="U64" i="12" a="1"/>
  <c r="U64" i="12" s="1"/>
  <c r="U448" i="12" a="1"/>
  <c r="U448" i="12" s="1"/>
  <c r="U136" i="12" a="1"/>
  <c r="U136" i="12" s="1"/>
  <c r="U580" i="12" a="1"/>
  <c r="U580" i="12" s="1"/>
  <c r="U316" i="12" a="1"/>
  <c r="U316" i="12" s="1"/>
  <c r="U304" i="12" a="1"/>
  <c r="U304" i="12" s="1"/>
  <c r="U544" i="12" a="1"/>
  <c r="U544" i="12" s="1"/>
  <c r="U76" i="12" a="1"/>
  <c r="U76" i="12" s="1"/>
  <c r="U112" i="12" a="1"/>
  <c r="U112" i="12" s="1"/>
  <c r="U796" i="12" a="1"/>
  <c r="U796" i="12" s="1"/>
  <c r="U676" i="12" a="1"/>
  <c r="U676" i="12" s="1"/>
  <c r="U280" i="12" a="1"/>
  <c r="U280" i="12" s="1"/>
  <c r="U412" i="12" a="1"/>
  <c r="U412" i="12" s="1"/>
  <c r="U844" i="12" a="1"/>
  <c r="U844" i="12" s="1"/>
  <c r="U400" i="12" a="1"/>
  <c r="U400" i="12" s="1"/>
  <c r="U532" i="12" a="1"/>
  <c r="U532" i="12" s="1"/>
  <c r="U232" i="12" a="1"/>
  <c r="U232" i="12" s="1"/>
  <c r="U808" i="12" a="1"/>
  <c r="U808" i="12" s="1"/>
  <c r="U388" i="12" a="1"/>
  <c r="U388" i="12" s="1"/>
  <c r="U436" i="12" a="1"/>
  <c r="U436" i="12" s="1"/>
  <c r="U424" i="12" a="1"/>
  <c r="U424" i="12" s="1"/>
  <c r="U256" i="12" a="1"/>
  <c r="U256" i="12" s="1"/>
  <c r="U664" i="12" a="1"/>
  <c r="U664" i="12" s="1"/>
  <c r="U700" i="12" a="1"/>
  <c r="U700" i="12" s="1"/>
  <c r="U172" i="12" a="1"/>
  <c r="U172" i="12" s="1"/>
  <c r="U724" i="12" a="1"/>
  <c r="U724" i="12" s="1"/>
  <c r="U520" i="12" a="1"/>
  <c r="U520" i="12" s="1"/>
  <c r="U148" i="12" a="1"/>
  <c r="U148" i="12" s="1"/>
  <c r="U736" i="12" a="1"/>
  <c r="U736" i="12" s="1"/>
  <c r="U268" i="12" a="1"/>
  <c r="U268" i="12" s="1"/>
  <c r="U88" i="12" a="1"/>
  <c r="U88" i="12" s="1"/>
  <c r="U832" i="12" a="1"/>
  <c r="U832" i="12" s="1"/>
  <c r="U376" i="12" a="1"/>
  <c r="U376" i="12" s="1"/>
  <c r="U760" i="12" a="1"/>
  <c r="U760" i="12" s="1"/>
  <c r="U856" i="12" a="1"/>
  <c r="U856" i="12" s="1"/>
  <c r="U556" i="12" a="1"/>
  <c r="U556" i="12" s="1"/>
  <c r="U712" i="12" a="1"/>
  <c r="U712" i="12" s="1"/>
  <c r="U124" i="12" a="1"/>
  <c r="U124" i="12" s="1"/>
  <c r="U688" i="12" a="1"/>
  <c r="U688" i="12" s="1"/>
  <c r="U820" i="12" a="1"/>
  <c r="U820" i="12" s="1"/>
  <c r="U679" i="12" a="1"/>
  <c r="U679" i="12" s="1"/>
  <c r="U691" i="12" a="1"/>
  <c r="U691" i="12" s="1"/>
  <c r="U811" i="12" a="1"/>
  <c r="U811" i="12" s="1"/>
  <c r="U223" i="12" a="1"/>
  <c r="U223" i="12" s="1"/>
  <c r="U703" i="12" a="1"/>
  <c r="U703" i="12" s="1"/>
  <c r="U91" i="12" a="1"/>
  <c r="U91" i="12" s="1"/>
  <c r="U547" i="12" a="1"/>
  <c r="U547" i="12" s="1"/>
  <c r="U535" i="12" a="1"/>
  <c r="U535" i="12" s="1"/>
  <c r="U667" i="12" a="1"/>
  <c r="U667" i="12" s="1"/>
  <c r="U559" i="12" a="1"/>
  <c r="U559" i="12" s="1"/>
  <c r="U115" i="12" a="1"/>
  <c r="U115" i="12" s="1"/>
  <c r="U403" i="12" a="1"/>
  <c r="U403" i="12" s="1"/>
  <c r="U391" i="12" a="1"/>
  <c r="U391" i="12" s="1"/>
  <c r="U523" i="12" a="1"/>
  <c r="U523" i="12" s="1"/>
  <c r="U247" i="12" a="1"/>
  <c r="U247" i="12" s="1"/>
  <c r="U103" i="12" a="1"/>
  <c r="U103" i="12" s="1"/>
  <c r="U415" i="12" a="1"/>
  <c r="U415" i="12" s="1"/>
  <c r="U259" i="12" a="1"/>
  <c r="U259" i="12" s="1"/>
  <c r="U283" i="12" a="1"/>
  <c r="U283" i="12" s="1"/>
  <c r="U643" i="12" a="1"/>
  <c r="U643" i="12" s="1"/>
  <c r="U271" i="12" a="1"/>
  <c r="U271" i="12" s="1"/>
  <c r="U139" i="12" a="1"/>
  <c r="U139" i="12" s="1"/>
  <c r="U511" i="12" a="1"/>
  <c r="U511" i="12" s="1"/>
  <c r="U847" i="12" a="1"/>
  <c r="U847" i="12" s="1"/>
  <c r="U835" i="12" a="1"/>
  <c r="U835" i="12" s="1"/>
  <c r="U367" i="12" a="1"/>
  <c r="U367" i="12" s="1"/>
  <c r="U715" i="12" a="1"/>
  <c r="U715" i="12" s="1"/>
  <c r="U163" i="12" a="1"/>
  <c r="U163" i="12" s="1"/>
  <c r="U187" i="12" a="1"/>
  <c r="U187" i="12" s="1"/>
  <c r="U307" i="12" a="1"/>
  <c r="U307" i="12" s="1"/>
  <c r="U499" i="12" a="1"/>
  <c r="U499" i="12" s="1"/>
  <c r="U487" i="12" a="1"/>
  <c r="U487" i="12" s="1"/>
  <c r="U607" i="12" a="1"/>
  <c r="U607" i="12" s="1"/>
  <c r="U739" i="12" a="1"/>
  <c r="U739" i="12" s="1"/>
  <c r="U463" i="12" a="1"/>
  <c r="U463" i="12" s="1"/>
  <c r="U67" i="12" a="1"/>
  <c r="U67" i="12" s="1"/>
  <c r="U799" i="12" a="1"/>
  <c r="U799" i="12" s="1"/>
  <c r="U775" i="12" a="1"/>
  <c r="U775" i="12" s="1"/>
  <c r="U55" i="12" a="1"/>
  <c r="U55" i="12" s="1"/>
  <c r="U595" i="12" a="1"/>
  <c r="U595" i="12" s="1"/>
  <c r="U655" i="12" a="1"/>
  <c r="U655" i="12" s="1"/>
  <c r="U379" i="12" a="1"/>
  <c r="U379" i="12" s="1"/>
  <c r="U631" i="12" a="1"/>
  <c r="U631" i="12" s="1"/>
  <c r="U319" i="12" a="1"/>
  <c r="U319" i="12" s="1"/>
  <c r="U127" i="12" a="1"/>
  <c r="U127" i="12" s="1"/>
  <c r="U763" i="12" a="1"/>
  <c r="U763" i="12" s="1"/>
  <c r="U451" i="12" a="1"/>
  <c r="U451" i="12" s="1"/>
  <c r="U727" i="12" a="1"/>
  <c r="U727" i="12" s="1"/>
  <c r="U823" i="12" a="1"/>
  <c r="U823" i="12" s="1"/>
  <c r="U571" i="12" a="1"/>
  <c r="U571" i="12" s="1"/>
  <c r="U331" i="12" a="1"/>
  <c r="U331" i="12" s="1"/>
  <c r="U175" i="12" a="1"/>
  <c r="U175" i="12" s="1"/>
  <c r="U79" i="12" a="1"/>
  <c r="U79" i="12" s="1"/>
  <c r="U151" i="12" a="1"/>
  <c r="U151" i="12" s="1"/>
  <c r="U583" i="12" a="1"/>
  <c r="U583" i="12" s="1"/>
  <c r="U427" i="12" a="1"/>
  <c r="U427" i="12" s="1"/>
  <c r="U235" i="12" a="1"/>
  <c r="U235" i="12" s="1"/>
  <c r="U619" i="12" a="1"/>
  <c r="U619" i="12" s="1"/>
  <c r="U787" i="12" a="1"/>
  <c r="U787" i="12" s="1"/>
  <c r="U475" i="12" a="1"/>
  <c r="U475" i="12" s="1"/>
  <c r="U439" i="12" a="1"/>
  <c r="U439" i="12" s="1"/>
  <c r="U211" i="12" a="1"/>
  <c r="U211" i="12" s="1"/>
  <c r="U199" i="12" a="1"/>
  <c r="U199" i="12" s="1"/>
  <c r="U343" i="12" a="1"/>
  <c r="U343" i="12" s="1"/>
  <c r="U355" i="12" a="1"/>
  <c r="U355" i="12" s="1"/>
  <c r="U751" i="12" a="1"/>
  <c r="U751" i="12" s="1"/>
  <c r="U295" i="12" a="1"/>
  <c r="U295" i="12" s="1"/>
  <c r="U264" i="12" a="1"/>
  <c r="U264" i="12" s="1"/>
  <c r="U372" i="12" a="1"/>
  <c r="U372" i="12" s="1"/>
  <c r="U780" i="12" a="1"/>
  <c r="U780" i="12" s="1"/>
  <c r="U540" i="12" a="1"/>
  <c r="U540" i="12" s="1"/>
  <c r="U156" i="12" a="1"/>
  <c r="U156" i="12" s="1"/>
  <c r="U384" i="12" a="1"/>
  <c r="U384" i="12" s="1"/>
  <c r="U504" i="12" a="1"/>
  <c r="U504" i="12" s="1"/>
  <c r="U552" i="12" a="1"/>
  <c r="U552" i="12" s="1"/>
  <c r="U120" i="12" a="1"/>
  <c r="U120" i="12" s="1"/>
  <c r="U228" i="12" a="1"/>
  <c r="U228" i="12" s="1"/>
  <c r="U396" i="12" a="1"/>
  <c r="U396" i="12" s="1"/>
  <c r="U240" i="12" a="1"/>
  <c r="U240" i="12" s="1"/>
  <c r="U852" i="12" a="1"/>
  <c r="U852" i="12" s="1"/>
  <c r="U636" i="12" a="1"/>
  <c r="U636" i="12" s="1"/>
  <c r="U60" i="12" a="1"/>
  <c r="U60" i="12" s="1"/>
  <c r="U252" i="12" a="1"/>
  <c r="U252" i="12" s="1"/>
  <c r="U408" i="12" a="1"/>
  <c r="U408" i="12" s="1"/>
  <c r="U816" i="12" a="1"/>
  <c r="U816" i="12" s="1"/>
  <c r="U804" i="12" a="1"/>
  <c r="U804" i="12" s="1"/>
  <c r="U360" i="12" a="1"/>
  <c r="U360" i="12" s="1"/>
  <c r="U348" i="12" a="1"/>
  <c r="U348" i="12" s="1"/>
  <c r="U828" i="12" a="1"/>
  <c r="U828" i="12" s="1"/>
  <c r="U672" i="12" a="1"/>
  <c r="U672" i="12" s="1"/>
  <c r="U660" i="12" a="1"/>
  <c r="U660" i="12" s="1"/>
  <c r="U792" i="12" a="1"/>
  <c r="U792" i="12" s="1"/>
  <c r="U204" i="12" a="1"/>
  <c r="U204" i="12" s="1"/>
  <c r="U684" i="12" a="1"/>
  <c r="U684" i="12" s="1"/>
  <c r="U528" i="12" a="1"/>
  <c r="U528" i="12" s="1"/>
  <c r="U516" i="12" a="1"/>
  <c r="U516" i="12" s="1"/>
  <c r="U132" i="12" a="1"/>
  <c r="U132" i="12" s="1"/>
  <c r="U216" i="12" a="1"/>
  <c r="U216" i="12" s="1"/>
  <c r="U432" i="12" a="1"/>
  <c r="U432" i="12" s="1"/>
  <c r="U288" i="12" a="1"/>
  <c r="U288" i="12" s="1"/>
  <c r="U300" i="12" a="1"/>
  <c r="U300" i="12" s="1"/>
  <c r="U72" i="12" a="1"/>
  <c r="U72" i="12" s="1"/>
  <c r="U708" i="12" a="1"/>
  <c r="U708" i="12" s="1"/>
  <c r="U612" i="12" a="1"/>
  <c r="U612" i="12" s="1"/>
  <c r="U312" i="12" a="1"/>
  <c r="U312" i="12" s="1"/>
  <c r="U576" i="12" a="1"/>
  <c r="U576" i="12" s="1"/>
  <c r="U744" i="12" a="1"/>
  <c r="U744" i="12" s="1"/>
  <c r="U84" i="12" a="1"/>
  <c r="U84" i="12" s="1"/>
  <c r="U180" i="12" a="1"/>
  <c r="U180" i="12" s="1"/>
  <c r="U768" i="12" a="1"/>
  <c r="U768" i="12" s="1"/>
  <c r="U648" i="12" a="1"/>
  <c r="U648" i="12" s="1"/>
  <c r="U96" i="12" a="1"/>
  <c r="U96" i="12" s="1"/>
  <c r="U168" i="12" a="1"/>
  <c r="U168" i="12" s="1"/>
  <c r="U600" i="12" a="1"/>
  <c r="U600" i="12" s="1"/>
  <c r="U564" i="12" a="1"/>
  <c r="U564" i="12" s="1"/>
  <c r="U144" i="12" a="1"/>
  <c r="U144" i="12" s="1"/>
  <c r="U420" i="12" a="1"/>
  <c r="U420" i="12" s="1"/>
  <c r="U756" i="12" a="1"/>
  <c r="U756" i="12" s="1"/>
  <c r="U324" i="12" a="1"/>
  <c r="U324" i="12" s="1"/>
  <c r="U732" i="12" a="1"/>
  <c r="U732" i="12" s="1"/>
  <c r="U276" i="12" a="1"/>
  <c r="U276" i="12" s="1"/>
  <c r="U192" i="12" a="1"/>
  <c r="U192" i="12" s="1"/>
  <c r="U336" i="12" a="1"/>
  <c r="U336" i="12" s="1"/>
  <c r="U696" i="12" a="1"/>
  <c r="U696" i="12" s="1"/>
  <c r="U492" i="12" a="1"/>
  <c r="U492" i="12" s="1"/>
  <c r="U840" i="12" a="1"/>
  <c r="U840" i="12" s="1"/>
  <c r="U588" i="12" a="1"/>
  <c r="U588" i="12" s="1"/>
  <c r="U720" i="12" a="1"/>
  <c r="U720" i="12" s="1"/>
  <c r="U480" i="12" a="1"/>
  <c r="U480" i="12" s="1"/>
  <c r="U456" i="12" a="1"/>
  <c r="U456" i="12" s="1"/>
  <c r="U624" i="12" a="1"/>
  <c r="U624" i="12" s="1"/>
  <c r="U468" i="12" a="1"/>
  <c r="U468" i="12" s="1"/>
  <c r="U444" i="12" a="1"/>
  <c r="U444" i="12" s="1"/>
  <c r="U108" i="12" a="1"/>
  <c r="U108" i="12" s="1"/>
  <c r="U543" i="12" a="1"/>
  <c r="U543" i="12" s="1"/>
  <c r="U303" i="12" a="1"/>
  <c r="U303" i="12" s="1"/>
  <c r="U375" i="12" a="1"/>
  <c r="U375" i="12" s="1"/>
  <c r="U471" i="12" a="1"/>
  <c r="U471" i="12" s="1"/>
  <c r="U855" i="12" a="1"/>
  <c r="U855" i="12" s="1"/>
  <c r="U315" i="12" a="1"/>
  <c r="U315" i="12" s="1"/>
  <c r="U399" i="12" a="1"/>
  <c r="U399" i="12" s="1"/>
  <c r="U135" i="12" a="1"/>
  <c r="U135" i="12" s="1"/>
  <c r="U483" i="12" a="1"/>
  <c r="U483" i="12" s="1"/>
  <c r="U387" i="12" a="1"/>
  <c r="U387" i="12" s="1"/>
  <c r="U723" i="12" a="1"/>
  <c r="U723" i="12" s="1"/>
  <c r="U711" i="12" a="1"/>
  <c r="U711" i="12" s="1"/>
  <c r="U111" i="12" a="1"/>
  <c r="U111" i="12" s="1"/>
  <c r="U843" i="12" a="1"/>
  <c r="U843" i="12" s="1"/>
  <c r="U243" i="12" a="1"/>
  <c r="U243" i="12" s="1"/>
  <c r="U63" i="12" a="1"/>
  <c r="U63" i="12" s="1"/>
  <c r="U735" i="12" a="1"/>
  <c r="U735" i="12" s="1"/>
  <c r="U579" i="12" a="1"/>
  <c r="U579" i="12" s="1"/>
  <c r="U567" i="12" a="1"/>
  <c r="U567" i="12" s="1"/>
  <c r="U699" i="12" a="1"/>
  <c r="U699" i="12" s="1"/>
  <c r="U591" i="12" a="1"/>
  <c r="U591" i="12" s="1"/>
  <c r="U183" i="12" a="1"/>
  <c r="U183" i="12" s="1"/>
  <c r="U603" i="12" a="1"/>
  <c r="U603" i="12" s="1"/>
  <c r="U219" i="12" a="1"/>
  <c r="U219" i="12" s="1"/>
  <c r="U435" i="12" a="1"/>
  <c r="U435" i="12" s="1"/>
  <c r="U423" i="12" a="1"/>
  <c r="U423" i="12" s="1"/>
  <c r="U555" i="12" a="1"/>
  <c r="U555" i="12" s="1"/>
  <c r="U267" i="12" a="1"/>
  <c r="U267" i="12" s="1"/>
  <c r="U447" i="12" a="1"/>
  <c r="U447" i="12" s="1"/>
  <c r="U279" i="12" a="1"/>
  <c r="U279" i="12" s="1"/>
  <c r="U747" i="12" a="1"/>
  <c r="U747" i="12" s="1"/>
  <c r="U411" i="12" a="1"/>
  <c r="U411" i="12" s="1"/>
  <c r="U99" i="12" a="1"/>
  <c r="U99" i="12" s="1"/>
  <c r="U687" i="12" a="1"/>
  <c r="U687" i="12" s="1"/>
  <c r="U255" i="12" a="1"/>
  <c r="U255" i="12" s="1"/>
  <c r="U159" i="12" a="1"/>
  <c r="U159" i="12" s="1"/>
  <c r="U651" i="12" a="1"/>
  <c r="U651" i="12" s="1"/>
  <c r="U783" i="12" a="1"/>
  <c r="U783" i="12" s="1"/>
  <c r="U123" i="12" a="1"/>
  <c r="U123" i="12" s="1"/>
  <c r="U195" i="12" a="1"/>
  <c r="U195" i="12" s="1"/>
  <c r="U531" i="12" a="1"/>
  <c r="U531" i="12" s="1"/>
  <c r="U459" i="12" a="1"/>
  <c r="U459" i="12" s="1"/>
  <c r="U327" i="12" a="1"/>
  <c r="U327" i="12" s="1"/>
  <c r="U831" i="12" a="1"/>
  <c r="U831" i="12" s="1"/>
  <c r="U675" i="12" a="1"/>
  <c r="U675" i="12" s="1"/>
  <c r="U639" i="12" a="1"/>
  <c r="U639" i="12" s="1"/>
  <c r="U75" i="12" a="1"/>
  <c r="U75" i="12" s="1"/>
  <c r="U291" i="12" a="1"/>
  <c r="U291" i="12" s="1"/>
  <c r="U819" i="12" a="1"/>
  <c r="U819" i="12" s="1"/>
  <c r="U519" i="12" a="1"/>
  <c r="U519" i="12" s="1"/>
  <c r="U771" i="12" a="1"/>
  <c r="U771" i="12" s="1"/>
  <c r="U507" i="12" a="1"/>
  <c r="U507" i="12" s="1"/>
  <c r="U147" i="12" a="1"/>
  <c r="U147" i="12" s="1"/>
  <c r="U663" i="12" a="1"/>
  <c r="U663" i="12" s="1"/>
  <c r="U495" i="12" a="1"/>
  <c r="U495" i="12" s="1"/>
  <c r="U627" i="12" a="1"/>
  <c r="U627" i="12" s="1"/>
  <c r="U363" i="12" a="1"/>
  <c r="U363" i="12" s="1"/>
  <c r="U87" i="12" a="1"/>
  <c r="U87" i="12" s="1"/>
  <c r="U351" i="12" a="1"/>
  <c r="U351" i="12" s="1"/>
  <c r="U795" i="12" a="1"/>
  <c r="U795" i="12" s="1"/>
  <c r="U171" i="12" a="1"/>
  <c r="U171" i="12" s="1"/>
  <c r="U759" i="12" a="1"/>
  <c r="U759" i="12" s="1"/>
  <c r="U231" i="12" a="1"/>
  <c r="U231" i="12" s="1"/>
  <c r="U807" i="12" a="1"/>
  <c r="U807" i="12" s="1"/>
  <c r="U207" i="12" a="1"/>
  <c r="U207" i="12" s="1"/>
  <c r="U339" i="12" a="1"/>
  <c r="U339" i="12" s="1"/>
  <c r="U615" i="12" a="1"/>
  <c r="U615" i="12" s="1"/>
  <c r="U92" i="12" a="1"/>
  <c r="U92" i="12" s="1"/>
  <c r="U308" i="12" a="1"/>
  <c r="U308" i="12" s="1"/>
  <c r="U284" i="12" a="1"/>
  <c r="U284" i="12" s="1"/>
  <c r="U464" i="12" a="1"/>
  <c r="U464" i="12" s="1"/>
  <c r="U296" i="12" a="1"/>
  <c r="U296" i="12" s="1"/>
  <c r="U428" i="12" a="1"/>
  <c r="U428" i="12" s="1"/>
  <c r="U188" i="12" a="1"/>
  <c r="U188" i="12" s="1"/>
  <c r="U320" i="12" a="1"/>
  <c r="U320" i="12" s="1"/>
  <c r="U80" i="12" a="1"/>
  <c r="U80" i="12" s="1"/>
  <c r="U392" i="12" a="1"/>
  <c r="U392" i="12" s="1"/>
  <c r="U572" i="12" a="1"/>
  <c r="U572" i="12" s="1"/>
  <c r="U560" i="12" a="1"/>
  <c r="U560" i="12" s="1"/>
  <c r="U140" i="12" a="1"/>
  <c r="U140" i="12" s="1"/>
  <c r="U176" i="12" a="1"/>
  <c r="U176" i="12" s="1"/>
  <c r="U104" i="12" a="1"/>
  <c r="U104" i="12" s="1"/>
  <c r="U740" i="12" a="1"/>
  <c r="U740" i="12" s="1"/>
  <c r="U728" i="12" a="1"/>
  <c r="U728" i="12" s="1"/>
  <c r="U272" i="12" a="1"/>
  <c r="U272" i="12" s="1"/>
  <c r="U164" i="12" a="1"/>
  <c r="U164" i="12" s="1"/>
  <c r="U620" i="12" a="1"/>
  <c r="U620" i="12" s="1"/>
  <c r="U200" i="12" a="1"/>
  <c r="U200" i="12" s="1"/>
  <c r="U596" i="12" a="1"/>
  <c r="U596" i="12" s="1"/>
  <c r="U584" i="12" a="1"/>
  <c r="U584" i="12" s="1"/>
  <c r="U128" i="12" a="1"/>
  <c r="U128" i="12" s="1"/>
  <c r="U716" i="12" a="1"/>
  <c r="U716" i="12" s="1"/>
  <c r="U608" i="12" a="1"/>
  <c r="U608" i="12" s="1"/>
  <c r="U452" i="12" a="1"/>
  <c r="U452" i="12" s="1"/>
  <c r="U764" i="12" a="1"/>
  <c r="U764" i="12" s="1"/>
  <c r="U440" i="12" a="1"/>
  <c r="U440" i="12" s="1"/>
  <c r="U752" i="12" a="1"/>
  <c r="U752" i="12" s="1"/>
  <c r="U224" i="12" a="1"/>
  <c r="U224" i="12" s="1"/>
  <c r="U260" i="12" a="1"/>
  <c r="U260" i="12" s="1"/>
  <c r="U824" i="12" a="1"/>
  <c r="U824" i="12" s="1"/>
  <c r="U356" i="12" a="1"/>
  <c r="U356" i="12" s="1"/>
  <c r="U632" i="12" a="1"/>
  <c r="U632" i="12" s="1"/>
  <c r="U404" i="12" a="1"/>
  <c r="U404" i="12" s="1"/>
  <c r="U116" i="12" a="1"/>
  <c r="U116" i="12" s="1"/>
  <c r="U668" i="12" a="1"/>
  <c r="U668" i="12" s="1"/>
  <c r="U488" i="12" a="1"/>
  <c r="U488" i="12" s="1"/>
  <c r="U548" i="12" a="1"/>
  <c r="U548" i="12" s="1"/>
  <c r="U236" i="12" a="1"/>
  <c r="U236" i="12" s="1"/>
  <c r="U416" i="12" a="1"/>
  <c r="U416" i="12" s="1"/>
  <c r="U692" i="12" a="1"/>
  <c r="U692" i="12" s="1"/>
  <c r="U800" i="12" a="1"/>
  <c r="U800" i="12" s="1"/>
  <c r="U344" i="12" a="1"/>
  <c r="U344" i="12" s="1"/>
  <c r="U56" i="12" a="1"/>
  <c r="U56" i="12" s="1"/>
  <c r="U704" i="12" a="1"/>
  <c r="U704" i="12" s="1"/>
  <c r="U332" i="12" a="1"/>
  <c r="U332" i="12" s="1"/>
  <c r="U536" i="12" a="1"/>
  <c r="U536" i="12" s="1"/>
  <c r="U152" i="12" a="1"/>
  <c r="U152" i="12" s="1"/>
  <c r="U836" i="12" a="1"/>
  <c r="U836" i="12" s="1"/>
  <c r="U248" i="12" a="1"/>
  <c r="U248" i="12" s="1"/>
  <c r="U524" i="12" a="1"/>
  <c r="U524" i="12" s="1"/>
  <c r="U656" i="12" a="1"/>
  <c r="U656" i="12" s="1"/>
  <c r="U788" i="12" a="1"/>
  <c r="U788" i="12" s="1"/>
  <c r="U212" i="12" a="1"/>
  <c r="U212" i="12" s="1"/>
  <c r="U476" i="12" a="1"/>
  <c r="U476" i="12" s="1"/>
  <c r="U680" i="12" a="1"/>
  <c r="U680" i="12" s="1"/>
  <c r="U512" i="12" a="1"/>
  <c r="U512" i="12" s="1"/>
  <c r="U644" i="12" a="1"/>
  <c r="U644" i="12" s="1"/>
  <c r="U848" i="12" a="1"/>
  <c r="U848" i="12" s="1"/>
  <c r="U380" i="12" a="1"/>
  <c r="U380" i="12" s="1"/>
  <c r="U68" i="12" a="1"/>
  <c r="U68" i="12" s="1"/>
  <c r="U776" i="12" a="1"/>
  <c r="U776" i="12" s="1"/>
  <c r="U812" i="12" a="1"/>
  <c r="U812" i="12" s="1"/>
  <c r="U368" i="12" a="1"/>
  <c r="U368" i="12" s="1"/>
  <c r="U500" i="12" a="1"/>
  <c r="U500" i="12" s="1"/>
  <c r="U58" i="12" a="1"/>
  <c r="U58" i="12" s="1"/>
  <c r="U778" i="12" a="1"/>
  <c r="U778" i="12" s="1"/>
  <c r="U454" i="12" a="1"/>
  <c r="U454" i="12" s="1"/>
  <c r="U790" i="12" a="1"/>
  <c r="U790" i="12" s="1"/>
  <c r="U850" i="12" a="1"/>
  <c r="U850" i="12" s="1"/>
  <c r="U118" i="12" a="1"/>
  <c r="U118" i="12" s="1"/>
  <c r="U190" i="12" a="1"/>
  <c r="U190" i="12" s="1"/>
  <c r="U322" i="12" a="1"/>
  <c r="U322" i="12" s="1"/>
  <c r="U634" i="12" a="1"/>
  <c r="U634" i="12" s="1"/>
  <c r="U670" i="12" a="1"/>
  <c r="U670" i="12" s="1"/>
  <c r="U310" i="12" a="1"/>
  <c r="U310" i="12" s="1"/>
  <c r="U802" i="12" a="1"/>
  <c r="U802" i="12" s="1"/>
  <c r="U526" i="12" a="1"/>
  <c r="U526" i="12" s="1"/>
  <c r="U646" i="12" a="1"/>
  <c r="U646" i="12" s="1"/>
  <c r="U766" i="12" a="1"/>
  <c r="U766" i="12" s="1"/>
  <c r="U130" i="12" a="1"/>
  <c r="U130" i="12" s="1"/>
  <c r="U658" i="12" a="1"/>
  <c r="U658" i="12" s="1"/>
  <c r="U502" i="12" a="1"/>
  <c r="U502" i="12" s="1"/>
  <c r="U490" i="12" a="1"/>
  <c r="U490" i="12" s="1"/>
  <c r="U334" i="12" a="1"/>
  <c r="U334" i="12" s="1"/>
  <c r="U622" i="12" a="1"/>
  <c r="U622" i="12" s="1"/>
  <c r="U250" i="12" a="1"/>
  <c r="U250" i="12" s="1"/>
  <c r="U514" i="12" a="1"/>
  <c r="U514" i="12" s="1"/>
  <c r="U358" i="12" a="1"/>
  <c r="U358" i="12" s="1"/>
  <c r="U346" i="12" a="1"/>
  <c r="U346" i="12" s="1"/>
  <c r="U478" i="12" a="1"/>
  <c r="U478" i="12" s="1"/>
  <c r="U70" i="12" a="1"/>
  <c r="U70" i="12" s="1"/>
  <c r="U214" i="12" a="1"/>
  <c r="U214" i="12" s="1"/>
  <c r="U382" i="12" a="1"/>
  <c r="U382" i="12" s="1"/>
  <c r="U370" i="12" a="1"/>
  <c r="U370" i="12" s="1"/>
  <c r="U262" i="12" a="1"/>
  <c r="U262" i="12" s="1"/>
  <c r="U202" i="12" a="1"/>
  <c r="U202" i="12" s="1"/>
  <c r="U610" i="12" a="1"/>
  <c r="U610" i="12" s="1"/>
  <c r="U226" i="12" a="1"/>
  <c r="U226" i="12" s="1"/>
  <c r="U466" i="12" a="1"/>
  <c r="U466" i="12" s="1"/>
  <c r="U106" i="12" a="1"/>
  <c r="U106" i="12" s="1"/>
  <c r="U238" i="12" a="1"/>
  <c r="U238" i="12" s="1"/>
  <c r="U730" i="12" a="1"/>
  <c r="U730" i="12" s="1"/>
  <c r="U142" i="12" a="1"/>
  <c r="U142" i="12" s="1"/>
  <c r="U706" i="12" a="1"/>
  <c r="U706" i="12" s="1"/>
  <c r="U838" i="12" a="1"/>
  <c r="U838" i="12" s="1"/>
  <c r="U298" i="12" a="1"/>
  <c r="U298" i="12" s="1"/>
  <c r="U694" i="12" a="1"/>
  <c r="U694" i="12" s="1"/>
  <c r="U562" i="12" a="1"/>
  <c r="U562" i="12" s="1"/>
  <c r="U826" i="12" a="1"/>
  <c r="U826" i="12" s="1"/>
  <c r="U430" i="12" a="1"/>
  <c r="U430" i="12" s="1"/>
  <c r="U178" i="12" a="1"/>
  <c r="U178" i="12" s="1"/>
  <c r="U814" i="12" a="1"/>
  <c r="U814" i="12" s="1"/>
  <c r="U166" i="12" a="1"/>
  <c r="U166" i="12" s="1"/>
  <c r="U82" i="12" a="1"/>
  <c r="U82" i="12" s="1"/>
  <c r="U418" i="12" a="1"/>
  <c r="U418" i="12" s="1"/>
  <c r="U550" i="12" a="1"/>
  <c r="U550" i="12" s="1"/>
  <c r="U154" i="12" a="1"/>
  <c r="U154" i="12" s="1"/>
  <c r="U406" i="12" a="1"/>
  <c r="U406" i="12" s="1"/>
  <c r="U598" i="12" a="1"/>
  <c r="U598" i="12" s="1"/>
  <c r="U442" i="12" a="1"/>
  <c r="U442" i="12" s="1"/>
  <c r="U274" i="12" a="1"/>
  <c r="U274" i="12" s="1"/>
  <c r="U682" i="12" a="1"/>
  <c r="U682" i="12" s="1"/>
  <c r="U742" i="12" a="1"/>
  <c r="U742" i="12" s="1"/>
  <c r="U718" i="12" a="1"/>
  <c r="U718" i="12" s="1"/>
  <c r="U754" i="12" a="1"/>
  <c r="U754" i="12" s="1"/>
  <c r="U586" i="12" a="1"/>
  <c r="U586" i="12" s="1"/>
  <c r="U286" i="12" a="1"/>
  <c r="U286" i="12" s="1"/>
  <c r="U538" i="12" a="1"/>
  <c r="U538" i="12" s="1"/>
  <c r="U94" i="12" a="1"/>
  <c r="U94" i="12" s="1"/>
  <c r="U574" i="12" a="1"/>
  <c r="U574" i="12" s="1"/>
  <c r="U394" i="12" a="1"/>
  <c r="U394" i="12" s="1"/>
  <c r="AJ60" i="12" a="1"/>
  <c r="AJ60" i="12" s="1"/>
  <c r="AJ64" i="12" a="1"/>
  <c r="AJ64" i="12" s="1"/>
  <c r="AJ59" i="12" a="1"/>
  <c r="AJ59" i="12" s="1"/>
  <c r="AJ57" i="12" a="1"/>
  <c r="AJ57" i="12" s="1"/>
  <c r="AJ61" i="12" a="1"/>
  <c r="AJ61" i="12" s="1"/>
  <c r="R2" i="18" a="1"/>
  <c r="R2" i="18" s="1"/>
  <c r="AJ63" i="12" a="1"/>
  <c r="AJ63" i="12" s="1"/>
  <c r="AJ56" i="12" a="1"/>
  <c r="AJ56" i="12" s="1"/>
  <c r="AJ55" i="12" a="1"/>
  <c r="AJ55" i="12" s="1"/>
  <c r="AJ54" i="12" a="1"/>
  <c r="AJ54" i="12" s="1"/>
  <c r="AJ58" i="12" a="1"/>
  <c r="AJ58" i="12" s="1"/>
  <c r="AJ62" i="12" a="1"/>
  <c r="AJ62" i="12" s="1"/>
  <c r="AC5" i="18" l="1" a="1"/>
  <c r="AC5" i="18" s="1"/>
  <c r="AC10" i="18" a="1"/>
  <c r="AC10" i="18" s="1"/>
  <c r="AC2" i="18" a="1"/>
  <c r="AC2" i="18" s="1"/>
  <c r="AC9" i="18" a="1"/>
  <c r="AC9" i="18" s="1"/>
  <c r="AC3" i="18" a="1"/>
  <c r="AC3" i="18" s="1"/>
  <c r="AC4" i="18" a="1"/>
  <c r="AC4" i="18" s="1"/>
  <c r="AC12" i="18" a="1"/>
  <c r="AC12" i="18" s="1"/>
  <c r="AE3" i="18" a="1"/>
  <c r="AE3" i="18" s="1"/>
  <c r="AD11" i="18" a="1"/>
  <c r="AD11" i="18" s="1"/>
  <c r="AE11" i="18" a="1"/>
  <c r="AE11" i="18" s="1"/>
  <c r="AC11" i="18" a="1"/>
  <c r="AC11" i="18" s="1"/>
  <c r="AC6" i="18" a="1"/>
  <c r="AC6" i="18" s="1"/>
  <c r="AC7" i="18" a="1"/>
  <c r="AC7" i="18" s="1"/>
  <c r="AE2" i="18" a="1"/>
  <c r="AE2" i="18" s="1"/>
  <c r="AE12" i="18" a="1"/>
  <c r="AE12" i="18" s="1"/>
  <c r="AD7" i="18" a="1"/>
  <c r="AD7" i="18" s="1"/>
  <c r="AE9" i="18" a="1"/>
  <c r="AE9" i="18" s="1"/>
  <c r="AD5" i="18" a="1"/>
  <c r="AD5" i="18" s="1"/>
  <c r="AE7" i="18" a="1"/>
  <c r="AE7" i="18" s="1"/>
  <c r="AD3" i="18" a="1"/>
  <c r="AD3" i="18" s="1"/>
  <c r="AD4" i="18" a="1"/>
  <c r="AD4" i="18" s="1"/>
  <c r="AD6" i="18" a="1"/>
  <c r="AD6" i="18" s="1"/>
  <c r="AE5" i="18" a="1"/>
  <c r="AE5" i="18" s="1"/>
  <c r="AD8" i="18" a="1"/>
  <c r="AD8" i="18" s="1"/>
  <c r="AE6" i="18" a="1"/>
  <c r="AE6" i="18" s="1"/>
  <c r="AD10" i="18" a="1"/>
  <c r="AD10" i="18" s="1"/>
  <c r="AE4" i="18" a="1"/>
  <c r="AE4" i="18" s="1"/>
  <c r="AD9" i="18" a="1"/>
  <c r="AD9" i="18" s="1"/>
  <c r="AD2" i="18" a="1"/>
  <c r="AD2" i="18" s="1"/>
  <c r="AE8" i="18" a="1"/>
  <c r="AE8" i="18" s="1"/>
  <c r="AD12" i="18" a="1"/>
  <c r="AD12" i="18" s="1"/>
  <c r="AE10" i="18" a="1"/>
  <c r="AE10" i="18" s="1"/>
  <c r="AC8" i="18" a="1"/>
  <c r="AC8" i="18" s="1"/>
  <c r="S2"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tc={70E63DC2-D616-4EF8-88F4-6569CCCF2B18}</author>
    <author>tc={EEF69B8E-E411-49A6-B858-1B9FC4949B17}</author>
  </authors>
  <commentList>
    <comment ref="D97" authorId="0" shapeId="0" xr:uid="{70E63DC2-D616-4EF8-88F4-6569CCCF2B18}">
      <text>
        <t xml:space="preserve">[Threaded comment]
Your version of Excel allows you to read this threaded comment; however, any edits to it will get removed if the file is opened in a newer version of Excel. Learn more: https://go.microsoft.com/fwlink/?linkid=870924
Comment:
    Drafting the explanation
The user needs to know more about lime, especially for agricultural use, and the key benefits it brings. I’m thinking of highlighting how it raises pH, provides calcium and magnesium, and improves nutrient availability, soil structure, and microbial activity. I’ll include types like dolomitic lime and hydrated lime and discuss uses for fields, pastures, and gardens. Also, I’ll talk about how to apply lime—things like timing, particle size, and neutralizing value. I’ll organize everything in clear paragraphs, and use bullet points for the benefits. Then we’ll wrap it up! Agricultural lime (aglime) is a soil amendment made primarily from pulverized limestone or chalk, whose main component is calcium carbonate (CaCO₃). Its key role in agronomy is to correct soil acidity and improve overall soil health.
Why Lime Matters
• pH regulation: Raises soil pH by neutralizing hydrogen and aluminum ions, turning acidic soils toward neutral or slightly alkaline conditions.
• Nutrient availability: By reducing acidity, it unlocks essential nutrients (N, P, K) that become less available in low-pH soils.
• Calcium and magnesium source: Depending on its composition, lime supplies calcium and, in the case of dolomitic lime, magnesium, both critical plant nutrients.
• Soil structure and biology: Improves soil aggregation for better aeration and water infiltration, and fosters beneficial microbial activity crucial for nutrient cycling.
Types of Agricultural Lime
• Calcitic lime: Almost pure CaCO₃, highest neutralizing power.
• Dolomitic lime: Contains CaCO₃ and MgCO₃, adds magnesium to the soil.
• Hydrated lime (Ca(OH)₂) or quicklime (CaO): Faster-acting but caustic; used less often in broadacre fields due to handling and cost.
Application Recommendations
• Particle size: Finer particles react faster; aim for a loaf-pan or soil-pH-test–specified mesh size.
• Timing: Apply and incorporate at least several weeks before planting to allow microbial oxidation and full reaction.
• Rates: Determined by target pH, soil buffer capacity, and Effective Neutralizing Value (ENV) of the lime. Soil tests and liming tables guide exact t/ha rates.
By incorporating agricultural lime appropriately, farmers can turn acid-bound fields into highly productive ground, increasing yield potential and improving long-term soil resilience.
</t>
      </text>
    </comment>
    <comment ref="D98" authorId="1" shapeId="0" xr:uid="{EEF69B8E-E411-49A6-B858-1B9FC4949B17}">
      <text>
        <t xml:space="preserve">[Threaded comment]
Your version of Excel allows you to read this threaded comment; however, any edits to it will get removed if the file is opened in a newer version of Excel. Learn more: https://go.microsoft.com/fwlink/?linkid=870924
Comment:
    Explaining elemental sulfur
Alright, the user wants a simple explanation of elemental sulfur, so I’ll keep it straightforward. Elemental sulfur, in its pure form, is a yellow solid and is used in agriculture to acidify soil. It's also useful for reclaiming sodic soils and needs microbial oxidation to be effective. I’ll mention that it’s distinct from sulfate sulfur and that it can be used as a fertilizer. no need for citations here since the user didn’t ask for them. Let me wrap that up concisely. Elemental sulfur (S⁰) is the pure, insoluble form of sulfur used in agriculture primarily to lower soil pH and supply sulfur nutrition slowly over time. It appears as a yellow, inert, crystalline powder that doesn’t dissolve in water. Once incorporated into soil, indigenous microbes oxidize S⁰ into sulfate (SO₄²⁻), the form plants can absorb.
Key points:
Slow-release acidity: Microbial oxidation of S⁰ produces sulfuric acid, which lowers soil pH—useful for reclaiming alkaline or sodic soils.
Nutrient source: As it converts to sulfate, elemental S becomes a long-term sulfur fertilizer, supporting crop needs without the leaching losses of soluble sulfate sources.
Particle size matters: Finer S⁰ particles oxidize faster and more uniformly, so agricultural products are often ground to maximize surface area.
Application timing: Best applied and incorporated into soil well before planting (ideally several weeks to months ahead) to allow oxidation to occur.
In practice, you’ll see recommendations like “Apply 0.5 t/ha elemental S” to correct mild alkalinity or supply 10–40 kg SO₃-equivalent of sulfur for various crops, depending on their specific S requirements.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<sst xmlns="http://schemas.openxmlformats.org/spreadsheetml/2006/main" count="2184" uniqueCount="342">
  <si>
    <t>Sand</t>
  </si>
  <si>
    <t>Loamy Sand</t>
  </si>
  <si>
    <t>Sandy Loam</t>
  </si>
  <si>
    <t>Loam</t>
  </si>
  <si>
    <t>Silt Loam</t>
  </si>
  <si>
    <t>Silt</t>
  </si>
  <si>
    <t>Clay</t>
  </si>
  <si>
    <t>Sandy Clay</t>
  </si>
  <si>
    <t>Sandy Clay Loam</t>
  </si>
  <si>
    <t>Clay Loam</t>
  </si>
  <si>
    <t>Soil Data (The % of volumetric soil moisture content remaining at field capacity)</t>
  </si>
  <si>
    <t>Field Capacity</t>
  </si>
  <si>
    <t>Wilting Point</t>
  </si>
  <si>
    <t>TAW</t>
  </si>
  <si>
    <t>RAW</t>
  </si>
  <si>
    <t>Drainage</t>
  </si>
  <si>
    <t>Rapid</t>
  </si>
  <si>
    <t>Frequent, Short Cycles</t>
  </si>
  <si>
    <t>Good</t>
  </si>
  <si>
    <t>Frequent, Moderate Cycles</t>
  </si>
  <si>
    <t>Irrigation Needs</t>
  </si>
  <si>
    <t>Moderate</t>
  </si>
  <si>
    <t>Moderate frequency Cycles</t>
  </si>
  <si>
    <t>Balanced Frequency and Duration</t>
  </si>
  <si>
    <t>Slow</t>
  </si>
  <si>
    <t>Infrequent, Long Cycles</t>
  </si>
  <si>
    <t>Less frequent, Longer Cycles</t>
  </si>
  <si>
    <t>Moderate frequency, Longer Cycles</t>
  </si>
  <si>
    <t>Very Slow</t>
  </si>
  <si>
    <t>Very Frequency, Very Long Cycles</t>
  </si>
  <si>
    <t>Soil Characteristic</t>
  </si>
  <si>
    <t>Nitrogen (N)</t>
  </si>
  <si>
    <t>Phosphorus (P)</t>
  </si>
  <si>
    <t>Potassium (K)</t>
  </si>
  <si>
    <t>pH</t>
  </si>
  <si>
    <t>EC</t>
  </si>
  <si>
    <t>Optimal Level of Nutrients per Soil Type @ 15cm Soil Depth</t>
  </si>
  <si>
    <t>Saturation</t>
  </si>
  <si>
    <t>Silty Clay</t>
  </si>
  <si>
    <t>N</t>
  </si>
  <si>
    <t>P</t>
  </si>
  <si>
    <t>K</t>
  </si>
  <si>
    <t>Moisture %</t>
  </si>
  <si>
    <t>Moisture</t>
  </si>
  <si>
    <t>g/cm3</t>
  </si>
  <si>
    <t>OM</t>
  </si>
  <si>
    <t>Particle Density</t>
  </si>
  <si>
    <t>1. Sensor Raw Data Input</t>
  </si>
  <si>
    <t>Parameter</t>
  </si>
  <si>
    <t>Raw Value</t>
  </si>
  <si>
    <t>Formula Used</t>
  </si>
  <si>
    <t>°C</t>
  </si>
  <si>
    <t>Conductivity</t>
  </si>
  <si>
    <t>dS/m</t>
  </si>
  <si>
    <t>Soil Texture Classification:</t>
  </si>
  <si>
    <t>Ranges</t>
  </si>
  <si>
    <t>Sand (%)</t>
  </si>
  <si>
    <t>Silt (%)</t>
  </si>
  <si>
    <t>Clay (%)</t>
  </si>
  <si>
    <t>Nopt_Min</t>
  </si>
  <si>
    <t>Nopt_Max</t>
  </si>
  <si>
    <t>Popt_Min</t>
  </si>
  <si>
    <t>Popt_Max</t>
  </si>
  <si>
    <t>Kopt_Min</t>
  </si>
  <si>
    <t>Kopt_Max</t>
  </si>
  <si>
    <t>Moisture %:</t>
  </si>
  <si>
    <t>%</t>
  </si>
  <si>
    <t>Latitude</t>
  </si>
  <si>
    <t>Longitude</t>
  </si>
  <si>
    <t>Texture</t>
  </si>
  <si>
    <t>Test No</t>
  </si>
  <si>
    <t>Soil Temperature:</t>
  </si>
  <si>
    <t>SoilTemp_Min</t>
  </si>
  <si>
    <t>SoilTemp_Max</t>
  </si>
  <si>
    <t>Texture Factor:</t>
  </si>
  <si>
    <t>Saturation_min</t>
  </si>
  <si>
    <t>EC_Factor</t>
  </si>
  <si>
    <t>Bias</t>
  </si>
  <si>
    <t>Revised FC &amp; WP</t>
  </si>
  <si>
    <t>FC - Check</t>
  </si>
  <si>
    <t>WP - Check</t>
  </si>
  <si>
    <t>Silty Clay Loam</t>
  </si>
  <si>
    <t>Saturation_max</t>
  </si>
  <si>
    <t>Index</t>
  </si>
  <si>
    <t>Confidence</t>
  </si>
  <si>
    <t>Slope</t>
  </si>
  <si>
    <t>Intercept</t>
  </si>
  <si>
    <t>Unit</t>
  </si>
  <si>
    <t>mg/kg</t>
  </si>
  <si>
    <t>ScaleFactor</t>
  </si>
  <si>
    <t>SoilTemp</t>
  </si>
  <si>
    <t>Offset</t>
  </si>
  <si>
    <t>NutriCal Table</t>
  </si>
  <si>
    <t>Texture Calibration</t>
  </si>
  <si>
    <t>N_Mean</t>
  </si>
  <si>
    <t>N_StdDev</t>
  </si>
  <si>
    <t>P_Mean</t>
  </si>
  <si>
    <t>P_StdDev</t>
  </si>
  <si>
    <t>K_Mean</t>
  </si>
  <si>
    <t>K_StdDev</t>
  </si>
  <si>
    <t>EC_Mean</t>
  </si>
  <si>
    <t>EC_StdDev</t>
  </si>
  <si>
    <t>pH_Mean</t>
  </si>
  <si>
    <t>pH_StdDev</t>
  </si>
  <si>
    <t>Moisture_Mean</t>
  </si>
  <si>
    <t>Moisture_StdDev</t>
  </si>
  <si>
    <t>Temp_Mean</t>
  </si>
  <si>
    <t>Temp_StdDev</t>
  </si>
  <si>
    <t>Sand_Mean</t>
  </si>
  <si>
    <t>Sand_StdDev</t>
  </si>
  <si>
    <t>Silt_Mean</t>
  </si>
  <si>
    <t>Silt_StdDev</t>
  </si>
  <si>
    <t>Clay_Mean</t>
  </si>
  <si>
    <t>Clay_StdDev</t>
  </si>
  <si>
    <t>Total Moisture Content</t>
  </si>
  <si>
    <t>Regime</t>
  </si>
  <si>
    <t>CN_Ratio</t>
  </si>
  <si>
    <t>Irrigated</t>
  </si>
  <si>
    <t>Rainfed</t>
  </si>
  <si>
    <t>Drought</t>
  </si>
  <si>
    <t>Region:</t>
  </si>
  <si>
    <t>N_Effective (ppm):</t>
  </si>
  <si>
    <t>P_Effective (ppm):</t>
  </si>
  <si>
    <t>K_Effective (ppm):</t>
  </si>
  <si>
    <t>Level</t>
  </si>
  <si>
    <t>Min</t>
  </si>
  <si>
    <t>Max</t>
  </si>
  <si>
    <t>Low</t>
  </si>
  <si>
    <t>High</t>
  </si>
  <si>
    <t>Fertility Level:</t>
  </si>
  <si>
    <t>Deficiency %</t>
  </si>
  <si>
    <t>Shortfall</t>
  </si>
  <si>
    <t>Results</t>
  </si>
  <si>
    <t>Environment:</t>
  </si>
  <si>
    <t>Soil Organic Carbon:</t>
  </si>
  <si>
    <t>Cation Exchange Capacity:</t>
  </si>
  <si>
    <t>Soil Carbon Stock:</t>
  </si>
  <si>
    <t>Mg/ha</t>
  </si>
  <si>
    <t>meq/100g</t>
  </si>
  <si>
    <t>Clay:</t>
  </si>
  <si>
    <t>CEC Typical (meq/100g)</t>
  </si>
  <si>
    <t>BD_Min (t/m³)</t>
  </si>
  <si>
    <t>BD_Max (t/m³)</t>
  </si>
  <si>
    <t>Porosity_Min %</t>
  </si>
  <si>
    <t>Porosity_Max %</t>
  </si>
  <si>
    <t>Clay %</t>
  </si>
  <si>
    <t>TF_StdDev</t>
  </si>
  <si>
    <t>TF_Center</t>
  </si>
  <si>
    <t>Porosity %</t>
  </si>
  <si>
    <t>Dosage Recommendation:</t>
  </si>
  <si>
    <t>Secondary Texture Class:</t>
  </si>
  <si>
    <t>Parameters</t>
  </si>
  <si>
    <t>C_N_Ratio</t>
  </si>
  <si>
    <t>OM (Fraction)</t>
  </si>
  <si>
    <t>Euclidean Distance</t>
  </si>
  <si>
    <t>Wheat</t>
  </si>
  <si>
    <t>Sand %</t>
  </si>
  <si>
    <t>Silt %</t>
  </si>
  <si>
    <t>Irrigation Cycles</t>
  </si>
  <si>
    <t>Minimum</t>
  </si>
  <si>
    <t>Maximum</t>
  </si>
  <si>
    <t>USDA Index</t>
  </si>
  <si>
    <t>BIAS</t>
  </si>
  <si>
    <t>USDA Scoring</t>
  </si>
  <si>
    <t>Blended Texture Class:</t>
  </si>
  <si>
    <t>Primary Texture Classification:</t>
  </si>
  <si>
    <t>Blended:</t>
  </si>
  <si>
    <t>Threshold %</t>
  </si>
  <si>
    <t>BandScore</t>
  </si>
  <si>
    <t>NormDist</t>
  </si>
  <si>
    <t>FinalScore</t>
  </si>
  <si>
    <t>Measurement</t>
  </si>
  <si>
    <t>Nitrate (NO3 -N)</t>
  </si>
  <si>
    <t>&lt; 11</t>
  </si>
  <si>
    <t>11 - 20</t>
  </si>
  <si>
    <t xml:space="preserve"> &gt; 20</t>
  </si>
  <si>
    <t>Phosphate (PO4 -P)</t>
  </si>
  <si>
    <t xml:space="preserve"> &lt; 4</t>
  </si>
  <si>
    <t xml:space="preserve"> 4 - 7</t>
  </si>
  <si>
    <t xml:space="preserve"> &gt; 7</t>
  </si>
  <si>
    <t>Potassium</t>
  </si>
  <si>
    <t>&lt; 60</t>
  </si>
  <si>
    <t xml:space="preserve"> 60 - 120</t>
  </si>
  <si>
    <t>Status</t>
  </si>
  <si>
    <t>Soil pH</t>
  </si>
  <si>
    <t>Saline</t>
  </si>
  <si>
    <t>Saline Sodic</t>
  </si>
  <si>
    <t>Sodic</t>
  </si>
  <si>
    <t>&gt; 4</t>
  </si>
  <si>
    <t>&lt; 8.5</t>
  </si>
  <si>
    <t>&gt; 8.5</t>
  </si>
  <si>
    <t>E.C (dS/m)</t>
  </si>
  <si>
    <t>&lt; 6.0 - 7.5</t>
  </si>
  <si>
    <t>Neutral</t>
  </si>
  <si>
    <t>&gt; 120</t>
  </si>
  <si>
    <t>&lt; 2</t>
  </si>
  <si>
    <t>Recommendation</t>
  </si>
  <si>
    <t>Lime (t/ha):</t>
  </si>
  <si>
    <t>Plant Available</t>
  </si>
  <si>
    <t>ppm</t>
  </si>
  <si>
    <t>CN_Ratio_Min</t>
  </si>
  <si>
    <t>CN_Ratio_Max</t>
  </si>
  <si>
    <t>N_Adjust</t>
  </si>
  <si>
    <t>Elemental S° (t/ha):</t>
  </si>
  <si>
    <t>Raw_Value</t>
  </si>
  <si>
    <t>Analyte</t>
  </si>
  <si>
    <t>SST-1</t>
  </si>
  <si>
    <t>SST-4</t>
  </si>
  <si>
    <t>SST-3</t>
  </si>
  <si>
    <t>SST-6</t>
  </si>
  <si>
    <t>SST-8</t>
  </si>
  <si>
    <t>SST-2</t>
  </si>
  <si>
    <t>SST-30</t>
  </si>
  <si>
    <t>SST-7</t>
  </si>
  <si>
    <t>SST-5</t>
  </si>
  <si>
    <t>SST-9</t>
  </si>
  <si>
    <t>SST-10</t>
  </si>
  <si>
    <t>SST-11</t>
  </si>
  <si>
    <t>SST-12</t>
  </si>
  <si>
    <t>SST-13</t>
  </si>
  <si>
    <t>SST-14</t>
  </si>
  <si>
    <t>SST-15</t>
  </si>
  <si>
    <t>SST-16</t>
  </si>
  <si>
    <t>SST-17</t>
  </si>
  <si>
    <t>SST-18</t>
  </si>
  <si>
    <t>SST-19</t>
  </si>
  <si>
    <t>SST-20</t>
  </si>
  <si>
    <t>SST-21</t>
  </si>
  <si>
    <t>SST-22</t>
  </si>
  <si>
    <t>SST-23</t>
  </si>
  <si>
    <t>SST-24</t>
  </si>
  <si>
    <t>SST-25</t>
  </si>
  <si>
    <t>SST-26</t>
  </si>
  <si>
    <t>SST-27</t>
  </si>
  <si>
    <t>SST-28</t>
  </si>
  <si>
    <t>SST-29</t>
  </si>
  <si>
    <t>Test ID:</t>
  </si>
  <si>
    <t>Distance</t>
  </si>
  <si>
    <t>Grid Index</t>
  </si>
  <si>
    <t>3721-6803</t>
  </si>
  <si>
    <t>Texture Class</t>
  </si>
  <si>
    <t>NW</t>
  </si>
  <si>
    <t>NE</t>
  </si>
  <si>
    <t>SW</t>
  </si>
  <si>
    <t>SE</t>
  </si>
  <si>
    <t>Points</t>
  </si>
  <si>
    <t>SST-35</t>
  </si>
  <si>
    <t>SST-36</t>
  </si>
  <si>
    <t>SST-37</t>
  </si>
  <si>
    <t>SST-38</t>
  </si>
  <si>
    <t>SST-39</t>
  </si>
  <si>
    <t>SST-40</t>
  </si>
  <si>
    <t>SST-41</t>
  </si>
  <si>
    <t>SST-42</t>
  </si>
  <si>
    <t>SST-43</t>
  </si>
  <si>
    <t>SST-44</t>
  </si>
  <si>
    <t>SST-45</t>
  </si>
  <si>
    <t>SST-46</t>
  </si>
  <si>
    <t>SST-47</t>
  </si>
  <si>
    <t>SST-48</t>
  </si>
  <si>
    <t>SST-49</t>
  </si>
  <si>
    <t>SST-50</t>
  </si>
  <si>
    <t>3712-6805</t>
  </si>
  <si>
    <t>3712-6804</t>
  </si>
  <si>
    <t>3707-6801</t>
  </si>
  <si>
    <t>SST-51</t>
  </si>
  <si>
    <t>SST-52</t>
  </si>
  <si>
    <t>SST-53</t>
  </si>
  <si>
    <t>SST-54</t>
  </si>
  <si>
    <t>SST-55</t>
  </si>
  <si>
    <t>SST-56</t>
  </si>
  <si>
    <t>SST-57</t>
  </si>
  <si>
    <t>SST-58</t>
  </si>
  <si>
    <t>SST-59</t>
  </si>
  <si>
    <t>SST-60</t>
  </si>
  <si>
    <t>SST-61</t>
  </si>
  <si>
    <t>SST-62</t>
  </si>
  <si>
    <t>SST-63</t>
  </si>
  <si>
    <t>SST-64</t>
  </si>
  <si>
    <t>SST-65</t>
  </si>
  <si>
    <t>SST-66</t>
  </si>
  <si>
    <t>SST-67</t>
  </si>
  <si>
    <t>3764-6745</t>
  </si>
  <si>
    <t>3764-6739</t>
  </si>
  <si>
    <t>3767-6731</t>
  </si>
  <si>
    <t>3772-6722</t>
  </si>
  <si>
    <t>3771-6722</t>
  </si>
  <si>
    <t>3783-6704</t>
  </si>
  <si>
    <t>3787-6693</t>
  </si>
  <si>
    <t>Samples on N = 0.5, 3. P = 0.35, 5 &amp; K = 0.85, 8, Euclidean Distance based on Plant Available</t>
  </si>
  <si>
    <t>Result</t>
  </si>
  <si>
    <t>Predicted_Base</t>
  </si>
  <si>
    <t>ManuChar_Lab</t>
  </si>
  <si>
    <t>Bari_Lab</t>
  </si>
  <si>
    <t>Tarnab_Lab</t>
  </si>
  <si>
    <t>S.No</t>
  </si>
  <si>
    <t>Centeroid</t>
  </si>
  <si>
    <t>Labs_Result</t>
  </si>
  <si>
    <t>Final_Results</t>
  </si>
  <si>
    <t>SST-31</t>
  </si>
  <si>
    <t>SST-32</t>
  </si>
  <si>
    <t>SST-33</t>
  </si>
  <si>
    <t>SST-34</t>
  </si>
  <si>
    <t>Sample_ID</t>
  </si>
  <si>
    <t>Abs_Tol</t>
  </si>
  <si>
    <t>Rel_Tol</t>
  </si>
  <si>
    <t>Raw_Factored</t>
  </si>
  <si>
    <t>Fit_P95_Tol</t>
  </si>
  <si>
    <t>Fit_Stdev_Tol</t>
  </si>
  <si>
    <t>Residual_Value</t>
  </si>
  <si>
    <t>Residual_Result</t>
  </si>
  <si>
    <t>Temperature</t>
  </si>
  <si>
    <t>Correct Samples</t>
  </si>
  <si>
    <t>Raw-Factored</t>
  </si>
  <si>
    <t>N_Min</t>
  </si>
  <si>
    <t>N_Max</t>
  </si>
  <si>
    <t>P_Min</t>
  </si>
  <si>
    <t>P_Max</t>
  </si>
  <si>
    <t>K_Min</t>
  </si>
  <si>
    <t>K_Max</t>
  </si>
  <si>
    <t>EC_Min</t>
  </si>
  <si>
    <t>EC_Max</t>
  </si>
  <si>
    <t>pH_Min</t>
  </si>
  <si>
    <t>pH_Max</t>
  </si>
  <si>
    <t>Moisture_Min</t>
  </si>
  <si>
    <t>Moisture_Max</t>
  </si>
  <si>
    <t>OM_Min</t>
  </si>
  <si>
    <t>OM_Max</t>
  </si>
  <si>
    <t>TF_Min</t>
  </si>
  <si>
    <t>TF_Max</t>
  </si>
  <si>
    <t>Sand_Min</t>
  </si>
  <si>
    <t>Sand_Max</t>
  </si>
  <si>
    <t>Silt_Min</t>
  </si>
  <si>
    <t>Silt_Max</t>
  </si>
  <si>
    <t>Clay_Min</t>
  </si>
  <si>
    <t>Clay_Max</t>
  </si>
  <si>
    <t>OM = %</t>
  </si>
  <si>
    <t>Organic Matter:</t>
  </si>
  <si>
    <t>Median</t>
  </si>
  <si>
    <t>OM_Mean</t>
  </si>
  <si>
    <t>OM_StdDev</t>
  </si>
  <si>
    <t>3495-6786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</si>
</sst>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 &quot;ppm&quot;"/>
    <numFmt numFmtId="165" formatCode="0.00\ &quot;dS/m&quot;"/>
    <numFmt numFmtId="166" formatCode="0.000"/>
    <numFmt numFmtId="167" formatCode="00.00000"/>
    <numFmt numFmtId="168" formatCode="0.000000"/>
    <numFmt numFmtId="169" formatCode="00.00"/>
    <numFmt numFmtId="170" formatCode="00.0000000"/>
    <numFmt numFmtId="171" formatCode="00.0000"/>
  </numFmts>
  <fonts count="14" x14ac:knownFonts="1">
    <font>
      <sz val="11"/>
      <color theme="1"/>
      <name val="Calibri"/>
      <family val="2"/>
      <scheme val="minor"/>
    </font>
    <font>
      <sz val="8"/>
      <color theme="1"/>
      <name val="Tahoma"/>
      <family val="2"/>
    </font>
    <font>
      <sz val="11"/>
      <color theme="1"/>
      <name val="Calibri"/>
      <family val="2"/>
      <scheme val="minor"/>
    </font>
    <font>
      <b/>
      <sz val="8"/>
      <color theme="1"/>
      <name val="Tahoma"/>
      <family val="2"/>
    </font>
    <font>
      <sz val="8"/>
      <color rgb="FFFF0000"/>
      <name val="Tahoma"/>
      <family val="2"/>
    </font>
    <font>
      <b/>
      <sz val="8"/>
      <color rgb="FFFF0000"/>
      <name val="Tahoma"/>
      <family val="2"/>
    </font>
    <font>
      <sz val="11"/>
      <color indexed="8"/>
      <name val="Calibri"/>
      <family val="2"/>
      <charset val="204"/>
    </font>
    <font>
      <sz val="8"/>
      <name val="Tahoma"/>
      <family val="2"/>
    </font>
    <font>
      <b/>
      <sz val="8"/>
      <name val="Tahoma"/>
      <family val="2"/>
    </font>
    <font>
      <sz val="8"/>
      <color rgb="FF000000"/>
      <name val="Tahoma"/>
      <family val="2"/>
    </font>
    <font>
      <sz val="8"/>
      <name val="Calibri"/>
      <family val="2"/>
      <scheme val="minor"/>
    </font>
    <font>
      <sz val="8"/>
      <color theme="8"/>
      <name val="Tahoma"/>
      <family val="2"/>
    </font>
    <font>
      <b/>
      <sz val="8"/>
      <color theme="0"/>
      <name val="Tahoma"/>
      <family val="2"/>
    </font>
    <font>
      <sz val="8"/>
      <color theme="4" tint="-0.499984740745262"/>
      <name val="Tahoma"/>
      <family val="2"/>
    </font>
  </fonts>
  <fills count="6">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9" tint="0.59999389629810485"/>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style="dashed">
        <color indexed="64"/>
      </right>
      <top/>
      <bottom style="dashed">
        <color indexed="64"/>
      </bottom>
      <diagonal/>
    </border>
    <border>
      <left/>
      <right style="thin">
        <color indexed="64"/>
      </right>
      <top/>
      <bottom style="medium">
        <color indexed="64"/>
      </bottom>
      <diagonal/>
    </border>
    <border>
      <left style="thin">
        <color indexed="64"/>
      </left>
      <right/>
      <top/>
      <bottom style="medium">
        <color indexed="64"/>
      </bottom>
      <diagonal/>
    </border>
  </borders>
  <cellStyleXfs count="3">
    <xf numFmtId="0" fontId="0" fillId="0" borderId="0"/>
    <xf numFmtId="9" fontId="2" fillId="0" borderId="0" applyFont="0" applyFill="0" applyBorder="0" applyAlignment="0" applyProtection="0"/>
    <xf numFmtId="0" fontId="6" fillId="0" borderId="0">
      <alignment vertical="center"/>
    </xf>
  </cellStyleXfs>
  <cellXfs count="283">
    <xf numFmtId="0" fontId="0" fillId="0" borderId="0" xfId="0"/>
    <xf numFmtId="0" fontId="3" fillId="4" borderId="1" xfId="0" applyFont="1" applyFill="1" applyBorder="1" applyAlignment="1">
      <alignment horizontal="center"/>
    </xf>
    <xf numFmtId="0" fontId="1" fillId="0" borderId="9" xfId="0" applyFont="1" applyBorder="1" applyAlignment="1">
      <alignment horizontal="center"/>
    </xf>
    <xf numFmtId="0" fontId="3" fillId="3" borderId="1" xfId="0" applyFont="1" applyFill="1" applyBorder="1" applyAlignment="1">
      <alignment horizontal="center"/>
    </xf>
    <xf numFmtId="0" fontId="1" fillId="0" borderId="0" xfId="0" applyFont="1" applyAlignment="1">
      <alignment horizontal="center"/>
    </xf>
    <xf numFmtId="2" fontId="1" fillId="0" borderId="0" xfId="0" applyNumberFormat="1" applyFont="1" applyAlignment="1">
      <alignment horizontal="center"/>
    </xf>
    <xf numFmtId="1" fontId="1" fillId="0" borderId="0" xfId="0" applyNumberFormat="1" applyFont="1" applyAlignment="1">
      <alignment horizontal="center"/>
    </xf>
    <xf numFmtId="0" fontId="1" fillId="0" borderId="4" xfId="0" applyFont="1" applyBorder="1" applyAlignment="1">
      <alignment horizontal="center"/>
    </xf>
    <xf numFmtId="164" fontId="1" fillId="0" borderId="9" xfId="0" applyNumberFormat="1" applyFont="1" applyBorder="1" applyAlignment="1">
      <alignment horizontal="center"/>
    </xf>
    <xf numFmtId="2" fontId="1" fillId="0" borderId="9" xfId="0" applyNumberFormat="1" applyFont="1" applyBorder="1" applyAlignment="1">
      <alignment horizontal="center"/>
    </xf>
    <xf numFmtId="0" fontId="1" fillId="0" borderId="10" xfId="0" applyFont="1" applyBorder="1" applyAlignment="1">
      <alignment horizontal="center"/>
    </xf>
    <xf numFmtId="0" fontId="1" fillId="0" borderId="0" xfId="0" applyFont="1" applyAlignment="1">
      <alignment vertical="center"/>
    </xf>
    <xf numFmtId="0" fontId="3" fillId="4" borderId="2" xfId="0" applyFont="1" applyFill="1" applyBorder="1" applyAlignment="1">
      <alignment horizontal="center"/>
    </xf>
    <xf numFmtId="165" fontId="1" fillId="0" borderId="9" xfId="0" applyNumberFormat="1" applyFont="1" applyBorder="1" applyAlignment="1">
      <alignment horizontal="center"/>
    </xf>
    <xf numFmtId="2" fontId="1" fillId="0" borderId="5" xfId="0" applyNumberFormat="1" applyFont="1" applyBorder="1" applyAlignment="1">
      <alignment horizontal="center"/>
    </xf>
    <xf numFmtId="2" fontId="1" fillId="0" borderId="8" xfId="0" applyNumberFormat="1" applyFont="1" applyBorder="1" applyAlignment="1">
      <alignment horizontal="center"/>
    </xf>
    <xf numFmtId="0" fontId="3" fillId="0" borderId="0" xfId="0" applyFont="1" applyAlignment="1">
      <alignment horizontal="center"/>
    </xf>
    <xf numFmtId="0" fontId="1" fillId="0" borderId="4" xfId="0" applyFont="1" applyBorder="1" applyAlignment="1">
      <alignment horizontal="center" vertical="center"/>
    </xf>
    <xf numFmtId="0" fontId="1" fillId="0" borderId="4" xfId="0" applyFont="1" applyBorder="1" applyAlignment="1">
      <alignment vertical="center"/>
    </xf>
    <xf numFmtId="2" fontId="3" fillId="0" borderId="0" xfId="0" applyNumberFormat="1" applyFont="1" applyAlignment="1">
      <alignment horizontal="center"/>
    </xf>
    <xf numFmtId="0" fontId="3" fillId="0" borderId="14" xfId="0" applyFont="1" applyBorder="1" applyAlignment="1">
      <alignment horizontal="center" vertical="center"/>
    </xf>
    <xf numFmtId="0" fontId="1" fillId="0" borderId="14" xfId="0" applyFont="1" applyBorder="1" applyAlignment="1">
      <alignment vertical="center"/>
    </xf>
    <xf numFmtId="0" fontId="1" fillId="0" borderId="0" xfId="0" applyFont="1" applyAlignment="1">
      <alignment horizontal="center" vertical="center"/>
    </xf>
    <xf numFmtId="0" fontId="3" fillId="0" borderId="14" xfId="0" applyFont="1" applyBorder="1" applyAlignment="1">
      <alignment horizontal="left"/>
    </xf>
    <xf numFmtId="0" fontId="3" fillId="0" borderId="15" xfId="0" applyFont="1" applyBorder="1" applyAlignment="1">
      <alignment horizontal="center"/>
    </xf>
    <xf numFmtId="0" fontId="1" fillId="0" borderId="0" xfId="0" applyFont="1" applyAlignment="1">
      <alignment horizontal="left"/>
    </xf>
    <xf numFmtId="0" fontId="3" fillId="0" borderId="15" xfId="0" applyFont="1" applyBorder="1" applyAlignment="1">
      <alignment horizontal="center" vertical="center"/>
    </xf>
    <xf numFmtId="0" fontId="1" fillId="0" borderId="15" xfId="0" applyFont="1" applyBorder="1" applyAlignment="1">
      <alignment vertical="center"/>
    </xf>
    <xf numFmtId="0" fontId="1" fillId="0" borderId="15" xfId="1" applyNumberFormat="1" applyFont="1" applyFill="1" applyBorder="1" applyAlignment="1">
      <alignment horizontal="center"/>
    </xf>
    <xf numFmtId="0" fontId="1" fillId="0" borderId="0" xfId="0" quotePrefix="1" applyFont="1" applyAlignment="1">
      <alignment horizontal="center"/>
    </xf>
    <xf numFmtId="1" fontId="7" fillId="0" borderId="0" xfId="0" applyNumberFormat="1" applyFont="1" applyAlignment="1">
      <alignment horizontal="center"/>
    </xf>
    <xf numFmtId="0" fontId="3" fillId="4" borderId="6" xfId="0" applyFont="1" applyFill="1" applyBorder="1" applyAlignment="1">
      <alignment horizontal="center"/>
    </xf>
    <xf numFmtId="0" fontId="7" fillId="0" borderId="0" xfId="0" applyFont="1" applyAlignment="1">
      <alignment horizontal="center"/>
    </xf>
    <xf numFmtId="0" fontId="3" fillId="4" borderId="3" xfId="0" applyFont="1" applyFill="1" applyBorder="1" applyAlignment="1">
      <alignment horizontal="center"/>
    </xf>
    <xf numFmtId="0" fontId="1" fillId="0" borderId="0" xfId="0" applyFont="1"/>
    <xf numFmtId="164" fontId="1" fillId="0" borderId="4" xfId="0" applyNumberFormat="1" applyFont="1" applyBorder="1" applyAlignment="1">
      <alignment horizontal="center"/>
    </xf>
    <xf numFmtId="164" fontId="1" fillId="0" borderId="7" xfId="0" applyNumberFormat="1" applyFont="1" applyBorder="1" applyAlignment="1">
      <alignment horizontal="center"/>
    </xf>
    <xf numFmtId="0" fontId="3" fillId="0" borderId="9" xfId="0" applyFont="1" applyBorder="1"/>
    <xf numFmtId="0" fontId="3" fillId="0" borderId="0" xfId="0" applyFont="1"/>
    <xf numFmtId="0" fontId="1" fillId="0" borderId="14" xfId="0" applyFont="1" applyBorder="1"/>
    <xf numFmtId="0" fontId="1" fillId="0" borderId="15" xfId="0" applyFont="1" applyBorder="1"/>
    <xf numFmtId="167" fontId="1" fillId="0" borderId="0" xfId="0" applyNumberFormat="1" applyFont="1" applyAlignment="1">
      <alignment horizontal="center" vertical="center"/>
    </xf>
    <xf numFmtId="0" fontId="3" fillId="0" borderId="14" xfId="0" applyFont="1" applyBorder="1"/>
    <xf numFmtId="0" fontId="4" fillId="0" borderId="14" xfId="0" applyFont="1" applyBorder="1"/>
    <xf numFmtId="0" fontId="8" fillId="0" borderId="14" xfId="0" applyFont="1" applyBorder="1"/>
    <xf numFmtId="0" fontId="7" fillId="0" borderId="14" xfId="0" applyFont="1" applyBorder="1"/>
    <xf numFmtId="1" fontId="1" fillId="0" borderId="4" xfId="0" applyNumberFormat="1" applyFont="1" applyBorder="1" applyAlignment="1">
      <alignment horizontal="center"/>
    </xf>
    <xf numFmtId="1" fontId="1" fillId="0" borderId="5" xfId="0" applyNumberFormat="1" applyFont="1" applyBorder="1" applyAlignment="1">
      <alignment horizontal="center"/>
    </xf>
    <xf numFmtId="1" fontId="1" fillId="0" borderId="7" xfId="0" applyNumberFormat="1" applyFont="1" applyBorder="1" applyAlignment="1">
      <alignment horizontal="center"/>
    </xf>
    <xf numFmtId="1" fontId="1" fillId="0" borderId="8" xfId="0" applyNumberFormat="1" applyFont="1" applyBorder="1" applyAlignment="1">
      <alignment horizontal="center"/>
    </xf>
    <xf numFmtId="1" fontId="1" fillId="0" borderId="0" xfId="0" applyNumberFormat="1" applyFont="1"/>
    <xf numFmtId="1" fontId="4" fillId="0" borderId="0" xfId="0" applyNumberFormat="1" applyFont="1" applyAlignment="1">
      <alignment horizontal="center"/>
    </xf>
    <xf numFmtId="2" fontId="4" fillId="0" borderId="5" xfId="0" applyNumberFormat="1" applyFont="1" applyBorder="1" applyAlignment="1">
      <alignment horizontal="center"/>
    </xf>
    <xf numFmtId="0" fontId="1" fillId="0" borderId="13" xfId="0" applyFont="1" applyBorder="1" applyAlignment="1">
      <alignment horizontal="center"/>
    </xf>
    <xf numFmtId="164" fontId="1" fillId="2" borderId="4" xfId="0" applyNumberFormat="1" applyFont="1" applyFill="1" applyBorder="1" applyAlignment="1">
      <alignment horizontal="center"/>
    </xf>
    <xf numFmtId="2" fontId="1" fillId="2" borderId="5" xfId="0" applyNumberFormat="1" applyFont="1" applyFill="1" applyBorder="1" applyAlignment="1">
      <alignment horizontal="center"/>
    </xf>
    <xf numFmtId="0" fontId="3" fillId="0" borderId="0" xfId="0" applyFont="1" applyAlignment="1">
      <alignment horizontal="center" vertical="center" wrapText="1"/>
    </xf>
    <xf numFmtId="0" fontId="1" fillId="0" borderId="0" xfId="0" applyFont="1" applyAlignment="1">
      <alignment vertical="center" wrapText="1"/>
    </xf>
    <xf numFmtId="2" fontId="1" fillId="0" borderId="1" xfId="0" applyNumberFormat="1" applyFont="1" applyBorder="1" applyAlignment="1">
      <alignment horizontal="center" vertical="center" wrapText="1"/>
    </xf>
    <xf numFmtId="0" fontId="1" fillId="0" borderId="1" xfId="0" applyFont="1" applyBorder="1" applyAlignment="1">
      <alignment horizontal="center"/>
    </xf>
    <xf numFmtId="0" fontId="1" fillId="0" borderId="0" xfId="0" applyFont="1" applyAlignment="1">
      <alignment horizontal="center" vertical="center" wrapText="1"/>
    </xf>
    <xf numFmtId="0" fontId="1" fillId="0" borderId="22" xfId="0" applyFont="1" applyBorder="1" applyAlignment="1">
      <alignment horizontal="center"/>
    </xf>
    <xf numFmtId="0" fontId="8" fillId="2" borderId="10" xfId="0" applyFont="1" applyFill="1" applyBorder="1" applyAlignment="1">
      <alignment horizontal="center"/>
    </xf>
    <xf numFmtId="0" fontId="8" fillId="2" borderId="7" xfId="0" applyFont="1" applyFill="1" applyBorder="1" applyAlignment="1">
      <alignment horizontal="center"/>
    </xf>
    <xf numFmtId="0" fontId="1" fillId="0" borderId="3" xfId="0" applyFont="1" applyBorder="1" applyAlignment="1">
      <alignment horizontal="center"/>
    </xf>
    <xf numFmtId="0" fontId="1" fillId="0" borderId="11" xfId="0" applyFont="1" applyBorder="1" applyAlignment="1">
      <alignment horizontal="center"/>
    </xf>
    <xf numFmtId="2" fontId="1" fillId="0" borderId="0" xfId="0" applyNumberFormat="1" applyFont="1" applyAlignment="1">
      <alignment horizontal="center" vertical="center" wrapText="1"/>
    </xf>
    <xf numFmtId="2" fontId="1" fillId="0" borderId="4" xfId="0" applyNumberFormat="1" applyFont="1" applyBorder="1" applyAlignment="1">
      <alignment horizontal="center" vertical="center"/>
    </xf>
    <xf numFmtId="2" fontId="1" fillId="0" borderId="7" xfId="0" applyNumberFormat="1" applyFont="1" applyBorder="1" applyAlignment="1">
      <alignment horizontal="center" vertical="center"/>
    </xf>
    <xf numFmtId="0" fontId="1" fillId="0" borderId="5" xfId="0" applyFont="1" applyBorder="1" applyAlignment="1">
      <alignment vertical="center"/>
    </xf>
    <xf numFmtId="0" fontId="8" fillId="2" borderId="7" xfId="0" applyFont="1" applyFill="1" applyBorder="1" applyAlignment="1">
      <alignment horizontal="center" vertical="center"/>
    </xf>
    <xf numFmtId="0" fontId="8" fillId="2" borderId="3" xfId="0" applyFont="1" applyFill="1" applyBorder="1" applyAlignment="1">
      <alignment horizontal="center" vertical="center"/>
    </xf>
    <xf numFmtId="0" fontId="8" fillId="2" borderId="2" xfId="0" applyFont="1" applyFill="1" applyBorder="1" applyAlignment="1">
      <alignment horizontal="center" vertical="center"/>
    </xf>
    <xf numFmtId="2" fontId="1" fillId="0" borderId="4" xfId="0" applyNumberFormat="1" applyFont="1" applyBorder="1" applyAlignment="1">
      <alignment horizontal="center"/>
    </xf>
    <xf numFmtId="2" fontId="1" fillId="0" borderId="7" xfId="0" applyNumberFormat="1" applyFont="1" applyBorder="1" applyAlignment="1">
      <alignment horizontal="center"/>
    </xf>
    <xf numFmtId="2" fontId="1" fillId="0" borderId="0" xfId="0" applyNumberFormat="1" applyFont="1" applyAlignment="1">
      <alignment horizontal="center" vertical="center"/>
    </xf>
    <xf numFmtId="168" fontId="1" fillId="0" borderId="0" xfId="0" applyNumberFormat="1" applyFont="1" applyAlignment="1">
      <alignment horizontal="center" vertical="center"/>
    </xf>
    <xf numFmtId="0" fontId="8" fillId="4" borderId="9" xfId="0" applyFont="1" applyFill="1" applyBorder="1" applyAlignment="1">
      <alignment horizontal="center"/>
    </xf>
    <xf numFmtId="0" fontId="1" fillId="0" borderId="0" xfId="0" applyFont="1" applyAlignment="1">
      <alignment horizontal="left" vertical="center" wrapText="1"/>
    </xf>
    <xf numFmtId="0" fontId="8" fillId="0" borderId="0" xfId="0" applyFont="1"/>
    <xf numFmtId="0" fontId="8" fillId="0" borderId="0" xfId="0" applyFont="1" applyAlignment="1">
      <alignment horizontal="center"/>
    </xf>
    <xf numFmtId="2" fontId="1" fillId="2" borderId="0" xfId="0" applyNumberFormat="1" applyFont="1" applyFill="1" applyAlignment="1">
      <alignment horizontal="center"/>
    </xf>
    <xf numFmtId="0" fontId="4" fillId="0" borderId="15" xfId="0" applyFont="1" applyBorder="1" applyAlignment="1">
      <alignment horizontal="center"/>
    </xf>
    <xf numFmtId="0" fontId="8" fillId="2" borderId="9" xfId="0" applyFont="1" applyFill="1" applyBorder="1" applyAlignment="1">
      <alignment horizontal="left" vertical="center"/>
    </xf>
    <xf numFmtId="0" fontId="8" fillId="2" borderId="9" xfId="0" applyFont="1" applyFill="1" applyBorder="1" applyAlignment="1">
      <alignment horizontal="center" vertical="center"/>
    </xf>
    <xf numFmtId="0" fontId="8" fillId="2" borderId="8" xfId="0" applyFont="1" applyFill="1" applyBorder="1" applyAlignment="1">
      <alignment horizontal="center"/>
    </xf>
    <xf numFmtId="0" fontId="8" fillId="2" borderId="9" xfId="0" applyFont="1" applyFill="1" applyBorder="1" applyAlignment="1">
      <alignment horizontal="center"/>
    </xf>
    <xf numFmtId="0" fontId="3" fillId="0" borderId="2" xfId="0" applyFont="1" applyBorder="1" applyAlignment="1">
      <alignment horizontal="center" vertical="center" wrapText="1"/>
    </xf>
    <xf numFmtId="2" fontId="1" fillId="0" borderId="3" xfId="0" applyNumberFormat="1" applyFont="1" applyBorder="1" applyAlignment="1">
      <alignment horizontal="center" vertical="center" wrapText="1"/>
    </xf>
    <xf numFmtId="0" fontId="3" fillId="0" borderId="12" xfId="0" applyFont="1" applyBorder="1" applyAlignment="1">
      <alignment horizontal="center" vertical="center" wrapText="1"/>
    </xf>
    <xf numFmtId="0" fontId="1" fillId="0" borderId="22"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8" xfId="0" applyFont="1" applyBorder="1"/>
    <xf numFmtId="166" fontId="1" fillId="0" borderId="0" xfId="0" applyNumberFormat="1" applyFont="1" applyAlignment="1">
      <alignment horizontal="center"/>
    </xf>
    <xf numFmtId="164" fontId="1" fillId="0" borderId="0" xfId="0" applyNumberFormat="1" applyFont="1" applyAlignment="1">
      <alignment horizontal="center"/>
    </xf>
    <xf numFmtId="165" fontId="1" fillId="0" borderId="0" xfId="0" applyNumberFormat="1" applyFont="1" applyAlignment="1">
      <alignment horizontal="center"/>
    </xf>
    <xf numFmtId="164" fontId="1" fillId="2" borderId="0" xfId="0" applyNumberFormat="1" applyFont="1" applyFill="1" applyAlignment="1">
      <alignment horizontal="center"/>
    </xf>
    <xf numFmtId="165" fontId="1" fillId="2" borderId="0" xfId="0" applyNumberFormat="1" applyFont="1" applyFill="1" applyAlignment="1">
      <alignment horizontal="center"/>
    </xf>
    <xf numFmtId="2" fontId="4" fillId="0" borderId="0" xfId="0" applyNumberFormat="1" applyFont="1" applyAlignment="1">
      <alignment horizontal="center"/>
    </xf>
    <xf numFmtId="168" fontId="1" fillId="0" borderId="0" xfId="0" applyNumberFormat="1" applyFont="1"/>
    <xf numFmtId="2" fontId="8" fillId="2" borderId="10" xfId="0" applyNumberFormat="1" applyFont="1" applyFill="1" applyBorder="1" applyAlignment="1">
      <alignment horizontal="center"/>
    </xf>
    <xf numFmtId="2" fontId="8" fillId="2" borderId="7" xfId="0" applyNumberFormat="1" applyFont="1" applyFill="1" applyBorder="1" applyAlignment="1">
      <alignment horizontal="center"/>
    </xf>
    <xf numFmtId="9" fontId="1" fillId="0" borderId="0" xfId="1" quotePrefix="1" applyFont="1" applyBorder="1" applyAlignment="1">
      <alignment horizontal="center"/>
    </xf>
    <xf numFmtId="9" fontId="1" fillId="0" borderId="0" xfId="1" applyFont="1" applyBorder="1" applyAlignment="1">
      <alignment horizontal="center" wrapText="1"/>
    </xf>
    <xf numFmtId="9" fontId="1" fillId="0" borderId="0" xfId="1" applyFont="1" applyBorder="1" applyAlignment="1">
      <alignment horizontal="center"/>
    </xf>
    <xf numFmtId="0" fontId="3" fillId="2" borderId="1" xfId="0" applyFont="1" applyFill="1" applyBorder="1" applyAlignment="1">
      <alignment horizontal="center"/>
    </xf>
    <xf numFmtId="0" fontId="8" fillId="2" borderId="6" xfId="0" applyFont="1" applyFill="1" applyBorder="1" applyAlignment="1">
      <alignment horizontal="center" vertical="center"/>
    </xf>
    <xf numFmtId="0" fontId="7" fillId="2" borderId="2" xfId="0" applyFont="1" applyFill="1" applyBorder="1" applyAlignment="1">
      <alignment horizontal="center"/>
    </xf>
    <xf numFmtId="0" fontId="8" fillId="2" borderId="3" xfId="0" applyFont="1" applyFill="1" applyBorder="1" applyAlignment="1">
      <alignment horizontal="center"/>
    </xf>
    <xf numFmtId="0" fontId="8" fillId="2" borderId="2" xfId="0" applyFont="1" applyFill="1" applyBorder="1" applyAlignment="1">
      <alignment horizontal="center"/>
    </xf>
    <xf numFmtId="0" fontId="8" fillId="2" borderId="6" xfId="0" applyFont="1" applyFill="1" applyBorder="1" applyAlignment="1">
      <alignment horizontal="center"/>
    </xf>
    <xf numFmtId="2" fontId="4" fillId="0" borderId="4" xfId="0" applyNumberFormat="1" applyFont="1" applyBorder="1" applyAlignment="1">
      <alignment horizontal="center"/>
    </xf>
    <xf numFmtId="1" fontId="4" fillId="0" borderId="9" xfId="0" applyNumberFormat="1" applyFont="1" applyBorder="1" applyAlignment="1">
      <alignment horizontal="center"/>
    </xf>
    <xf numFmtId="0" fontId="8" fillId="4" borderId="7" xfId="0" applyFont="1" applyFill="1" applyBorder="1" applyAlignment="1">
      <alignment horizontal="left"/>
    </xf>
    <xf numFmtId="166" fontId="1" fillId="0" borderId="5" xfId="1" applyNumberFormat="1" applyFont="1" applyBorder="1" applyAlignment="1">
      <alignment horizontal="center"/>
    </xf>
    <xf numFmtId="0" fontId="1" fillId="0" borderId="15" xfId="0" quotePrefix="1" applyFont="1" applyBorder="1" applyAlignment="1">
      <alignment horizontal="center" wrapText="1"/>
    </xf>
    <xf numFmtId="0" fontId="7" fillId="0" borderId="2" xfId="0" applyFont="1" applyBorder="1"/>
    <xf numFmtId="0" fontId="1" fillId="0" borderId="2" xfId="0" applyFont="1" applyBorder="1" applyAlignment="1">
      <alignment vertical="center"/>
    </xf>
    <xf numFmtId="0" fontId="1" fillId="0" borderId="2" xfId="0" applyFont="1" applyBorder="1"/>
    <xf numFmtId="0" fontId="1" fillId="0" borderId="12" xfId="0" applyFont="1" applyBorder="1"/>
    <xf numFmtId="0" fontId="8" fillId="2" borderId="8" xfId="0" applyFont="1" applyFill="1" applyBorder="1"/>
    <xf numFmtId="0" fontId="1" fillId="0" borderId="2" xfId="0" applyFont="1" applyBorder="1" applyAlignment="1">
      <alignment horizontal="left" vertical="center"/>
    </xf>
    <xf numFmtId="0" fontId="1" fillId="0" borderId="14" xfId="0" applyFont="1" applyBorder="1" applyAlignment="1">
      <alignment horizontal="left"/>
    </xf>
    <xf numFmtId="0" fontId="1" fillId="0" borderId="14" xfId="0" applyFont="1" applyBorder="1" applyAlignment="1">
      <alignment horizontal="left" vertical="center"/>
    </xf>
    <xf numFmtId="0" fontId="1" fillId="2" borderId="0" xfId="0" applyFont="1" applyFill="1" applyAlignment="1">
      <alignment vertical="center"/>
    </xf>
    <xf numFmtId="0" fontId="1" fillId="2" borderId="0" xfId="0" applyFont="1" applyFill="1" applyAlignment="1">
      <alignment horizontal="center" vertical="center"/>
    </xf>
    <xf numFmtId="0" fontId="1" fillId="2" borderId="0" xfId="0" applyFont="1" applyFill="1" applyAlignment="1">
      <alignment horizontal="center"/>
    </xf>
    <xf numFmtId="0" fontId="4" fillId="0" borderId="0" xfId="0" applyFont="1" applyAlignment="1">
      <alignment horizontal="center"/>
    </xf>
    <xf numFmtId="2" fontId="1" fillId="0" borderId="24" xfId="0" applyNumberFormat="1" applyFont="1" applyBorder="1" applyAlignment="1">
      <alignment horizontal="center"/>
    </xf>
    <xf numFmtId="0" fontId="8" fillId="4" borderId="3" xfId="0" applyFont="1" applyFill="1" applyBorder="1" applyAlignment="1">
      <alignment horizontal="center"/>
    </xf>
    <xf numFmtId="0" fontId="8" fillId="4" borderId="6" xfId="0" applyFont="1" applyFill="1" applyBorder="1" applyAlignment="1">
      <alignment horizontal="center"/>
    </xf>
    <xf numFmtId="1" fontId="7" fillId="0" borderId="4" xfId="0" applyNumberFormat="1" applyFont="1" applyBorder="1" applyAlignment="1">
      <alignment horizontal="center"/>
    </xf>
    <xf numFmtId="1" fontId="7" fillId="0" borderId="5" xfId="0" applyNumberFormat="1" applyFont="1" applyBorder="1" applyAlignment="1">
      <alignment horizontal="center"/>
    </xf>
    <xf numFmtId="1" fontId="7" fillId="0" borderId="7" xfId="0" applyNumberFormat="1" applyFont="1" applyBorder="1" applyAlignment="1">
      <alignment horizontal="center"/>
    </xf>
    <xf numFmtId="1" fontId="7" fillId="0" borderId="9" xfId="0" applyNumberFormat="1" applyFont="1" applyBorder="1" applyAlignment="1">
      <alignment horizontal="center"/>
    </xf>
    <xf numFmtId="1" fontId="7" fillId="0" borderId="8" xfId="0" applyNumberFormat="1" applyFont="1" applyBorder="1" applyAlignment="1">
      <alignment horizontal="center"/>
    </xf>
    <xf numFmtId="0" fontId="8" fillId="4" borderId="2" xfId="0" applyFont="1" applyFill="1" applyBorder="1" applyAlignment="1">
      <alignment horizontal="center"/>
    </xf>
    <xf numFmtId="166" fontId="1" fillId="0" borderId="4" xfId="0" applyNumberFormat="1" applyFont="1" applyBorder="1" applyAlignment="1">
      <alignment horizontal="center"/>
    </xf>
    <xf numFmtId="166" fontId="1" fillId="0" borderId="5" xfId="0" applyNumberFormat="1" applyFont="1" applyBorder="1" applyAlignment="1">
      <alignment horizontal="center"/>
    </xf>
    <xf numFmtId="166" fontId="1" fillId="0" borderId="7" xfId="0" applyNumberFormat="1" applyFont="1" applyBorder="1" applyAlignment="1">
      <alignment horizontal="center"/>
    </xf>
    <xf numFmtId="166" fontId="1" fillId="0" borderId="8" xfId="0" applyNumberFormat="1" applyFont="1" applyBorder="1" applyAlignment="1">
      <alignment horizontal="center"/>
    </xf>
    <xf numFmtId="0" fontId="3" fillId="2" borderId="26" xfId="0" applyFont="1" applyFill="1" applyBorder="1"/>
    <xf numFmtId="0" fontId="3" fillId="0" borderId="0" xfId="0" applyFont="1" applyAlignment="1">
      <alignment horizontal="left"/>
    </xf>
    <xf numFmtId="0" fontId="5" fillId="4" borderId="9" xfId="0" applyFont="1" applyFill="1" applyBorder="1" applyAlignment="1">
      <alignment horizontal="center"/>
    </xf>
    <xf numFmtId="0" fontId="5" fillId="4" borderId="1" xfId="0" applyFont="1" applyFill="1" applyBorder="1" applyAlignment="1">
      <alignment horizontal="center"/>
    </xf>
    <xf numFmtId="1" fontId="4" fillId="0" borderId="0" xfId="1" applyNumberFormat="1" applyFont="1" applyFill="1" applyBorder="1" applyAlignment="1">
      <alignment horizontal="center"/>
    </xf>
    <xf numFmtId="0" fontId="4" fillId="0" borderId="4" xfId="0" applyFont="1" applyBorder="1"/>
    <xf numFmtId="1" fontId="7" fillId="0" borderId="0" xfId="0" applyNumberFormat="1" applyFont="1" applyAlignment="1">
      <alignment horizontal="center" vertical="center"/>
    </xf>
    <xf numFmtId="1" fontId="4" fillId="0" borderId="5" xfId="0" applyNumberFormat="1" applyFont="1" applyBorder="1" applyAlignment="1">
      <alignment horizontal="center"/>
    </xf>
    <xf numFmtId="0" fontId="4" fillId="0" borderId="7" xfId="0" applyFont="1" applyBorder="1"/>
    <xf numFmtId="1" fontId="7" fillId="0" borderId="9" xfId="0" applyNumberFormat="1" applyFont="1" applyBorder="1" applyAlignment="1">
      <alignment horizontal="center" vertical="center"/>
    </xf>
    <xf numFmtId="1" fontId="4" fillId="0" borderId="9" xfId="1" applyNumberFormat="1" applyFont="1" applyFill="1" applyBorder="1" applyAlignment="1">
      <alignment horizontal="center"/>
    </xf>
    <xf numFmtId="1" fontId="4" fillId="0" borderId="8" xfId="0" applyNumberFormat="1" applyFont="1" applyBorder="1" applyAlignment="1">
      <alignment horizontal="center"/>
    </xf>
    <xf numFmtId="2" fontId="1" fillId="0" borderId="0" xfId="1" applyNumberFormat="1" applyFont="1" applyFill="1" applyBorder="1" applyAlignment="1">
      <alignment horizontal="center"/>
    </xf>
    <xf numFmtId="2" fontId="3" fillId="0" borderId="0" xfId="1" applyNumberFormat="1" applyFont="1" applyFill="1" applyBorder="1" applyAlignment="1">
      <alignment horizontal="center"/>
    </xf>
    <xf numFmtId="0" fontId="1" fillId="0" borderId="17" xfId="0" applyFont="1" applyBorder="1"/>
    <xf numFmtId="0" fontId="3" fillId="2" borderId="27" xfId="0" applyFont="1" applyFill="1" applyBorder="1" applyAlignment="1">
      <alignment horizontal="center"/>
    </xf>
    <xf numFmtId="0" fontId="5" fillId="4" borderId="8" xfId="0" applyFont="1" applyFill="1" applyBorder="1" applyAlignment="1">
      <alignment horizontal="center"/>
    </xf>
    <xf numFmtId="16" fontId="1" fillId="0" borderId="0" xfId="0" quotePrefix="1" applyNumberFormat="1" applyFont="1" applyAlignment="1">
      <alignment horizontal="center"/>
    </xf>
    <xf numFmtId="0" fontId="3" fillId="2" borderId="28" xfId="0" applyFont="1" applyFill="1" applyBorder="1"/>
    <xf numFmtId="0" fontId="3" fillId="2" borderId="28" xfId="0" applyFont="1" applyFill="1" applyBorder="1" applyAlignment="1">
      <alignment horizontal="center"/>
    </xf>
    <xf numFmtId="0" fontId="3" fillId="0" borderId="15" xfId="0" applyFont="1" applyBorder="1"/>
    <xf numFmtId="0" fontId="1" fillId="0" borderId="0" xfId="0" applyFont="1" applyAlignment="1">
      <alignment horizontal="right"/>
    </xf>
    <xf numFmtId="0" fontId="3" fillId="0" borderId="16" xfId="0" applyFont="1" applyBorder="1"/>
    <xf numFmtId="0" fontId="1" fillId="0" borderId="17" xfId="0" applyFont="1" applyBorder="1" applyAlignment="1">
      <alignment horizontal="right"/>
    </xf>
    <xf numFmtId="0" fontId="1" fillId="0" borderId="5" xfId="0" applyFont="1" applyBorder="1" applyAlignment="1">
      <alignment horizontal="center"/>
    </xf>
    <xf numFmtId="2" fontId="1" fillId="0" borderId="5" xfId="0" applyNumberFormat="1" applyFont="1" applyBorder="1" applyAlignment="1">
      <alignment horizontal="center" vertical="center"/>
    </xf>
    <xf numFmtId="0" fontId="3" fillId="0" borderId="0" xfId="0" applyFont="1" applyAlignment="1">
      <alignment vertical="center"/>
    </xf>
    <xf numFmtId="2" fontId="1" fillId="0" borderId="0" xfId="0" applyNumberFormat="1" applyFont="1" applyAlignment="1">
      <alignment vertical="center"/>
    </xf>
    <xf numFmtId="9" fontId="3" fillId="0" borderId="0" xfId="0" applyNumberFormat="1" applyFont="1" applyAlignment="1">
      <alignment horizontal="center"/>
    </xf>
    <xf numFmtId="0" fontId="12" fillId="0" borderId="0" xfId="0" applyFont="1"/>
    <xf numFmtId="0" fontId="8" fillId="2" borderId="29" xfId="0" applyFont="1" applyFill="1" applyBorder="1" applyAlignment="1">
      <alignment horizontal="center"/>
    </xf>
    <xf numFmtId="0" fontId="3" fillId="0" borderId="9"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9" fontId="1" fillId="0" borderId="15" xfId="0" applyNumberFormat="1" applyFont="1" applyBorder="1" applyAlignment="1">
      <alignment horizontal="center"/>
    </xf>
    <xf numFmtId="0" fontId="5" fillId="2" borderId="6" xfId="0" applyFont="1" applyFill="1" applyBorder="1" applyAlignment="1">
      <alignment horizontal="center"/>
    </xf>
    <xf numFmtId="2" fontId="4" fillId="2" borderId="6" xfId="1" applyNumberFormat="1" applyFont="1" applyFill="1" applyBorder="1" applyAlignment="1">
      <alignment horizontal="center"/>
    </xf>
    <xf numFmtId="1" fontId="1" fillId="0" borderId="9" xfId="0" applyNumberFormat="1" applyFont="1" applyBorder="1" applyAlignment="1">
      <alignment horizontal="center"/>
    </xf>
    <xf numFmtId="0" fontId="5" fillId="2" borderId="3" xfId="0" applyFont="1" applyFill="1" applyBorder="1" applyAlignment="1">
      <alignment horizontal="center" vertical="center"/>
    </xf>
    <xf numFmtId="0" fontId="5" fillId="2" borderId="6"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10" xfId="0" applyFont="1" applyFill="1" applyBorder="1" applyAlignment="1">
      <alignment horizontal="center"/>
    </xf>
    <xf numFmtId="2" fontId="4" fillId="0" borderId="7" xfId="0" applyNumberFormat="1" applyFont="1" applyBorder="1" applyAlignment="1">
      <alignment horizontal="center"/>
    </xf>
    <xf numFmtId="2" fontId="4" fillId="0" borderId="9" xfId="0" applyNumberFormat="1" applyFont="1" applyBorder="1" applyAlignment="1">
      <alignment horizontal="center"/>
    </xf>
    <xf numFmtId="2" fontId="4" fillId="0" borderId="8" xfId="0" applyNumberFormat="1" applyFont="1" applyBorder="1" applyAlignment="1">
      <alignment horizontal="center"/>
    </xf>
    <xf numFmtId="2" fontId="1" fillId="0" borderId="13" xfId="0" applyNumberFormat="1" applyFont="1" applyBorder="1" applyAlignment="1">
      <alignment horizontal="center" vertical="center"/>
    </xf>
    <xf numFmtId="0" fontId="1" fillId="0" borderId="5" xfId="0" applyFont="1" applyBorder="1" applyAlignment="1">
      <alignment horizontal="center" vertical="center"/>
    </xf>
    <xf numFmtId="0" fontId="4" fillId="0" borderId="23" xfId="0" applyFont="1" applyBorder="1" applyAlignment="1">
      <alignment horizontal="center"/>
    </xf>
    <xf numFmtId="0" fontId="4" fillId="0" borderId="24" xfId="0" applyFont="1" applyBorder="1" applyAlignment="1">
      <alignment horizontal="center"/>
    </xf>
    <xf numFmtId="0" fontId="4" fillId="0" borderId="14" xfId="0" applyFont="1" applyBorder="1" applyAlignment="1">
      <alignment horizontal="center"/>
    </xf>
    <xf numFmtId="168" fontId="4" fillId="0" borderId="0" xfId="1" applyNumberFormat="1" applyFont="1" applyFill="1" applyBorder="1" applyAlignment="1">
      <alignment horizontal="center"/>
    </xf>
    <xf numFmtId="0" fontId="4" fillId="0" borderId="16" xfId="0" applyFont="1" applyBorder="1" applyAlignment="1">
      <alignment horizontal="center"/>
    </xf>
    <xf numFmtId="0" fontId="4" fillId="0" borderId="17" xfId="0" applyFont="1" applyBorder="1" applyAlignment="1">
      <alignment horizontal="center"/>
    </xf>
    <xf numFmtId="167" fontId="1" fillId="0" borderId="0" xfId="0" applyNumberFormat="1" applyFont="1" applyAlignment="1">
      <alignment horizontal="center"/>
    </xf>
    <xf numFmtId="0" fontId="5" fillId="2" borderId="8" xfId="0" applyFont="1" applyFill="1" applyBorder="1" applyAlignment="1">
      <alignment horizontal="center" vertical="center"/>
    </xf>
    <xf numFmtId="0" fontId="5" fillId="2" borderId="10" xfId="0" applyFont="1" applyFill="1" applyBorder="1" applyAlignment="1">
      <alignment horizontal="center" vertical="center"/>
    </xf>
    <xf numFmtId="0" fontId="5" fillId="2" borderId="7" xfId="0" applyFont="1" applyFill="1" applyBorder="1" applyAlignment="1">
      <alignment horizontal="center"/>
    </xf>
    <xf numFmtId="0" fontId="4" fillId="0" borderId="2" xfId="0" applyFont="1" applyBorder="1" applyAlignment="1">
      <alignment horizontal="center" vertical="center"/>
    </xf>
    <xf numFmtId="166" fontId="4" fillId="0" borderId="1" xfId="0" applyNumberFormat="1" applyFont="1" applyBorder="1" applyAlignment="1">
      <alignment horizontal="center" vertical="center"/>
    </xf>
    <xf numFmtId="166" fontId="4" fillId="0" borderId="1" xfId="0" applyNumberFormat="1" applyFont="1" applyBorder="1" applyAlignment="1">
      <alignment horizontal="center"/>
    </xf>
    <xf numFmtId="0" fontId="4" fillId="0" borderId="3" xfId="0" applyFont="1" applyBorder="1" applyAlignment="1">
      <alignment horizontal="center"/>
    </xf>
    <xf numFmtId="0" fontId="4" fillId="0" borderId="3" xfId="0" applyFont="1" applyBorder="1" applyAlignment="1">
      <alignment horizontal="center" vertical="center"/>
    </xf>
    <xf numFmtId="0" fontId="4" fillId="0" borderId="12" xfId="0" applyFont="1" applyBorder="1" applyAlignment="1">
      <alignment horizontal="center" vertical="center"/>
    </xf>
    <xf numFmtId="166" fontId="4" fillId="0" borderId="22" xfId="0" applyNumberFormat="1" applyFont="1" applyBorder="1" applyAlignment="1">
      <alignment horizontal="center"/>
    </xf>
    <xf numFmtId="0" fontId="4" fillId="0" borderId="11" xfId="0" applyFont="1" applyBorder="1" applyAlignment="1">
      <alignment horizontal="center"/>
    </xf>
    <xf numFmtId="0" fontId="5" fillId="0" borderId="14" xfId="0" applyFont="1" applyBorder="1"/>
    <xf numFmtId="167" fontId="4" fillId="0" borderId="24" xfId="0" applyNumberFormat="1" applyFont="1" applyBorder="1" applyAlignment="1">
      <alignment horizontal="center" vertical="center"/>
    </xf>
    <xf numFmtId="167" fontId="4" fillId="0" borderId="0" xfId="0" applyNumberFormat="1" applyFont="1" applyAlignment="1">
      <alignment horizontal="center" vertical="center"/>
    </xf>
    <xf numFmtId="169" fontId="1" fillId="0" borderId="0" xfId="0" applyNumberFormat="1" applyFont="1" applyAlignment="1">
      <alignment horizontal="center"/>
    </xf>
    <xf numFmtId="0" fontId="3" fillId="2" borderId="1" xfId="0" applyFont="1" applyFill="1" applyBorder="1"/>
    <xf numFmtId="170" fontId="1" fillId="0" borderId="0" xfId="0" applyNumberFormat="1" applyFont="1" applyAlignment="1">
      <alignment horizontal="center"/>
    </xf>
    <xf numFmtId="9" fontId="1" fillId="0" borderId="0" xfId="0" applyNumberFormat="1" applyFont="1" applyAlignment="1">
      <alignment horizontal="center"/>
    </xf>
    <xf numFmtId="170" fontId="1" fillId="0" borderId="0" xfId="0" applyNumberFormat="1" applyFont="1" applyAlignment="1">
      <alignment horizontal="center" vertical="center"/>
    </xf>
    <xf numFmtId="10" fontId="4" fillId="0" borderId="15" xfId="1" applyNumberFormat="1" applyFont="1" applyBorder="1" applyAlignment="1">
      <alignment horizontal="center"/>
    </xf>
    <xf numFmtId="0" fontId="8" fillId="2" borderId="25" xfId="0" applyFont="1" applyFill="1" applyBorder="1" applyAlignment="1">
      <alignment horizontal="center"/>
    </xf>
    <xf numFmtId="168" fontId="1" fillId="0" borderId="0" xfId="0" applyNumberFormat="1" applyFont="1" applyAlignment="1">
      <alignment horizontal="center"/>
    </xf>
    <xf numFmtId="168" fontId="4" fillId="0" borderId="0" xfId="0" applyNumberFormat="1" applyFont="1" applyAlignment="1">
      <alignment horizontal="center"/>
    </xf>
    <xf numFmtId="168" fontId="4" fillId="0" borderId="0" xfId="0" applyNumberFormat="1" applyFont="1" applyAlignment="1">
      <alignment horizontal="center" vertical="center"/>
    </xf>
    <xf numFmtId="168" fontId="9" fillId="0" borderId="0" xfId="0" applyNumberFormat="1" applyFont="1" applyAlignment="1">
      <alignment horizontal="center" vertical="center"/>
    </xf>
    <xf numFmtId="167" fontId="4" fillId="0" borderId="0" xfId="0" applyNumberFormat="1" applyFont="1" applyAlignment="1">
      <alignment horizontal="center"/>
    </xf>
    <xf numFmtId="169" fontId="4" fillId="0" borderId="0" xfId="0" applyNumberFormat="1" applyFont="1" applyAlignment="1">
      <alignment horizontal="center"/>
    </xf>
    <xf numFmtId="170" fontId="3" fillId="0" borderId="0" xfId="0" applyNumberFormat="1" applyFont="1" applyAlignment="1">
      <alignment horizontal="center"/>
    </xf>
    <xf numFmtId="0" fontId="1" fillId="0" borderId="24" xfId="0" applyFont="1" applyBorder="1" applyAlignment="1">
      <alignment horizontal="center"/>
    </xf>
    <xf numFmtId="0" fontId="8" fillId="2" borderId="30" xfId="0" applyFont="1" applyFill="1" applyBorder="1" applyAlignment="1">
      <alignment horizontal="center"/>
    </xf>
    <xf numFmtId="0" fontId="8" fillId="2" borderId="31" xfId="0" applyFont="1" applyFill="1" applyBorder="1" applyAlignment="1">
      <alignment horizontal="center"/>
    </xf>
    <xf numFmtId="170" fontId="1" fillId="0" borderId="0" xfId="0" applyNumberFormat="1" applyFont="1" applyAlignment="1">
      <alignment horizontal="left"/>
    </xf>
    <xf numFmtId="167" fontId="1" fillId="0" borderId="24" xfId="0" applyNumberFormat="1" applyFont="1" applyBorder="1" applyAlignment="1">
      <alignment horizontal="center"/>
    </xf>
    <xf numFmtId="167" fontId="1" fillId="0" borderId="24" xfId="0" applyNumberFormat="1" applyFont="1" applyBorder="1" applyAlignment="1">
      <alignment horizontal="center" vertical="center"/>
    </xf>
    <xf numFmtId="167" fontId="1" fillId="0" borderId="17" xfId="0" applyNumberFormat="1" applyFont="1" applyBorder="1" applyAlignment="1">
      <alignment horizontal="center" vertical="center"/>
    </xf>
    <xf numFmtId="169" fontId="11" fillId="0" borderId="0" xfId="0" applyNumberFormat="1" applyFont="1" applyAlignment="1">
      <alignment horizontal="center"/>
    </xf>
    <xf numFmtId="169" fontId="11" fillId="0" borderId="0" xfId="0" applyNumberFormat="1" applyFont="1" applyAlignment="1">
      <alignment horizontal="center" vertical="center"/>
    </xf>
    <xf numFmtId="169" fontId="1" fillId="0" borderId="0" xfId="0" applyNumberFormat="1" applyFont="1"/>
    <xf numFmtId="168" fontId="8" fillId="2" borderId="10" xfId="0" applyNumberFormat="1" applyFont="1" applyFill="1" applyBorder="1" applyAlignment="1">
      <alignment horizontal="center"/>
    </xf>
    <xf numFmtId="169" fontId="8" fillId="2" borderId="10" xfId="0" applyNumberFormat="1" applyFont="1" applyFill="1" applyBorder="1" applyAlignment="1">
      <alignment horizontal="center"/>
    </xf>
    <xf numFmtId="1" fontId="8" fillId="2" borderId="10" xfId="0" applyNumberFormat="1" applyFont="1" applyFill="1" applyBorder="1" applyAlignment="1">
      <alignment horizontal="center"/>
    </xf>
    <xf numFmtId="171" fontId="1" fillId="0" borderId="0" xfId="0" applyNumberFormat="1" applyFont="1" applyAlignment="1">
      <alignment horizontal="center"/>
    </xf>
    <xf numFmtId="167" fontId="13" fillId="0" borderId="0" xfId="0" applyNumberFormat="1" applyFont="1" applyAlignment="1">
      <alignment horizontal="center" vertical="center"/>
    </xf>
    <xf numFmtId="167" fontId="13" fillId="0" borderId="0" xfId="0" applyNumberFormat="1" applyFont="1" applyAlignment="1">
      <alignment horizontal="center"/>
    </xf>
    <xf numFmtId="167" fontId="13" fillId="0" borderId="24" xfId="0" applyNumberFormat="1" applyFont="1" applyBorder="1" applyAlignment="1">
      <alignment horizontal="center" vertical="center"/>
    </xf>
    <xf numFmtId="167" fontId="13" fillId="0" borderId="17" xfId="0" applyNumberFormat="1" applyFont="1" applyBorder="1" applyAlignment="1">
      <alignment horizontal="center" vertical="center"/>
    </xf>
    <xf numFmtId="167" fontId="13" fillId="0" borderId="24" xfId="0" applyNumberFormat="1" applyFont="1" applyBorder="1" applyAlignment="1">
      <alignment horizontal="center"/>
    </xf>
    <xf numFmtId="0" fontId="8" fillId="2" borderId="23" xfId="0" applyFont="1" applyFill="1" applyBorder="1" applyAlignment="1">
      <alignment horizontal="center"/>
    </xf>
    <xf numFmtId="0" fontId="8" fillId="2" borderId="24" xfId="0" applyFont="1" applyFill="1" applyBorder="1" applyAlignment="1">
      <alignment horizontal="center"/>
    </xf>
    <xf numFmtId="167" fontId="8" fillId="2" borderId="24" xfId="0" applyNumberFormat="1" applyFont="1" applyFill="1" applyBorder="1" applyAlignment="1">
      <alignment horizontal="center"/>
    </xf>
    <xf numFmtId="1" fontId="7" fillId="0" borderId="17" xfId="0" applyNumberFormat="1" applyFont="1" applyBorder="1" applyAlignment="1">
      <alignment horizontal="center"/>
    </xf>
    <xf numFmtId="0" fontId="8" fillId="0" borderId="0" xfId="0" applyFont="1" applyAlignment="1">
      <alignment horizontal="left" vertical="center"/>
    </xf>
    <xf numFmtId="0" fontId="8" fillId="0" borderId="0" xfId="0" applyFont="1" applyAlignment="1">
      <alignment horizontal="center" vertical="center"/>
    </xf>
    <xf numFmtId="1" fontId="5" fillId="0" borderId="0" xfId="0" applyNumberFormat="1" applyFont="1" applyAlignment="1">
      <alignment horizontal="center"/>
    </xf>
    <xf numFmtId="1" fontId="5" fillId="2" borderId="10" xfId="0" applyNumberFormat="1" applyFont="1" applyFill="1" applyBorder="1" applyAlignment="1">
      <alignment horizontal="center"/>
    </xf>
    <xf numFmtId="1" fontId="3" fillId="0" borderId="0" xfId="0" applyNumberFormat="1" applyFont="1" applyAlignment="1">
      <alignment horizontal="center"/>
    </xf>
    <xf numFmtId="1" fontId="3" fillId="0" borderId="0" xfId="0" applyNumberFormat="1" applyFont="1"/>
    <xf numFmtId="1" fontId="1" fillId="0" borderId="0" xfId="1" applyNumberFormat="1" applyFont="1" applyFill="1" applyBorder="1" applyAlignment="1">
      <alignment horizontal="center"/>
    </xf>
    <xf numFmtId="1" fontId="8" fillId="0" borderId="0" xfId="0" applyNumberFormat="1" applyFont="1" applyAlignment="1">
      <alignment horizontal="center"/>
    </xf>
    <xf numFmtId="167" fontId="4" fillId="0" borderId="24" xfId="0" applyNumberFormat="1" applyFont="1" applyBorder="1" applyAlignment="1">
      <alignment horizontal="center"/>
    </xf>
    <xf numFmtId="1" fontId="4" fillId="0" borderId="17" xfId="0" applyNumberFormat="1" applyFont="1" applyBorder="1" applyAlignment="1">
      <alignment horizontal="center"/>
    </xf>
    <xf numFmtId="1" fontId="13" fillId="0" borderId="17" xfId="0" applyNumberFormat="1" applyFont="1" applyBorder="1" applyAlignment="1">
      <alignment horizontal="center"/>
    </xf>
    <xf numFmtId="0" fontId="5" fillId="0" borderId="0" xfId="0" applyFont="1" applyAlignment="1">
      <alignment horizontal="center"/>
    </xf>
    <xf numFmtId="0" fontId="3" fillId="0" borderId="0" xfId="0" applyFont="1" applyAlignment="1">
      <alignment horizontal="center" vertical="center"/>
    </xf>
    <xf numFmtId="10" fontId="4" fillId="0" borderId="0" xfId="1" applyNumberFormat="1" applyFont="1" applyBorder="1" applyAlignment="1">
      <alignment horizontal="center"/>
    </xf>
    <xf numFmtId="0" fontId="3" fillId="0" borderId="0" xfId="0" applyFont="1" applyAlignment="1">
      <alignment horizontal="center" wrapText="1"/>
    </xf>
    <xf numFmtId="9" fontId="4" fillId="0" borderId="0" xfId="0" quotePrefix="1" applyNumberFormat="1" applyFont="1" applyAlignment="1">
      <alignment horizontal="center" wrapText="1"/>
    </xf>
    <xf numFmtId="2" fontId="1" fillId="0" borderId="0" xfId="0" quotePrefix="1" applyNumberFormat="1" applyFont="1" applyAlignment="1">
      <alignment horizontal="center"/>
    </xf>
    <xf numFmtId="0" fontId="3" fillId="0" borderId="0" xfId="0" quotePrefix="1" applyFont="1" applyAlignment="1">
      <alignment horizontal="center"/>
    </xf>
    <xf numFmtId="0" fontId="4" fillId="0" borderId="0" xfId="0" applyFont="1" applyAlignment="1">
      <alignment horizontal="left"/>
    </xf>
    <xf numFmtId="0" fontId="3" fillId="0" borderId="0" xfId="0" applyFont="1" applyAlignment="1">
      <alignment horizontal="center"/>
    </xf>
    <xf numFmtId="0" fontId="3" fillId="2" borderId="19" xfId="0" applyFont="1" applyFill="1" applyBorder="1" applyAlignment="1">
      <alignment horizontal="center" vertical="center"/>
    </xf>
    <xf numFmtId="0" fontId="3" fillId="2" borderId="20" xfId="0" applyFont="1" applyFill="1" applyBorder="1" applyAlignment="1">
      <alignment horizontal="center" vertical="center"/>
    </xf>
    <xf numFmtId="0" fontId="3" fillId="2" borderId="21" xfId="0" applyFont="1" applyFill="1" applyBorder="1" applyAlignment="1">
      <alignment horizontal="center" vertical="center"/>
    </xf>
    <xf numFmtId="0" fontId="3" fillId="3" borderId="1" xfId="0" applyFont="1" applyFill="1" applyBorder="1" applyAlignment="1">
      <alignment horizontal="center"/>
    </xf>
    <xf numFmtId="0" fontId="3" fillId="3" borderId="3" xfId="0" applyFont="1" applyFill="1" applyBorder="1" applyAlignment="1">
      <alignment horizontal="center"/>
    </xf>
    <xf numFmtId="0" fontId="3" fillId="3" borderId="2" xfId="0" applyFont="1" applyFill="1" applyBorder="1" applyAlignment="1">
      <alignment horizontal="center"/>
    </xf>
    <xf numFmtId="0" fontId="3" fillId="2" borderId="3" xfId="0" applyFont="1" applyFill="1" applyBorder="1" applyAlignment="1">
      <alignment horizontal="center"/>
    </xf>
    <xf numFmtId="0" fontId="3" fillId="2" borderId="2" xfId="0" applyFont="1" applyFill="1" applyBorder="1" applyAlignment="1">
      <alignment horizontal="center"/>
    </xf>
    <xf numFmtId="0" fontId="3" fillId="3" borderId="6" xfId="0" applyFont="1" applyFill="1" applyBorder="1" applyAlignment="1">
      <alignment horizontal="center"/>
    </xf>
    <xf numFmtId="0" fontId="3" fillId="5" borderId="19" xfId="0" applyFont="1" applyFill="1" applyBorder="1" applyAlignment="1">
      <alignment horizontal="center"/>
    </xf>
    <xf numFmtId="0" fontId="3" fillId="5" borderId="20" xfId="0" applyFont="1" applyFill="1" applyBorder="1" applyAlignment="1">
      <alignment horizontal="center"/>
    </xf>
    <xf numFmtId="0" fontId="3" fillId="5" borderId="21" xfId="0" applyFont="1" applyFill="1" applyBorder="1" applyAlignment="1">
      <alignment horizontal="center"/>
    </xf>
    <xf numFmtId="2" fontId="1" fillId="0" borderId="8" xfId="0" applyNumberFormat="1" applyFont="1" applyBorder="1" applyAlignment="1">
      <alignment horizontal="center" vertical="center"/>
    </xf>
    <xf numFmtId="0" fontId="8" fillId="0" borderId="0" xfId="0" applyFont="1" applyFill="1" applyBorder="1" applyAlignment="1">
      <alignment horizontal="left" vertical="center"/>
    </xf>
    <xf numFmtId="0" fontId="5" fillId="0" borderId="0" xfId="0" applyFont="1" applyFill="1" applyBorder="1" applyAlignment="1">
      <alignment horizontal="center" vertical="center"/>
    </xf>
    <xf numFmtId="0" fontId="1" fillId="0" borderId="0" xfId="0" applyFont="1" applyFill="1" applyBorder="1" applyAlignment="1">
      <alignment vertical="center"/>
    </xf>
    <xf numFmtId="2" fontId="1" fillId="0" borderId="0" xfId="0" applyNumberFormat="1" applyFont="1" applyFill="1" applyBorder="1" applyAlignment="1">
      <alignment horizontal="center"/>
    </xf>
  </cellXfs>
  <cellStyles count="3">
    <cellStyle name="Normal" xfId="0" builtinId="0"/>
    <cellStyle name="Normal 2" xfId="2" xr:uid="{4AF148B0-4E15-4B9A-8FEA-85A19C77A9AB}"/>
    <cellStyle name="Percent" xfId="1" builtinId="5"/>
  </cellStyles>
  <dxfs count="200">
    <dxf>
      <font>
        <b val="0"/>
        <i val="0"/>
        <strike val="0"/>
        <condense val="0"/>
        <extend val="0"/>
        <outline val="0"/>
        <shadow val="0"/>
        <u val="none"/>
        <vertAlign val="baseline"/>
        <sz val="8"/>
        <color rgb="FFFF0000"/>
        <name val="Tahoma"/>
        <family val="2"/>
        <scheme val="none"/>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8"/>
        <color theme="4" tint="-0.499984740745262"/>
        <name val="Tahoma"/>
        <family val="2"/>
        <scheme val="none"/>
      </font>
      <numFmt numFmtId="167" formatCode="00.00000"/>
      <alignment horizontal="center" vertical="center" textRotation="0" wrapText="0" indent="0" justifyLastLine="0" shrinkToFit="0" readingOrder="0"/>
      <border diagonalUp="0" diagonalDown="0">
        <left/>
        <right style="medium">
          <color indexed="64"/>
        </right>
        <top/>
        <bottom/>
      </border>
    </dxf>
    <dxf>
      <font>
        <b val="0"/>
        <i val="0"/>
        <strike val="0"/>
        <condense val="0"/>
        <extend val="0"/>
        <outline val="0"/>
        <shadow val="0"/>
        <u val="none"/>
        <vertAlign val="baseline"/>
        <sz val="8"/>
        <color theme="1"/>
        <name val="Tahoma"/>
        <family val="2"/>
        <scheme val="none"/>
      </font>
      <numFmt numFmtId="167" formatCode="00.00000"/>
      <alignment horizontal="center" vertical="center" textRotation="0" wrapText="0" indent="0" justifyLastLine="0" shrinkToFit="0" readingOrder="0"/>
    </dxf>
    <dxf>
      <font>
        <strike val="0"/>
        <outline val="0"/>
        <shadow val="0"/>
        <u val="none"/>
        <vertAlign val="baseline"/>
        <sz val="8"/>
        <color rgb="FFFF0000"/>
        <name val="Tahoma"/>
        <family val="2"/>
        <scheme val="none"/>
      </font>
      <alignment horizontal="center" vertical="bottom" textRotation="0" wrapText="0" indent="0" justifyLastLine="0" shrinkToFit="0" readingOrder="0"/>
    </dxf>
    <dxf>
      <font>
        <strike val="0"/>
        <outline val="0"/>
        <shadow val="0"/>
        <u val="none"/>
        <vertAlign val="baseline"/>
        <sz val="8"/>
        <color rgb="FFFF0000"/>
        <name val="Tahoma"/>
        <family val="2"/>
        <scheme val="none"/>
      </font>
      <alignment horizontal="center" vertical="bottom" textRotation="0" wrapText="0" indent="0" justifyLastLine="0" shrinkToFit="0" readingOrder="0"/>
    </dxf>
    <dxf>
      <font>
        <strike val="0"/>
        <outline val="0"/>
        <shadow val="0"/>
        <u val="none"/>
        <vertAlign val="baseline"/>
        <sz val="8"/>
        <color rgb="FFFF0000"/>
        <name val="Tahoma"/>
        <family val="2"/>
        <scheme val="none"/>
      </font>
      <alignment horizontal="center" vertical="bottom" textRotation="0" wrapText="0" indent="0" justifyLastLine="0" shrinkToFit="0" readingOrder="0"/>
    </dxf>
    <dxf>
      <font>
        <strike val="0"/>
        <outline val="0"/>
        <shadow val="0"/>
        <u val="none"/>
        <vertAlign val="baseline"/>
        <sz val="8"/>
        <color rgb="FFFF0000"/>
        <name val="Tahoma"/>
        <family val="2"/>
        <scheme val="none"/>
      </font>
      <numFmt numFmtId="1" formatCode="0"/>
      <alignment horizontal="center" vertical="bottom" textRotation="0" wrapText="0" indent="0" justifyLastLine="0" shrinkToFit="0" readingOrder="0"/>
    </dxf>
    <dxf>
      <font>
        <strike val="0"/>
        <outline val="0"/>
        <shadow val="0"/>
        <u val="none"/>
        <vertAlign val="baseline"/>
        <sz val="8"/>
        <color rgb="FFFF0000"/>
        <name val="Tahoma"/>
        <family val="2"/>
        <scheme val="none"/>
      </font>
      <alignment horizontal="center" vertical="bottom" textRotation="0" wrapText="0" indent="0" justifyLastLine="0" shrinkToFit="0" readingOrder="0"/>
    </dxf>
    <dxf>
      <font>
        <strike val="0"/>
        <outline val="0"/>
        <shadow val="0"/>
        <u val="none"/>
        <vertAlign val="baseline"/>
        <sz val="8"/>
        <color rgb="FFFF0000"/>
        <name val="Tahom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Tahoma"/>
        <family val="2"/>
        <scheme val="none"/>
      </font>
      <numFmt numFmtId="2" formatCode="0.00"/>
      <alignment horizontal="center"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8"/>
        <color theme="1"/>
        <name val="Tahoma"/>
        <family val="2"/>
        <scheme val="none"/>
      </font>
      <numFmt numFmtId="2" formatCode="0.00"/>
      <alignment horizontal="center"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theme="1"/>
        <name val="Tahoma"/>
        <family val="2"/>
        <scheme val="none"/>
      </font>
      <numFmt numFmtId="2" formatCode="0.00"/>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8"/>
        <color theme="1"/>
        <name val="Tahoma"/>
        <family val="2"/>
        <scheme val="none"/>
      </font>
      <alignment horizontal="center"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theme="1"/>
        <name val="Tahoma"/>
        <family val="2"/>
        <scheme val="none"/>
      </font>
      <numFmt numFmtId="2" formatCode="0.00"/>
      <alignment horizontal="center"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8"/>
        <color theme="1"/>
        <name val="Tahoma"/>
        <family val="2"/>
        <scheme val="none"/>
      </font>
      <numFmt numFmtId="2" formatCode="0.00"/>
      <alignment horizontal="center"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theme="1"/>
        <name val="Tahoma"/>
        <family val="2"/>
        <scheme val="none"/>
      </font>
      <numFmt numFmtId="2" formatCode="0.00"/>
      <alignment horizontal="center"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8"/>
        <color theme="1"/>
        <name val="Tahoma"/>
        <family val="2"/>
        <scheme val="none"/>
      </font>
      <numFmt numFmtId="2" formatCode="0.00"/>
      <alignment horizontal="center"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theme="1"/>
        <name val="Tahoma"/>
        <family val="2"/>
        <scheme val="none"/>
      </font>
      <alignment horizontal="center" vertical="center" textRotation="0" wrapText="0" indent="0" justifyLastLine="0" shrinkToFit="0" readingOrder="0"/>
    </dxf>
    <dxf>
      <font>
        <b val="0"/>
        <i val="0"/>
        <strike val="0"/>
        <condense val="0"/>
        <extend val="0"/>
        <outline val="0"/>
        <shadow val="0"/>
        <u val="none"/>
        <vertAlign val="baseline"/>
        <sz val="8"/>
        <color theme="1"/>
        <name val="Tahoma"/>
        <family val="2"/>
        <scheme val="none"/>
      </font>
      <alignment horizontal="center"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theme="1"/>
        <name val="Tahoma"/>
        <family val="2"/>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8"/>
        <color theme="1"/>
        <name val="Tahoma"/>
        <family val="2"/>
        <scheme val="none"/>
      </font>
      <numFmt numFmtId="2" formatCode="0.00"/>
      <alignment horizontal="center"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theme="1"/>
        <name val="Tahoma"/>
        <family val="2"/>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8"/>
        <color theme="1"/>
        <name val="Tahoma"/>
        <family val="2"/>
        <scheme val="none"/>
      </font>
      <numFmt numFmtId="2" formatCode="0.00"/>
      <alignment horizontal="center"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theme="1"/>
        <name val="Tahoma"/>
        <family val="2"/>
        <scheme val="none"/>
      </font>
      <alignment horizontal="center" vertical="center" textRotation="0" wrapText="0" indent="0" justifyLastLine="0" shrinkToFit="0" readingOrder="0"/>
    </dxf>
    <dxf>
      <font>
        <b val="0"/>
        <i val="0"/>
        <strike val="0"/>
        <condense val="0"/>
        <extend val="0"/>
        <outline val="0"/>
        <shadow val="0"/>
        <u val="none"/>
        <vertAlign val="baseline"/>
        <sz val="8"/>
        <color theme="1"/>
        <name val="Tahoma"/>
        <family val="2"/>
        <scheme val="none"/>
      </font>
      <alignment horizontal="center"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theme="1"/>
        <name val="Tahoma"/>
        <family val="2"/>
        <scheme val="none"/>
      </font>
      <alignment horizontal="center" vertical="center" textRotation="0" wrapText="0" indent="0" justifyLastLine="0" shrinkToFit="0" readingOrder="0"/>
    </dxf>
    <dxf>
      <font>
        <b val="0"/>
        <i val="0"/>
        <strike val="0"/>
        <condense val="0"/>
        <extend val="0"/>
        <outline val="0"/>
        <shadow val="0"/>
        <u val="none"/>
        <vertAlign val="baseline"/>
        <sz val="8"/>
        <color theme="1"/>
        <name val="Tahoma"/>
        <family val="2"/>
        <scheme val="none"/>
      </font>
      <alignment horizontal="center"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theme="1"/>
        <name val="Tahoma"/>
        <family val="2"/>
        <scheme val="none"/>
      </font>
      <alignment horizontal="center" vertical="center" textRotation="0" wrapText="0" indent="0" justifyLastLine="0" shrinkToFit="0" readingOrder="0"/>
    </dxf>
    <dxf>
      <font>
        <b val="0"/>
        <i val="0"/>
        <strike val="0"/>
        <condense val="0"/>
        <extend val="0"/>
        <outline val="0"/>
        <shadow val="0"/>
        <u val="none"/>
        <vertAlign val="baseline"/>
        <sz val="8"/>
        <color theme="1"/>
        <name val="Tahoma"/>
        <family val="2"/>
        <scheme val="none"/>
      </font>
      <alignment horizontal="center"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8"/>
        <color theme="1"/>
        <name val="Tahoma"/>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8"/>
        <color theme="1"/>
        <name val="Tahoma"/>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8"/>
        <color theme="1"/>
        <name val="Tahoma"/>
        <family val="2"/>
        <scheme val="none"/>
      </font>
      <numFmt numFmtId="169" formatCode="00.00"/>
      <alignment horizontal="center" vertical="bottom" textRotation="0" wrapText="0" indent="0" justifyLastLine="0" shrinkToFit="0" readingOrder="0"/>
    </dxf>
    <dxf>
      <font>
        <b val="0"/>
        <i val="0"/>
        <strike val="0"/>
        <condense val="0"/>
        <extend val="0"/>
        <outline val="0"/>
        <shadow val="0"/>
        <u val="none"/>
        <vertAlign val="baseline"/>
        <sz val="8"/>
        <color theme="1"/>
        <name val="Tahoma"/>
        <family val="2"/>
        <scheme val="none"/>
      </font>
      <numFmt numFmtId="169" formatCode="00.00"/>
      <alignment horizontal="center" vertical="bottom" textRotation="0" wrapText="0" indent="0" justifyLastLine="0" shrinkToFit="0" readingOrder="0"/>
    </dxf>
    <dxf>
      <font>
        <b val="0"/>
        <i val="0"/>
        <strike val="0"/>
        <condense val="0"/>
        <extend val="0"/>
        <outline val="0"/>
        <shadow val="0"/>
        <u val="none"/>
        <vertAlign val="baseline"/>
        <sz val="8"/>
        <color theme="1"/>
        <name val="Tahoma"/>
        <family val="2"/>
        <scheme val="none"/>
      </font>
      <numFmt numFmtId="169" formatCode="00.00"/>
      <alignment horizontal="center" vertical="bottom" textRotation="0" wrapText="0" indent="0" justifyLastLine="0" shrinkToFit="0" readingOrder="0"/>
    </dxf>
    <dxf>
      <font>
        <b val="0"/>
        <i val="0"/>
        <strike val="0"/>
        <condense val="0"/>
        <extend val="0"/>
        <outline val="0"/>
        <shadow val="0"/>
        <u val="none"/>
        <vertAlign val="baseline"/>
        <sz val="8"/>
        <color theme="1"/>
        <name val="Tahoma"/>
        <family val="2"/>
        <scheme val="none"/>
      </font>
      <numFmt numFmtId="169" formatCode="00.00"/>
      <alignment horizontal="center" vertical="bottom" textRotation="0" wrapText="0" indent="0" justifyLastLine="0" shrinkToFit="0" readingOrder="0"/>
    </dxf>
    <dxf>
      <font>
        <b val="0"/>
        <i val="0"/>
        <strike val="0"/>
        <condense val="0"/>
        <extend val="0"/>
        <outline val="0"/>
        <shadow val="0"/>
        <u val="none"/>
        <vertAlign val="baseline"/>
        <sz val="8"/>
        <color theme="1"/>
        <name val="Tahoma"/>
        <family val="2"/>
        <scheme val="none"/>
      </font>
      <numFmt numFmtId="169" formatCode="00.00"/>
      <alignment horizontal="center" vertical="bottom" textRotation="0" wrapText="0" indent="0" justifyLastLine="0" shrinkToFit="0" readingOrder="0"/>
    </dxf>
    <dxf>
      <font>
        <b val="0"/>
        <i val="0"/>
        <strike val="0"/>
        <condense val="0"/>
        <extend val="0"/>
        <outline val="0"/>
        <shadow val="0"/>
        <u val="none"/>
        <vertAlign val="baseline"/>
        <sz val="8"/>
        <color theme="1"/>
        <name val="Tahoma"/>
        <family val="2"/>
        <scheme val="none"/>
      </font>
      <numFmt numFmtId="169" formatCode="00.00"/>
      <alignment horizontal="center" vertical="bottom" textRotation="0" wrapText="0" indent="0" justifyLastLine="0" shrinkToFit="0" readingOrder="0"/>
    </dxf>
    <dxf>
      <font>
        <b val="0"/>
        <i val="0"/>
        <strike val="0"/>
        <condense val="0"/>
        <extend val="0"/>
        <outline val="0"/>
        <shadow val="0"/>
        <u val="none"/>
        <vertAlign val="baseline"/>
        <sz val="8"/>
        <color theme="1"/>
        <name val="Tahoma"/>
        <family val="2"/>
        <scheme val="none"/>
      </font>
      <numFmt numFmtId="169" formatCode="00.00"/>
      <alignment horizontal="center" vertical="bottom" textRotation="0" wrapText="0" indent="0" justifyLastLine="0" shrinkToFit="0" readingOrder="0"/>
    </dxf>
    <dxf>
      <font>
        <b val="0"/>
        <i val="0"/>
        <strike val="0"/>
        <condense val="0"/>
        <extend val="0"/>
        <outline val="0"/>
        <shadow val="0"/>
        <u val="none"/>
        <vertAlign val="baseline"/>
        <sz val="8"/>
        <color theme="1"/>
        <name val="Tahoma"/>
        <family val="2"/>
        <scheme val="none"/>
      </font>
      <numFmt numFmtId="169" formatCode="00.00"/>
      <alignment horizontal="center" vertical="bottom" textRotation="0" wrapText="0" indent="0" justifyLastLine="0" shrinkToFit="0" readingOrder="0"/>
    </dxf>
    <dxf>
      <font>
        <b val="0"/>
        <i val="0"/>
        <strike val="0"/>
        <condense val="0"/>
        <extend val="0"/>
        <outline val="0"/>
        <shadow val="0"/>
        <u val="none"/>
        <vertAlign val="baseline"/>
        <sz val="8"/>
        <color theme="1"/>
        <name val="Tahoma"/>
        <family val="2"/>
        <scheme val="none"/>
      </font>
      <numFmt numFmtId="169" formatCode="00.00"/>
      <alignment horizontal="center" vertical="bottom" textRotation="0" wrapText="0" indent="0" justifyLastLine="0" shrinkToFit="0" readingOrder="0"/>
    </dxf>
    <dxf>
      <font>
        <b val="0"/>
        <i val="0"/>
        <strike val="0"/>
        <condense val="0"/>
        <extend val="0"/>
        <outline val="0"/>
        <shadow val="0"/>
        <u val="none"/>
        <vertAlign val="baseline"/>
        <sz val="8"/>
        <color theme="1"/>
        <name val="Tahoma"/>
        <family val="2"/>
        <scheme val="none"/>
      </font>
      <numFmt numFmtId="169" formatCode="00.00"/>
      <alignment horizontal="center" vertical="bottom" textRotation="0" wrapText="0" indent="0" justifyLastLine="0" shrinkToFit="0" readingOrder="0"/>
    </dxf>
    <dxf>
      <font>
        <b val="0"/>
        <i val="0"/>
        <strike val="0"/>
        <condense val="0"/>
        <extend val="0"/>
        <outline val="0"/>
        <shadow val="0"/>
        <u val="none"/>
        <vertAlign val="baseline"/>
        <sz val="8"/>
        <color theme="1"/>
        <name val="Tahoma"/>
        <family val="2"/>
        <scheme val="none"/>
      </font>
      <numFmt numFmtId="169" formatCode="00.00"/>
      <alignment horizontal="center" vertical="bottom" textRotation="0" wrapText="0" indent="0" justifyLastLine="0" shrinkToFit="0" readingOrder="0"/>
    </dxf>
    <dxf>
      <font>
        <b val="0"/>
        <i val="0"/>
        <strike val="0"/>
        <condense val="0"/>
        <extend val="0"/>
        <outline val="0"/>
        <shadow val="0"/>
        <u val="none"/>
        <vertAlign val="baseline"/>
        <sz val="8"/>
        <color theme="1"/>
        <name val="Tahoma"/>
        <family val="2"/>
        <scheme val="none"/>
      </font>
      <numFmt numFmtId="169" formatCode="00.00"/>
      <alignment horizontal="center" vertical="bottom" textRotation="0" wrapText="0" indent="0" justifyLastLine="0" shrinkToFit="0" readingOrder="0"/>
    </dxf>
    <dxf>
      <font>
        <b val="0"/>
        <i val="0"/>
        <strike val="0"/>
        <condense val="0"/>
        <extend val="0"/>
        <outline val="0"/>
        <shadow val="0"/>
        <u val="none"/>
        <vertAlign val="baseline"/>
        <sz val="8"/>
        <color theme="1"/>
        <name val="Tahoma"/>
        <family val="2"/>
        <scheme val="none"/>
      </font>
      <numFmt numFmtId="168" formatCode="0.000000"/>
      <alignment horizontal="center" vertical="bottom" textRotation="0" wrapText="0" indent="0" justifyLastLine="0" shrinkToFit="0" readingOrder="0"/>
    </dxf>
    <dxf>
      <font>
        <b val="0"/>
        <i val="0"/>
        <strike val="0"/>
        <condense val="0"/>
        <extend val="0"/>
        <outline val="0"/>
        <shadow val="0"/>
        <u val="none"/>
        <vertAlign val="baseline"/>
        <sz val="8"/>
        <color theme="1"/>
        <name val="Tahoma"/>
        <family val="2"/>
        <scheme val="none"/>
      </font>
      <numFmt numFmtId="170" formatCode="00.0000000"/>
      <alignment horizontal="center" vertical="center" textRotation="0" wrapText="0" indent="0" justifyLastLine="0" shrinkToFit="0" readingOrder="0"/>
    </dxf>
    <dxf>
      <font>
        <b val="0"/>
        <i val="0"/>
        <strike val="0"/>
        <condense val="0"/>
        <extend val="0"/>
        <outline val="0"/>
        <shadow val="0"/>
        <u val="none"/>
        <vertAlign val="baseline"/>
        <sz val="8"/>
        <color theme="1"/>
        <name val="Tahoma"/>
        <family val="2"/>
        <scheme val="none"/>
      </font>
      <numFmt numFmtId="170" formatCode="00.0000000"/>
      <alignment horizontal="center" vertical="center" textRotation="0" wrapText="0" indent="0" justifyLastLine="0" shrinkToFit="0" readingOrder="0"/>
    </dxf>
    <dxf>
      <font>
        <b val="0"/>
        <i val="0"/>
        <strike val="0"/>
        <condense val="0"/>
        <extend val="0"/>
        <outline val="0"/>
        <shadow val="0"/>
        <u val="none"/>
        <vertAlign val="baseline"/>
        <sz val="8"/>
        <color theme="1"/>
        <name val="Tahoma"/>
        <family val="2"/>
        <scheme val="none"/>
      </font>
      <alignment horizontal="center" vertical="center" textRotation="0" wrapText="0" indent="0" justifyLastLine="0" shrinkToFit="0" readingOrder="0"/>
    </dxf>
    <dxf>
      <border outline="0">
        <top style="thin">
          <color indexed="64"/>
        </top>
      </border>
    </dxf>
    <dxf>
      <border outline="0">
        <bottom style="thin">
          <color indexed="64"/>
        </bottom>
      </border>
    </dxf>
    <dxf>
      <font>
        <b/>
        <i val="0"/>
        <strike val="0"/>
        <condense val="0"/>
        <extend val="0"/>
        <outline val="0"/>
        <shadow val="0"/>
        <u val="none"/>
        <vertAlign val="baseline"/>
        <sz val="8"/>
        <color auto="1"/>
        <name val="Tahoma"/>
        <family val="2"/>
        <scheme val="none"/>
      </font>
      <numFmt numFmtId="1" formatCode="0"/>
      <fill>
        <patternFill patternType="solid">
          <fgColor indexed="64"/>
          <bgColor rgb="FFFFFF00"/>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Tahom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Tahoma"/>
        <family val="2"/>
        <scheme val="none"/>
      </font>
      <alignment horizontal="center" vertical="center" textRotation="0" wrapText="0" indent="0" justifyLastLine="0" shrinkToFit="0" readingOrder="0"/>
    </dxf>
    <dxf>
      <font>
        <b val="0"/>
        <i val="0"/>
        <strike val="0"/>
        <condense val="0"/>
        <extend val="0"/>
        <outline val="0"/>
        <shadow val="0"/>
        <u val="none"/>
        <vertAlign val="baseline"/>
        <sz val="8"/>
        <color theme="1"/>
        <name val="Tahoma"/>
        <family val="2"/>
        <scheme val="none"/>
      </font>
      <alignment horizontal="center" vertical="center" textRotation="0" wrapText="0" indent="0" justifyLastLine="0" shrinkToFit="0" readingOrder="0"/>
    </dxf>
    <dxf>
      <font>
        <b val="0"/>
        <i val="0"/>
        <strike val="0"/>
        <condense val="0"/>
        <extend val="0"/>
        <outline val="0"/>
        <shadow val="0"/>
        <u val="none"/>
        <vertAlign val="baseline"/>
        <sz val="8"/>
        <color theme="1"/>
        <name val="Tahoma"/>
        <family val="2"/>
        <scheme val="none"/>
      </font>
      <alignment horizontal="general" vertical="center" textRotation="0" wrapText="0" indent="0" justifyLastLine="0" shrinkToFit="0" readingOrder="0"/>
    </dxf>
    <dxf>
      <font>
        <strike val="0"/>
        <outline val="0"/>
        <shadow val="0"/>
        <u val="none"/>
        <vertAlign val="baseline"/>
        <sz val="8"/>
        <color auto="1"/>
        <name val="Tahoma"/>
        <family val="2"/>
        <scheme val="none"/>
      </font>
    </dxf>
    <dxf>
      <font>
        <b val="0"/>
        <i val="0"/>
        <strike val="0"/>
        <condense val="0"/>
        <extend val="0"/>
        <outline val="0"/>
        <shadow val="0"/>
        <u val="none"/>
        <vertAlign val="baseline"/>
        <sz val="8"/>
        <color theme="1"/>
        <name val="Tahom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Tahoma"/>
        <family val="2"/>
        <scheme val="none"/>
      </font>
      <alignment horizontal="left" vertical="bottom" textRotation="0" wrapText="0" indent="0" justifyLastLine="0" shrinkToFit="0" readingOrder="0"/>
    </dxf>
    <dxf>
      <font>
        <strike val="0"/>
        <outline val="0"/>
        <shadow val="0"/>
        <u val="none"/>
        <vertAlign val="baseline"/>
        <sz val="8"/>
        <color auto="1"/>
        <name val="Tahoma"/>
        <family val="2"/>
        <scheme val="none"/>
      </font>
    </dxf>
    <dxf>
      <font>
        <b val="0"/>
        <i val="0"/>
        <strike val="0"/>
        <condense val="0"/>
        <extend val="0"/>
        <outline val="0"/>
        <shadow val="0"/>
        <u val="none"/>
        <vertAlign val="baseline"/>
        <sz val="8"/>
        <color theme="1"/>
        <name val="Tahoma"/>
        <family val="2"/>
        <scheme val="none"/>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8"/>
        <color theme="1"/>
        <name val="Tahoma"/>
        <family val="2"/>
        <scheme val="none"/>
      </font>
      <numFmt numFmtId="171" formatCode="00.0000"/>
      <alignment horizontal="center" vertical="bottom" textRotation="0" wrapText="0" indent="0" justifyLastLine="0" shrinkToFit="0" readingOrder="0"/>
    </dxf>
    <dxf>
      <font>
        <b val="0"/>
        <i val="0"/>
        <strike val="0"/>
        <condense val="0"/>
        <extend val="0"/>
        <outline val="0"/>
        <shadow val="0"/>
        <u val="none"/>
        <vertAlign val="baseline"/>
        <sz val="8"/>
        <color theme="1"/>
        <name val="Tahoma"/>
        <family val="2"/>
        <scheme val="none"/>
      </font>
      <numFmt numFmtId="171" formatCode="00.0000"/>
      <alignment horizontal="center" vertical="bottom" textRotation="0" wrapText="0" indent="0" justifyLastLine="0" shrinkToFit="0" readingOrder="0"/>
    </dxf>
    <dxf>
      <font>
        <b val="0"/>
        <i val="0"/>
        <strike val="0"/>
        <condense val="0"/>
        <extend val="0"/>
        <outline val="0"/>
        <shadow val="0"/>
        <u val="none"/>
        <vertAlign val="baseline"/>
        <sz val="8"/>
        <color theme="1"/>
        <name val="Tahoma"/>
        <family val="2"/>
        <scheme val="none"/>
      </font>
      <numFmt numFmtId="171" formatCode="00.0000"/>
      <alignment horizontal="center" vertical="bottom" textRotation="0" wrapText="0" indent="0" justifyLastLine="0" shrinkToFit="0" readingOrder="0"/>
    </dxf>
    <dxf>
      <font>
        <b val="0"/>
        <i val="0"/>
        <strike val="0"/>
        <condense val="0"/>
        <extend val="0"/>
        <outline val="0"/>
        <shadow val="0"/>
        <u val="none"/>
        <vertAlign val="baseline"/>
        <sz val="8"/>
        <color theme="1"/>
        <name val="Tahoma"/>
        <family val="2"/>
        <scheme val="none"/>
      </font>
      <numFmt numFmtId="171" formatCode="00.0000"/>
      <alignment horizontal="center" vertical="bottom" textRotation="0" wrapText="0" indent="0" justifyLastLine="0" shrinkToFit="0" readingOrder="0"/>
    </dxf>
    <dxf>
      <font>
        <b val="0"/>
        <i val="0"/>
        <strike val="0"/>
        <condense val="0"/>
        <extend val="0"/>
        <outline val="0"/>
        <shadow val="0"/>
        <u val="none"/>
        <vertAlign val="baseline"/>
        <sz val="8"/>
        <color theme="1"/>
        <name val="Tahoma"/>
        <family val="2"/>
        <scheme val="none"/>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8"/>
        <color theme="1"/>
        <name val="Tahoma"/>
        <family val="2"/>
        <scheme val="none"/>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8"/>
        <color theme="1"/>
        <name val="Tahoma"/>
        <family val="2"/>
        <scheme val="none"/>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8"/>
        <color theme="1"/>
        <name val="Tahoma"/>
        <family val="2"/>
        <scheme val="none"/>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8"/>
        <color theme="1"/>
        <name val="Tahoma"/>
        <family val="2"/>
        <scheme val="none"/>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8"/>
        <color theme="1"/>
        <name val="Tahoma"/>
        <family val="2"/>
        <scheme val="none"/>
      </font>
      <numFmt numFmtId="166" formatCode="0.000"/>
      <alignment horizontal="center" vertical="bottom" textRotation="0" wrapText="0" indent="0" justifyLastLine="0" shrinkToFit="0" readingOrder="0"/>
    </dxf>
    <dxf>
      <font>
        <b val="0"/>
        <i val="0"/>
        <strike val="0"/>
        <condense val="0"/>
        <extend val="0"/>
        <outline val="0"/>
        <shadow val="0"/>
        <u val="none"/>
        <vertAlign val="baseline"/>
        <sz val="8"/>
        <color theme="1"/>
        <name val="Tahoma"/>
        <family val="2"/>
        <scheme val="none"/>
      </font>
      <alignment horizontal="center" vertical="bottom"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8"/>
        <color theme="1"/>
        <name val="Tahoma"/>
        <family val="2"/>
        <scheme val="none"/>
      </font>
    </dxf>
    <dxf>
      <border>
        <bottom style="medium">
          <color indexed="64"/>
        </bottom>
      </border>
    </dxf>
    <dxf>
      <font>
        <b/>
        <i val="0"/>
        <strike val="0"/>
        <condense val="0"/>
        <extend val="0"/>
        <outline val="0"/>
        <shadow val="0"/>
        <u val="none"/>
        <vertAlign val="baseline"/>
        <sz val="8"/>
        <color auto="1"/>
        <name val="Tahoma"/>
        <family val="2"/>
        <scheme val="none"/>
      </font>
      <fill>
        <patternFill patternType="solid">
          <fgColor indexed="64"/>
          <bgColor rgb="FFFFFF00"/>
        </patternFill>
      </fill>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border>
    </dxf>
    <dxf>
      <font>
        <b val="0"/>
        <i val="0"/>
        <strike val="0"/>
        <condense val="0"/>
        <extend val="0"/>
        <outline val="0"/>
        <shadow val="0"/>
        <u val="none"/>
        <vertAlign val="baseline"/>
        <sz val="8"/>
        <color theme="4" tint="-0.499984740745262"/>
        <name val="Tahoma"/>
        <family val="2"/>
        <scheme val="none"/>
      </font>
      <numFmt numFmtId="167" formatCode="00.00000"/>
      <alignment horizontal="center" vertical="center" textRotation="0" wrapText="0" indent="0" justifyLastLine="0" shrinkToFit="0" readingOrder="0"/>
    </dxf>
    <dxf>
      <font>
        <b val="0"/>
        <i val="0"/>
        <strike val="0"/>
        <condense val="0"/>
        <extend val="0"/>
        <outline val="0"/>
        <shadow val="0"/>
        <u val="none"/>
        <vertAlign val="baseline"/>
        <sz val="8"/>
        <color theme="4" tint="-0.499984740745262"/>
        <name val="Tahoma"/>
        <family val="2"/>
        <scheme val="none"/>
      </font>
      <numFmt numFmtId="167" formatCode="00.00000"/>
      <alignment horizontal="center" vertical="center" textRotation="0" wrapText="0" indent="0" justifyLastLine="0" shrinkToFit="0" readingOrder="0"/>
    </dxf>
    <dxf>
      <font>
        <b val="0"/>
        <i val="0"/>
        <strike val="0"/>
        <condense val="0"/>
        <extend val="0"/>
        <outline val="0"/>
        <shadow val="0"/>
        <u val="none"/>
        <vertAlign val="baseline"/>
        <sz val="8"/>
        <color rgb="FFFF0000"/>
        <name val="Tahoma"/>
        <family val="2"/>
        <scheme val="none"/>
      </font>
      <numFmt numFmtId="167" formatCode="00.00000"/>
      <alignment horizontal="center" vertical="center" textRotation="0" wrapText="0" indent="0" justifyLastLine="0" shrinkToFit="0" readingOrder="0"/>
    </dxf>
    <dxf>
      <font>
        <b val="0"/>
        <i val="0"/>
        <strike val="0"/>
        <condense val="0"/>
        <extend val="0"/>
        <outline val="0"/>
        <shadow val="0"/>
        <u val="none"/>
        <vertAlign val="baseline"/>
        <sz val="8"/>
        <color theme="1"/>
        <name val="Tahoma"/>
        <family val="2"/>
        <scheme val="none"/>
      </font>
      <numFmt numFmtId="167" formatCode="00.00000"/>
      <alignment horizontal="center" vertical="center" textRotation="0" wrapText="0" indent="0" justifyLastLine="0" shrinkToFit="0" readingOrder="0"/>
    </dxf>
    <dxf>
      <font>
        <b val="0"/>
        <i val="0"/>
        <strike val="0"/>
        <condense val="0"/>
        <extend val="0"/>
        <outline val="0"/>
        <shadow val="0"/>
        <u val="none"/>
        <vertAlign val="baseline"/>
        <sz val="8"/>
        <color theme="1"/>
        <name val="Tahoma"/>
        <family val="2"/>
        <scheme val="none"/>
      </font>
      <numFmt numFmtId="167" formatCode="00.00000"/>
      <alignment horizontal="center" vertical="center" textRotation="0" wrapText="0" indent="0" justifyLastLine="0" shrinkToFit="0" readingOrder="0"/>
    </dxf>
    <dxf>
      <font>
        <b val="0"/>
        <i val="0"/>
        <strike val="0"/>
        <condense val="0"/>
        <extend val="0"/>
        <outline val="0"/>
        <shadow val="0"/>
        <u val="none"/>
        <vertAlign val="baseline"/>
        <sz val="8"/>
        <color theme="1"/>
        <name val="Tahoma"/>
        <family val="2"/>
        <scheme val="none"/>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8"/>
        <color theme="4" tint="-0.499984740745262"/>
        <name val="Tahoma"/>
        <family val="2"/>
        <scheme val="none"/>
      </font>
      <numFmt numFmtId="167" formatCode="00.00000"/>
      <alignment horizontal="center" vertical="center" textRotation="0" wrapText="0" indent="0" justifyLastLine="0" shrinkToFit="0" readingOrder="0"/>
    </dxf>
    <dxf>
      <font>
        <b val="0"/>
        <i val="0"/>
        <strike val="0"/>
        <condense val="0"/>
        <extend val="0"/>
        <outline val="0"/>
        <shadow val="0"/>
        <u val="none"/>
        <vertAlign val="baseline"/>
        <sz val="8"/>
        <color auto="1"/>
        <name val="Tahoma"/>
        <family val="2"/>
        <scheme val="none"/>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8"/>
        <color rgb="FFFF0000"/>
        <name val="Tahom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rgb="FFFF0000"/>
        <name val="Tahoma"/>
        <family val="2"/>
        <scheme val="none"/>
      </font>
      <alignment horizontal="center" vertical="bottom" textRotation="0" wrapText="0" indent="0" justifyLastLine="0" shrinkToFit="0" readingOrder="0"/>
      <border diagonalUp="0" diagonalDown="0" outline="0">
        <left style="medium">
          <color indexed="64"/>
        </left>
        <right/>
        <top/>
        <bottom/>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8"/>
        <color theme="1"/>
        <name val="Tahoma"/>
        <family val="2"/>
        <scheme val="none"/>
      </font>
      <alignment horizontal="center" vertical="center" textRotation="0" wrapText="0" indent="0" justifyLastLine="0" shrinkToFit="0" readingOrder="0"/>
    </dxf>
    <dxf>
      <border>
        <bottom style="medium">
          <color indexed="64"/>
        </bottom>
      </border>
    </dxf>
    <dxf>
      <font>
        <b/>
        <i val="0"/>
        <strike val="0"/>
        <condense val="0"/>
        <extend val="0"/>
        <outline val="0"/>
        <shadow val="0"/>
        <u val="none"/>
        <vertAlign val="baseline"/>
        <sz val="8"/>
        <color auto="1"/>
        <name val="Tahoma"/>
        <family val="2"/>
        <scheme val="none"/>
      </font>
      <fill>
        <patternFill patternType="solid">
          <fgColor indexed="64"/>
          <bgColor rgb="FFFFFF00"/>
        </patternFill>
      </fill>
      <alignment horizontal="center" vertical="bottom" textRotation="0" wrapText="0" indent="0" justifyLastLine="0" shrinkToFit="0" readingOrder="0"/>
      <border diagonalUp="0" diagonalDown="0">
        <left/>
        <right/>
        <top/>
        <bottom/>
        <vertical/>
      </border>
    </dxf>
    <dxf>
      <font>
        <b val="0"/>
        <i val="0"/>
        <strike val="0"/>
        <condense val="0"/>
        <extend val="0"/>
        <outline val="0"/>
        <shadow val="0"/>
        <u val="none"/>
        <vertAlign val="baseline"/>
        <sz val="8"/>
        <color theme="1"/>
        <name val="Tahom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Tahom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theme="1"/>
        <name val="Tahoma"/>
        <family val="2"/>
        <scheme val="none"/>
      </font>
      <alignment horizontal="center" vertical="bottom" textRotation="0" wrapText="0" indent="0" justifyLastLine="0" shrinkToFit="0" readingOrder="0"/>
    </dxf>
    <dxf>
      <border outline="0">
        <top style="dashed">
          <color indexed="64"/>
        </top>
      </border>
    </dxf>
    <dxf>
      <font>
        <b val="0"/>
        <i val="0"/>
        <strike val="0"/>
        <condense val="0"/>
        <extend val="0"/>
        <outline val="0"/>
        <shadow val="0"/>
        <u val="none"/>
        <vertAlign val="baseline"/>
        <sz val="8"/>
        <color theme="1"/>
        <name val="Tahoma"/>
        <family val="2"/>
        <scheme val="none"/>
      </font>
      <alignment horizontal="center" vertical="bottom" textRotation="0" wrapText="0" indent="0" justifyLastLine="0" shrinkToFit="0" readingOrder="0"/>
    </dxf>
    <dxf>
      <border outline="0">
        <bottom style="dashed">
          <color indexed="64"/>
        </bottom>
      </border>
    </dxf>
    <dxf>
      <font>
        <b/>
        <i val="0"/>
        <strike val="0"/>
        <condense val="0"/>
        <extend val="0"/>
        <outline val="0"/>
        <shadow val="0"/>
        <u val="none"/>
        <vertAlign val="baseline"/>
        <sz val="8"/>
        <color auto="1"/>
        <name val="Tahoma"/>
        <family val="2"/>
        <scheme val="none"/>
      </font>
      <fill>
        <patternFill patternType="solid">
          <fgColor indexed="64"/>
          <bgColor rgb="FFFFFF00"/>
        </patternFill>
      </fill>
      <alignment horizontal="center" vertical="bottom" textRotation="0" wrapText="0" indent="0" justifyLastLine="0" shrinkToFit="0" readingOrder="0"/>
      <border diagonalUp="0" diagonalDown="0" outline="0">
        <left style="dashed">
          <color indexed="64"/>
        </left>
        <right style="dashed">
          <color indexed="64"/>
        </right>
        <top/>
        <bottom/>
      </border>
    </dxf>
    <dxf>
      <font>
        <b val="0"/>
        <i val="0"/>
        <strike val="0"/>
        <condense val="0"/>
        <extend val="0"/>
        <outline val="0"/>
        <shadow val="0"/>
        <u val="none"/>
        <vertAlign val="baseline"/>
        <sz val="8"/>
        <color theme="1"/>
        <name val="Tahoma"/>
        <family val="2"/>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8"/>
        <color theme="1"/>
        <name val="Tahoma"/>
        <family val="2"/>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name val="Tahoma"/>
        <family val="2"/>
        <scheme val="none"/>
      </font>
      <border diagonalUp="0" diagonalDown="0" outline="0">
        <left/>
        <right style="thin">
          <color indexed="64"/>
        </right>
        <top style="thin">
          <color indexed="64"/>
        </top>
        <bottom style="thin">
          <color indexed="64"/>
        </bottom>
      </border>
    </dxf>
    <dxf>
      <border>
        <top style="thin">
          <color indexed="64"/>
        </top>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8"/>
        <name val="Tahoma"/>
        <family val="2"/>
        <scheme val="none"/>
      </font>
    </dxf>
    <dxf>
      <border>
        <bottom style="thin">
          <color indexed="64"/>
        </bottom>
      </border>
    </dxf>
    <dxf>
      <font>
        <strike val="0"/>
        <outline val="0"/>
        <shadow val="0"/>
        <u val="none"/>
        <vertAlign val="baseline"/>
        <sz val="8"/>
        <color auto="1"/>
        <name val="Tahoma"/>
        <family val="2"/>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Tahoma"/>
        <family val="2"/>
        <scheme val="none"/>
      </font>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8"/>
        <color theme="1"/>
        <name val="Tahoma"/>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Tahoma"/>
        <family val="2"/>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medium">
          <color indexed="64"/>
        </left>
        <right style="medium">
          <color indexed="64"/>
        </right>
        <top style="medium">
          <color indexed="64"/>
        </top>
        <bottom style="medium">
          <color indexed="64"/>
        </bottom>
      </border>
    </dxf>
    <dxf>
      <font>
        <strike val="0"/>
        <outline val="0"/>
        <shadow val="0"/>
        <u val="none"/>
        <vertAlign val="baseline"/>
        <sz val="8"/>
        <name val="Tahoma"/>
        <family val="2"/>
        <scheme val="none"/>
      </font>
    </dxf>
    <dxf>
      <border outline="0">
        <bottom style="thin">
          <color indexed="64"/>
        </bottom>
      </border>
    </dxf>
    <dxf>
      <font>
        <strike val="0"/>
        <outline val="0"/>
        <shadow val="0"/>
        <u val="none"/>
        <vertAlign val="baseline"/>
        <sz val="8"/>
        <color auto="1"/>
        <name val="Tahoma"/>
        <family val="2"/>
        <scheme val="none"/>
      </font>
    </dxf>
    <dxf>
      <font>
        <b val="0"/>
        <i val="0"/>
        <strike val="0"/>
        <condense val="0"/>
        <extend val="0"/>
        <outline val="0"/>
        <shadow val="0"/>
        <u val="none"/>
        <vertAlign val="baseline"/>
        <sz val="8"/>
        <color auto="1"/>
        <name val="Tahoma"/>
        <family val="2"/>
        <scheme val="none"/>
      </font>
      <numFmt numFmtId="1" formatCode="0"/>
      <alignment horizontal="center" vertical="bottom"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8"/>
        <color auto="1"/>
        <name val="Tahoma"/>
        <family val="2"/>
        <scheme val="none"/>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8"/>
        <color auto="1"/>
        <name val="Tahoma"/>
        <family val="2"/>
        <scheme val="none"/>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8"/>
        <color rgb="FFFF0000"/>
        <name val="Tahoma"/>
        <family val="2"/>
        <scheme val="none"/>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8"/>
        <color rgb="FFFF0000"/>
        <name val="Tahoma"/>
        <family val="2"/>
        <scheme val="none"/>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8"/>
        <color rgb="FFFF0000"/>
        <name val="Tahoma"/>
        <family val="2"/>
        <scheme val="none"/>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8"/>
        <color rgb="FFFF0000"/>
        <name val="Tahoma"/>
        <family val="2"/>
        <scheme val="none"/>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8"/>
        <color rgb="FFFF0000"/>
        <name val="Tahoma"/>
        <family val="2"/>
        <scheme val="none"/>
      </font>
      <numFmt numFmtId="1"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auto="1"/>
        <name val="Tahoma"/>
        <family val="2"/>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8"/>
        <color auto="1"/>
        <name val="Tahoma"/>
        <family val="2"/>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8"/>
        <color auto="1"/>
        <name val="Tahoma"/>
        <family val="2"/>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8"/>
        <color auto="1"/>
        <name val="Tahom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auto="1"/>
        <name val="Tahom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8"/>
        <color rgb="FFFF0000"/>
        <name val="Tahoma"/>
        <family val="2"/>
        <scheme val="none"/>
      </font>
      <border diagonalUp="0" diagonalDown="0" outline="0">
        <left style="thin">
          <color indexed="64"/>
        </left>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Tahoma"/>
        <family val="2"/>
        <scheme val="none"/>
      </font>
      <alignment horizontal="center" vertical="bottom" textRotation="0" wrapText="0" indent="0" justifyLastLine="0" shrinkToFit="0" readingOrder="0"/>
    </dxf>
    <dxf>
      <border>
        <bottom style="thin">
          <color indexed="64"/>
        </bottom>
      </border>
    </dxf>
    <dxf>
      <font>
        <b/>
        <i val="0"/>
        <strike val="0"/>
        <condense val="0"/>
        <extend val="0"/>
        <outline val="0"/>
        <shadow val="0"/>
        <u val="none"/>
        <vertAlign val="baseline"/>
        <sz val="8"/>
        <color auto="1"/>
        <name val="Tahoma"/>
        <family val="2"/>
        <scheme val="none"/>
      </font>
      <fill>
        <patternFill patternType="solid">
          <fgColor indexed="64"/>
          <bgColor theme="6" tint="0.59999389629810485"/>
        </patternFill>
      </fill>
      <alignment horizontal="center" vertical="bottom" textRotation="0" wrapText="0" indent="0" justifyLastLine="0" shrinkToFit="0" readingOrder="0"/>
    </dxf>
    <dxf>
      <font>
        <strike val="0"/>
        <outline val="0"/>
        <shadow val="0"/>
        <u val="none"/>
        <vertAlign val="baseline"/>
        <sz val="8"/>
        <name val="Tahoma"/>
        <family val="2"/>
        <scheme val="none"/>
      </font>
      <border diagonalUp="0" diagonalDown="0" outline="0">
        <left style="thin">
          <color indexed="64"/>
        </left>
        <right/>
        <top style="thin">
          <color indexed="64"/>
        </top>
        <bottom style="thin">
          <color indexed="64"/>
        </bottom>
      </border>
    </dxf>
    <dxf>
      <font>
        <strike val="0"/>
        <outline val="0"/>
        <shadow val="0"/>
        <u val="none"/>
        <vertAlign val="baseline"/>
        <sz val="8"/>
        <name val="Tahoma"/>
        <family val="2"/>
        <scheme val="none"/>
      </font>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theme="1"/>
        <name val="Tahoma"/>
        <family val="2"/>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8"/>
        <name val="Tahoma"/>
        <family val="2"/>
        <scheme val="none"/>
      </font>
    </dxf>
    <dxf>
      <border>
        <bottom style="thin">
          <color indexed="64"/>
        </bottom>
      </border>
    </dxf>
    <dxf>
      <font>
        <strike val="0"/>
        <outline val="0"/>
        <shadow val="0"/>
        <u val="none"/>
        <vertAlign val="baseline"/>
        <sz val="8"/>
        <color auto="1"/>
        <name val="Tahoma"/>
        <family val="2"/>
        <scheme val="none"/>
      </font>
      <fill>
        <patternFill patternType="solid">
          <fgColor indexed="64"/>
          <bgColor rgb="FFFFFF00"/>
        </patternFill>
      </fill>
      <border diagonalUp="0" diagonalDown="0" outline="0">
        <left style="thin">
          <color indexed="64"/>
        </left>
        <right style="thin">
          <color indexed="64"/>
        </right>
        <top/>
        <bottom/>
      </border>
    </dxf>
    <dxf>
      <font>
        <strike val="0"/>
        <outline val="0"/>
        <shadow val="0"/>
        <u val="none"/>
        <vertAlign val="baseline"/>
        <sz val="8"/>
        <color theme="1"/>
        <name val="Tahoma"/>
        <family val="2"/>
        <scheme val="none"/>
      </font>
      <numFmt numFmtId="1" formatCode="0"/>
    </dxf>
    <dxf>
      <font>
        <b val="0"/>
        <i val="0"/>
        <strike val="0"/>
        <condense val="0"/>
        <extend val="0"/>
        <outline val="0"/>
        <shadow val="0"/>
        <u val="none"/>
        <vertAlign val="baseline"/>
        <sz val="8"/>
        <color theme="1"/>
        <name val="Tahoma"/>
        <family val="2"/>
        <scheme val="none"/>
      </font>
      <numFmt numFmtId="1" formatCode="0"/>
      <alignment horizontal="center"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8"/>
        <color theme="1"/>
        <name val="Tahoma"/>
        <family val="2"/>
        <scheme val="none"/>
      </font>
      <numFmt numFmtId="1" formatCode="0"/>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8"/>
        <color theme="1"/>
        <name val="Tahoma"/>
        <family val="2"/>
        <scheme val="none"/>
      </font>
      <numFmt numFmtId="1" formatCode="0"/>
      <alignment horizontal="center"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8"/>
        <color theme="1"/>
        <name val="Tahoma"/>
        <family val="2"/>
        <scheme val="none"/>
      </font>
      <numFmt numFmtId="2" formatCode="0.00"/>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8"/>
        <color theme="1"/>
        <name val="Tahoma"/>
        <family val="2"/>
        <scheme val="none"/>
      </font>
      <alignment horizontal="center"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8"/>
        <color theme="1"/>
        <name val="Tahoma"/>
        <family val="2"/>
        <scheme val="none"/>
      </font>
      <numFmt numFmtId="0" formatCode="Genera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8"/>
        <color theme="1"/>
        <name val="Tahoma"/>
        <family val="2"/>
        <scheme val="none"/>
      </font>
      <numFmt numFmtId="0" formatCode="General"/>
      <alignment horizontal="center"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8"/>
        <color theme="1"/>
        <name val="Tahoma"/>
        <family val="2"/>
        <scheme val="none"/>
      </font>
      <numFmt numFmtId="0" formatCode="Genera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8"/>
        <color theme="1"/>
        <name val="Tahoma"/>
        <family val="2"/>
        <scheme val="none"/>
      </font>
      <numFmt numFmtId="0" formatCode="General"/>
      <alignment horizontal="center"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8"/>
        <color theme="1"/>
        <name val="Tahoma"/>
        <family val="2"/>
        <scheme val="none"/>
      </font>
      <numFmt numFmtId="0" formatCode="Genera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8"/>
        <color theme="1"/>
        <name val="Tahoma"/>
        <family val="2"/>
        <scheme val="none"/>
      </font>
      <numFmt numFmtId="2" formatCode="0.00"/>
      <alignment horizontal="center" vertical="center" textRotation="0" wrapText="0" indent="0" justifyLastLine="0" shrinkToFit="0" readingOrder="0"/>
      <border diagonalUp="0" diagonalDown="0">
        <left/>
        <right style="thin">
          <color indexed="64"/>
        </right>
        <top/>
        <bottom/>
      </border>
    </dxf>
    <dxf>
      <font>
        <b val="0"/>
        <i val="0"/>
        <strike val="0"/>
        <condense val="0"/>
        <extend val="0"/>
        <outline val="0"/>
        <shadow val="0"/>
        <u val="none"/>
        <vertAlign val="baseline"/>
        <sz val="8"/>
        <color theme="1"/>
        <name val="Tahoma"/>
        <family val="2"/>
        <scheme val="none"/>
      </font>
      <numFmt numFmtId="1" formatCode="0"/>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Tahoma"/>
        <family val="2"/>
        <scheme val="none"/>
      </font>
      <alignment horizontal="general" vertical="center" textRotation="0" wrapText="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8"/>
        <color theme="1"/>
        <name val="Tahoma"/>
        <family val="2"/>
        <scheme val="none"/>
      </font>
    </dxf>
    <dxf>
      <border outline="0">
        <bottom style="thin">
          <color indexed="64"/>
        </bottom>
      </border>
    </dxf>
    <dxf>
      <font>
        <b/>
        <i val="0"/>
        <strike val="0"/>
        <condense val="0"/>
        <extend val="0"/>
        <outline val="0"/>
        <shadow val="0"/>
        <u val="none"/>
        <vertAlign val="baseline"/>
        <sz val="8"/>
        <color auto="1"/>
        <name val="Tahoma"/>
        <family val="2"/>
        <scheme val="none"/>
      </font>
      <fill>
        <patternFill patternType="solid">
          <fgColor indexed="64"/>
          <bgColor rgb="FFFFFF00"/>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8"/>
        <color theme="1"/>
        <name val="Tahoma"/>
        <family val="2"/>
        <scheme val="none"/>
      </font>
      <numFmt numFmtId="2" formatCode="0.00"/>
      <alignment horizontal="center" vertical="bottom" textRotation="0" wrapText="0" indent="0" justifyLastLine="0" shrinkToFit="0" readingOrder="0"/>
    </dxf>
    <dxf>
      <font>
        <strike val="0"/>
        <outline val="0"/>
        <shadow val="0"/>
        <u val="none"/>
        <vertAlign val="baseline"/>
        <sz val="8"/>
        <color theme="1"/>
        <name val="Tahoma"/>
        <family val="2"/>
        <scheme val="none"/>
      </font>
      <numFmt numFmtId="2" formatCode="0.00"/>
      <alignment horizontal="center" vertical="bottom" textRotation="0" wrapText="0" indent="0" justifyLastLine="0" shrinkToFit="0" readingOrder="0"/>
    </dxf>
    <dxf>
      <font>
        <strike val="0"/>
        <outline val="0"/>
        <shadow val="0"/>
        <u val="none"/>
        <vertAlign val="baseline"/>
        <sz val="8"/>
        <color theme="1"/>
        <name val="Tahoma"/>
        <family val="2"/>
        <scheme val="none"/>
      </font>
      <numFmt numFmtId="2" formatCode="0.00"/>
      <alignment horizontal="center" vertical="bottom" textRotation="0" wrapText="0" indent="0" justifyLastLine="0" shrinkToFit="0" readingOrder="0"/>
    </dxf>
    <dxf>
      <font>
        <strike val="0"/>
        <outline val="0"/>
        <shadow val="0"/>
        <u val="none"/>
        <vertAlign val="baseline"/>
        <sz val="8"/>
        <color theme="1"/>
        <name val="Tahoma"/>
        <family val="2"/>
        <scheme val="none"/>
      </font>
      <numFmt numFmtId="166" formatCode="0.000"/>
      <alignment horizontal="center" vertical="bottom" textRotation="0" wrapText="0" indent="0" justifyLastLine="0" shrinkToFit="0" readingOrder="0"/>
    </dxf>
    <dxf>
      <font>
        <strike val="0"/>
        <outline val="0"/>
        <shadow val="0"/>
        <u val="none"/>
        <vertAlign val="baseline"/>
        <sz val="8"/>
        <color theme="1"/>
        <name val="Tahoma"/>
        <family val="2"/>
        <scheme val="none"/>
      </font>
      <numFmt numFmtId="1" formatCode="0"/>
      <alignment horizontal="center" vertical="bottom" textRotation="0" wrapText="0" indent="0" justifyLastLine="0" shrinkToFit="0" readingOrder="0"/>
      <border diagonalUp="0" diagonalDown="0">
        <left style="thin">
          <color indexed="64"/>
        </left>
        <right/>
        <top/>
        <bottom/>
      </border>
    </dxf>
    <dxf>
      <font>
        <strike val="0"/>
        <outline val="0"/>
        <shadow val="0"/>
        <u val="none"/>
        <vertAlign val="baseline"/>
        <sz val="8"/>
        <color rgb="FFFF0000"/>
        <name val="Tahoma"/>
        <family val="2"/>
        <scheme val="none"/>
      </font>
      <numFmt numFmtId="2" formatCode="0.00"/>
      <alignment horizontal="center" vertical="bottom" textRotation="0" wrapText="0" indent="0" justifyLastLine="0" shrinkToFit="0" readingOrder="0"/>
    </dxf>
    <dxf>
      <font>
        <strike val="0"/>
        <outline val="0"/>
        <shadow val="0"/>
        <u val="none"/>
        <vertAlign val="baseline"/>
        <sz val="8"/>
        <color rgb="FFFF0000"/>
        <name val="Tahoma"/>
        <family val="2"/>
        <scheme val="none"/>
      </font>
      <numFmt numFmtId="2" formatCode="0.00"/>
      <alignment horizontal="center" vertical="bottom" textRotation="0" wrapText="0" indent="0" justifyLastLine="0" shrinkToFit="0" readingOrder="0"/>
    </dxf>
    <dxf>
      <font>
        <strike val="0"/>
        <outline val="0"/>
        <shadow val="0"/>
        <u val="none"/>
        <vertAlign val="baseline"/>
        <sz val="8"/>
        <color rgb="FFFF0000"/>
        <name val="Tahoma"/>
        <family val="2"/>
        <scheme val="none"/>
      </font>
      <numFmt numFmtId="2" formatCode="0.00"/>
      <alignment horizontal="center" vertical="bottom" textRotation="0" wrapText="0" indent="0" justifyLastLine="0" shrinkToFit="0" readingOrder="0"/>
    </dxf>
    <dxf>
      <font>
        <strike val="0"/>
        <outline val="0"/>
        <shadow val="0"/>
        <u val="none"/>
        <vertAlign val="baseline"/>
        <sz val="8"/>
        <color rgb="FFFF0000"/>
        <name val="Tahoma"/>
        <family val="2"/>
        <scheme val="none"/>
      </font>
      <numFmt numFmtId="2" formatCode="0.00"/>
      <alignment horizontal="center" vertical="bottom" textRotation="0" wrapText="0" indent="0" justifyLastLine="0" shrinkToFit="0" readingOrder="0"/>
    </dxf>
    <dxf>
      <font>
        <strike val="0"/>
        <outline val="0"/>
        <shadow val="0"/>
        <u val="none"/>
        <vertAlign val="baseline"/>
        <sz val="8"/>
        <color rgb="FFFF0000"/>
        <name val="Tahoma"/>
        <family val="2"/>
        <scheme val="none"/>
      </font>
      <numFmt numFmtId="2" formatCode="0.00"/>
      <alignment horizontal="center" vertical="bottom" textRotation="0" wrapText="0" indent="0" justifyLastLine="0" shrinkToFit="0" readingOrder="0"/>
    </dxf>
    <dxf>
      <font>
        <strike val="0"/>
        <outline val="0"/>
        <shadow val="0"/>
        <u val="none"/>
        <vertAlign val="baseline"/>
        <sz val="8"/>
        <color rgb="FFFF0000"/>
        <name val="Tahoma"/>
        <family val="2"/>
        <scheme val="none"/>
      </font>
      <numFmt numFmtId="2" formatCode="0.00"/>
      <alignment horizontal="center" vertical="bottom" textRotation="0" wrapText="0" indent="0" justifyLastLine="0" shrinkToFit="0" readingOrder="0"/>
      <border diagonalUp="0" diagonalDown="0">
        <left style="thin">
          <color indexed="64"/>
        </left>
        <right/>
      </border>
    </dxf>
    <dxf>
      <font>
        <strike val="0"/>
        <outline val="0"/>
        <shadow val="0"/>
        <u val="none"/>
        <vertAlign val="baseline"/>
        <sz val="8"/>
        <color theme="1"/>
        <name val="Tahoma"/>
        <family val="2"/>
        <scheme val="none"/>
      </font>
      <numFmt numFmtId="166" formatCode="0.000"/>
      <alignment horizontal="center" vertical="bottom" textRotation="0" wrapText="0" indent="0" justifyLastLine="0" shrinkToFit="0" readingOrder="0"/>
      <border diagonalUp="0" diagonalDown="0" outline="0">
        <left/>
        <right style="thin">
          <color indexed="64"/>
        </right>
      </border>
    </dxf>
    <dxf>
      <font>
        <strike val="0"/>
        <outline val="0"/>
        <shadow val="0"/>
        <u val="none"/>
        <vertAlign val="baseline"/>
        <sz val="8"/>
        <color theme="1"/>
        <name val="Tahoma"/>
        <family val="2"/>
        <scheme val="none"/>
      </font>
      <numFmt numFmtId="166" formatCode="0.000"/>
      <alignment horizontal="center" vertical="bottom" textRotation="0" wrapText="0" indent="0" justifyLastLine="0" shrinkToFit="0" readingOrder="0"/>
      <border diagonalUp="0" diagonalDown="0" outline="0">
        <left style="thin">
          <color indexed="64"/>
        </left>
        <right/>
      </border>
    </dxf>
    <dxf>
      <font>
        <strike val="0"/>
        <outline val="0"/>
        <shadow val="0"/>
        <u val="none"/>
        <vertAlign val="baseline"/>
        <sz val="8"/>
        <color theme="1"/>
        <name val="Tahoma"/>
        <family val="2"/>
        <scheme val="none"/>
      </font>
      <numFmt numFmtId="2" formatCode="0.00"/>
      <alignment horizontal="center" vertical="bottom" textRotation="0" wrapText="0" indent="0" justifyLastLine="0" shrinkToFit="0" readingOrder="0"/>
    </dxf>
    <dxf>
      <font>
        <strike val="0"/>
        <outline val="0"/>
        <shadow val="0"/>
        <u val="none"/>
        <vertAlign val="baseline"/>
        <sz val="8"/>
        <color theme="1"/>
        <name val="Tahoma"/>
        <family val="2"/>
        <scheme val="none"/>
      </font>
      <numFmt numFmtId="2" formatCode="0.00"/>
      <alignment horizontal="center"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8"/>
        <color theme="1"/>
        <name val="Tahoma"/>
        <family val="2"/>
        <scheme val="none"/>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8"/>
        <color theme="1"/>
        <name val="Tahoma"/>
        <family val="2"/>
        <scheme val="none"/>
      </font>
      <numFmt numFmtId="2" formatCode="0.00"/>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8"/>
        <color theme="1"/>
        <name val="Tahoma"/>
        <family val="2"/>
        <scheme val="none"/>
      </font>
      <numFmt numFmtId="2" formatCode="0.00"/>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8"/>
        <color theme="1"/>
        <name val="Tahoma"/>
        <family val="2"/>
        <scheme val="none"/>
      </font>
      <numFmt numFmtId="2" formatCode="0.00"/>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8"/>
        <color theme="1"/>
        <name val="Tahoma"/>
        <family val="2"/>
        <scheme val="none"/>
      </font>
      <numFmt numFmtId="2" formatCode="0.00"/>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8"/>
        <color theme="1"/>
        <name val="Tahoma"/>
        <family val="2"/>
        <scheme val="none"/>
      </font>
      <numFmt numFmtId="2" formatCode="0.00"/>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8"/>
        <color theme="1"/>
        <name val="Tahoma"/>
        <family val="2"/>
        <scheme val="none"/>
      </font>
      <numFmt numFmtId="2" formatCode="0.00"/>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8"/>
        <color theme="1"/>
        <name val="Tahoma"/>
        <family val="2"/>
        <scheme val="none"/>
      </font>
      <numFmt numFmtId="2" formatCode="0.00"/>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8"/>
        <color theme="1"/>
        <name val="Tahoma"/>
        <family val="2"/>
        <scheme val="none"/>
      </font>
      <numFmt numFmtId="2" formatCode="0.00"/>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8"/>
        <color theme="1"/>
        <name val="Tahoma"/>
        <family val="2"/>
        <scheme val="none"/>
      </font>
      <numFmt numFmtId="2" formatCode="0.00"/>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8"/>
        <color theme="1"/>
        <name val="Tahoma"/>
        <family val="2"/>
        <scheme val="none"/>
      </font>
      <numFmt numFmtId="2" formatCode="0.00"/>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8"/>
        <color theme="1"/>
        <name val="Tahoma"/>
        <family val="2"/>
        <scheme val="none"/>
      </font>
      <numFmt numFmtId="2" formatCode="0.00"/>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8"/>
        <color theme="1"/>
        <name val="Tahoma"/>
        <family val="2"/>
        <scheme val="none"/>
      </font>
      <numFmt numFmtId="2" formatCode="0.00"/>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8"/>
        <color theme="1"/>
        <name val="Tahoma"/>
        <family val="2"/>
        <scheme val="none"/>
      </font>
      <numFmt numFmtId="2" formatCode="0.00"/>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8"/>
        <color theme="1"/>
        <name val="Tahoma"/>
        <family val="2"/>
        <scheme val="none"/>
      </font>
      <alignment horizontal="general" vertical="center" textRotation="0" wrapText="0" indent="0" justifyLastLine="0" shrinkToFit="0" readingOrder="0"/>
      <border diagonalUp="0" diagonalDown="0" outline="0">
        <left/>
        <right style="thin">
          <color indexed="64"/>
        </right>
        <top/>
        <bottom/>
      </border>
    </dxf>
    <dxf>
      <border outline="0">
        <left style="thin">
          <color indexed="64"/>
        </left>
        <right style="thin">
          <color indexed="64"/>
        </right>
        <top style="thin">
          <color indexed="64"/>
        </top>
        <bottom style="thin">
          <color indexed="64"/>
        </bottom>
      </border>
    </dxf>
    <dxf>
      <font>
        <strike val="0"/>
        <outline val="0"/>
        <shadow val="0"/>
        <u val="none"/>
        <vertAlign val="baseline"/>
        <sz val="8"/>
        <name val="Tahoma"/>
        <family val="2"/>
        <scheme val="none"/>
      </font>
    </dxf>
    <dxf>
      <border outline="0">
        <bottom style="thin">
          <color indexed="64"/>
        </bottom>
      </border>
    </dxf>
    <dxf>
      <font>
        <b/>
        <i val="0"/>
        <strike val="0"/>
        <condense val="0"/>
        <extend val="0"/>
        <outline val="0"/>
        <shadow val="0"/>
        <u val="none"/>
        <vertAlign val="baseline"/>
        <sz val="8"/>
        <color auto="1"/>
        <name val="Tahoma"/>
        <family val="2"/>
        <scheme val="none"/>
      </font>
      <fill>
        <patternFill patternType="solid">
          <fgColor indexed="64"/>
          <bgColor rgb="FFFFFF00"/>
        </patternFill>
      </fill>
      <alignment horizontal="center" vertical="center" textRotation="0" wrapText="0" indent="0" justifyLastLine="0" shrinkToFit="0" readingOrder="0"/>
    </dxf>
    <dxf>
      <font>
        <b val="0"/>
        <strike val="0"/>
        <outline val="0"/>
        <shadow val="0"/>
        <u val="none"/>
        <vertAlign val="baseline"/>
        <sz val="8"/>
        <color rgb="FFFF0000"/>
        <name val="Tahoma"/>
        <family val="2"/>
        <scheme val="none"/>
      </font>
      <alignment horizont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8"/>
        <color rgb="FFFF0000"/>
        <name val="Tahoma"/>
        <family val="2"/>
        <scheme val="none"/>
      </font>
      <numFmt numFmtId="166" formatCode="0.000"/>
      <alignment horizontal="center" vertical="bottom" textRotation="0" wrapText="0" indent="0" justifyLastLine="0" shrinkToFit="0" readingOrder="0"/>
      <border diagonalUp="0" diagonalDown="0">
        <left style="thin">
          <color indexed="64"/>
        </left>
        <right/>
        <top style="thin">
          <color indexed="64"/>
        </top>
        <bottom style="thin">
          <color indexed="64"/>
        </bottom>
      </border>
    </dxf>
    <dxf>
      <font>
        <b val="0"/>
        <i val="0"/>
        <strike val="0"/>
        <condense val="0"/>
        <extend val="0"/>
        <outline val="0"/>
        <shadow val="0"/>
        <u val="none"/>
        <vertAlign val="baseline"/>
        <sz val="8"/>
        <color rgb="FFFF0000"/>
        <name val="Tahoma"/>
        <family val="2"/>
        <scheme val="none"/>
      </font>
      <numFmt numFmtId="166" formatCode="0.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FF0000"/>
        <name val="Tahoma"/>
        <family val="2"/>
        <scheme val="none"/>
      </font>
      <numFmt numFmtId="166" formatCode="0.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FF0000"/>
        <name val="Tahoma"/>
        <family val="2"/>
        <scheme val="none"/>
      </font>
      <numFmt numFmtId="166" formatCode="0.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FF0000"/>
        <name val="Tahoma"/>
        <family val="2"/>
        <scheme val="none"/>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8"/>
        <color rgb="FFFF0000"/>
        <name val="Tahoma"/>
        <family val="2"/>
        <scheme val="none"/>
      </font>
      <alignment textRotation="0" wrapText="0" indent="0" justifyLastLine="0" shrinkToFit="0" readingOrder="0"/>
    </dxf>
    <dxf>
      <border>
        <bottom style="thin">
          <color indexed="64"/>
        </bottom>
      </border>
    </dxf>
    <dxf>
      <font>
        <b/>
        <i val="0"/>
        <strike val="0"/>
        <condense val="0"/>
        <extend val="0"/>
        <outline val="0"/>
        <shadow val="0"/>
        <u val="none"/>
        <vertAlign val="baseline"/>
        <sz val="8"/>
        <color rgb="FFFF0000"/>
        <name val="Tahoma"/>
        <family val="2"/>
        <scheme val="none"/>
      </font>
      <fill>
        <patternFill patternType="solid">
          <fgColor indexed="64"/>
          <bgColor rgb="FFFFFF00"/>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1.xml"/><Relationship Id="rId4" Type="http://schemas.openxmlformats.org/officeDocument/2006/relationships/theme" Target="theme/theme1.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Shahzad Afzal Awan" id="{E5BC718E-9706-4B25-978B-9A6F5F65F2B7}" userId="737ddbc2f0e548e7"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7D87750-E128-4A3F-A199-FE4AE5DA156E}" name="ScaleFactors" displayName="ScaleFactors" ref="B116:G127" totalsRowShown="0" headerRowDxfId="199" dataDxfId="197" headerRowBorderDxfId="198" tableBorderDxfId="196" totalsRowBorderDxfId="195">
  <tableColumns count="6">
    <tableColumn id="1" xr3:uid="{CF0B0E00-92AB-43BB-9CA3-C9CBB927C122}" name="Analyte" dataDxfId="194"/>
    <tableColumn id="2" xr3:uid="{6C768DED-7C0C-42FC-B84F-F2C8A28C54F6}" name="Slope" dataDxfId="193">
      <calculatedColumnFormula array="1">_xlfn.LET(
    _xlpm.an, ScaleFactors[[#This Row],[Analyte]],
    _xlpm.Acol, SensorLab[Analyte],
    _xlpm.SIDs, SensorLab[Sample_ID],
    _xlpm.Xcol, SensorLab[Raw_Factored],
    _xlpm.Ycol, SensorLab[Labs_Result],
    _xlpm.baseMask, (_xlpm.Acol=_xlpm.an) * ISNUMBER(_xlpm.Xcol) * ISNUMBER(_xlpm.Ycol) * (_xlpm.Xcol&lt;&gt;0) * (_xlpm.Ycol&lt;&gt;0),
    _xlpm.Kmask, IF(_xlpm.Acol="K", _xlpm.Xcol&gt;0, 1),
    _xlpm.rowsMask, _xlpm.baseMask * _xlpm.Kmask,
    _xlpm.xArr, IFERROR(_xlfn._xlws.FILTER(_xlpm.Xcol, _xlpm.rowsMask), _xlfn.SEQUENCE(0)),
    _xlpm.yArr, IFERROR(_xlfn._xlws.FILTER(_xlpm.Ycol, _xlpm.rowsMask), _xlfn.SEQUENCE(0)),
    _xlpm.n, MIN(COUNT(_xlpm.xArr), COUNT(_xlpm.yArr)),
    IF(_xlpm.n&lt;2,
        NA(),
        INDEX(LINEST(_xlpm.yArr, _xlpm.xArr, TRUE, TRUE), 1, 1)
    )
)</calculatedColumnFormula>
    </tableColumn>
    <tableColumn id="3" xr3:uid="{1E3DD049-6629-441F-B964-4EB6823A38B3}" name="Intercept" dataDxfId="192">
      <calculatedColumnFormula array="1">_xlfn.LET(
    _xlpm.an, ScaleFactors[[#This Row],[Analyte]],
    _xlpm.Acol, SensorLab[Analyte],
    _xlpm.SIDs, SensorLab[Sample_ID],
    _xlpm.Xcol, SensorLab[Raw_Factored],
    _xlpm.Ycol, SensorLab[Labs_Result],
    _xlpm.baseMask, (_xlpm.Acol=_xlpm.an) * ISNUMBER(_xlpm.Xcol) * ISNUMBER(_xlpm.Ycol) * (_xlpm.Xcol&lt;&gt;0) * (_xlpm.Ycol&lt;&gt;0),
    _xlpm.Kmask, IF(_xlpm.Acol="K", _xlpm.Xcol&gt;0, 1),
    _xlpm.rowsMask, _xlpm.baseMask * _xlpm.Kmask,
    _xlpm.xArr, IFERROR(_xlfn._xlws.FILTER(_xlpm.Xcol, _xlpm.rowsMask), _xlfn.SEQUENCE(0)),
    _xlpm.yArr, IFERROR(_xlfn._xlws.FILTER(_xlpm.Ycol, _xlpm.rowsMask), _xlfn.SEQUENCE(0)),
    _xlpm.n, MIN(COUNT(_xlpm.xArr), COUNT(_xlpm.yArr)),
    IF(_xlpm.n &lt; 2,
        NA(),
        INDEX(LINEST(_xlpm.yArr, _xlpm.xArr, TRUE, TRUE), 1, 2)
    )
)</calculatedColumnFormula>
    </tableColumn>
    <tableColumn id="4" xr3:uid="{1C4B53E2-1872-4F41-8D4B-8E38AA860BCC}" name="ScaleFactor" dataDxfId="191"/>
    <tableColumn id="5" xr3:uid="{FBBC4897-4BEF-412C-A888-78EAA8C496BB}" name="Offset" dataDxfId="190">
      <calculatedColumnFormula array="1">_xlfn.LET(
    _xlpm.an, ScaleFactors[[#This Row],[Analyte]],
    _xlpm.Acol, SensorLab[Analyte],
    _xlpm.SIDs, SensorLab[Sample_ID],
    _xlpm.Ycol, SensorLab[Labs_Result],
    _xlpm.Pcol, SensorLab[Predicted_Base],
    _xlpm.baseMask, (_xlpm.Acol=_xlpm.an) * ISNUMBER(_xlpm.Ycol) * ISNUMBER(_xlpm.Pcol) * (N(_xlpm.Ycol)&lt;&gt;0) * (N(_xlpm.Pcol)&lt;&gt;0),
    _xlpm.Kmask, IF(_xlpm.Acol="K", SensorLab[Raw_Factored] &gt; 0, 1),
    _xlpm.rowsMask, _xlpm.baseMask * _xlpm.Kmask,
    _xlpm.yArr, IFERROR(N(_xlfn._xlws.FILTER(_xlpm.Ycol, _xlpm.rowsMask)), _xlfn.SEQUENCE(0)),
    _xlpm.pArr, IFERROR(N(_xlfn._xlws.FILTER(_xlpm.Pcol, _xlpm.rowsMask)), _xlfn.SEQUENCE(0)),
    _xlpm.cnt, MIN(COUNT(_xlpm.yArr), COUNT(_xlpm.pArr)),
    _xlpm.residuals, IF(_xlpm.cnt &gt; 0, _xlpm.yArr - _xlpm.pArr, _xlfn.SEQUENCE(0)),
    _xlpm.offset, IF(_xlpm.cnt &gt; 0, IFERROR(MEDIAN(_xlpm.residuals), NA()), NA()),
    _xlpm.offset
)</calculatedColumnFormula>
    </tableColumn>
    <tableColumn id="6" xr3:uid="{DEF84438-A6D3-443B-85BC-1CE0D512541B}" name="Unit" dataDxfId="18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0759C6-F647-4DF8-A4B9-09D5F651B4FF}" name="TextureCal" displayName="TextureCal" ref="B38:AE50" totalsRowShown="0" headerRowDxfId="188" dataDxfId="186" headerRowBorderDxfId="187" tableBorderDxfId="185">
  <tableColumns count="30">
    <tableColumn id="1" xr3:uid="{0FEF7ACC-752B-46C5-ACA4-65FE28B9FA5E}" name="Texture" dataDxfId="184"/>
    <tableColumn id="2" xr3:uid="{3221F85A-D74E-46DF-B3E9-1C3158C30723}" name="N_Mean" dataDxfId="183">
      <calculatedColumnFormula>(C24+D24)/2</calculatedColumnFormula>
    </tableColumn>
    <tableColumn id="3" xr3:uid="{63888E8F-F0CE-47D6-B1DC-3352E5406BA1}" name="N_StdDev" dataDxfId="182">
      <calculatedColumnFormula>(D24-C24)/6</calculatedColumnFormula>
    </tableColumn>
    <tableColumn id="4" xr3:uid="{03E0DC7C-53C8-4613-9D88-3887E5DF8377}" name="P_Mean" dataDxfId="181">
      <calculatedColumnFormula>(E24+F24)/2</calculatedColumnFormula>
    </tableColumn>
    <tableColumn id="5" xr3:uid="{39461601-07A2-445F-8CE7-7C53989E8D7F}" name="P_StdDev" dataDxfId="180">
      <calculatedColumnFormula>(F24-E24)/6</calculatedColumnFormula>
    </tableColumn>
    <tableColumn id="6" xr3:uid="{1CB4080A-5D67-4227-9C96-C90CB7B25D31}" name="K_Mean" dataDxfId="179">
      <calculatedColumnFormula>(G24+H24)/2</calculatedColumnFormula>
    </tableColumn>
    <tableColumn id="7" xr3:uid="{6A676411-F5D3-4837-B94B-37AEE6A3C749}" name="K_StdDev" dataDxfId="178">
      <calculatedColumnFormula>(H24-G24)/6</calculatedColumnFormula>
    </tableColumn>
    <tableColumn id="8" xr3:uid="{CBD82BA6-4CAA-42A1-8E8A-188C4D0B9D2D}" name="EC_Mean" dataDxfId="177">
      <calculatedColumnFormula>(I24+J24)/2</calculatedColumnFormula>
    </tableColumn>
    <tableColumn id="9" xr3:uid="{25E82A7E-576B-486C-8202-8EF4F17B7495}" name="EC_StdDev" dataDxfId="176">
      <calculatedColumnFormula>(J24-I24)/6</calculatedColumnFormula>
    </tableColumn>
    <tableColumn id="10" xr3:uid="{4A332283-D678-42B1-B5C5-19D26416C8F9}" name="pH_Mean" dataDxfId="175">
      <calculatedColumnFormula>(K24+L24)/2</calculatedColumnFormula>
    </tableColumn>
    <tableColumn id="11" xr3:uid="{5B8540D4-E1B4-4CEE-87D4-F222A1E31386}" name="pH_StdDev" dataDxfId="174">
      <calculatedColumnFormula>(L24-K24)/6</calculatedColumnFormula>
    </tableColumn>
    <tableColumn id="12" xr3:uid="{342B99C1-DCB7-45FA-B710-FBDCBFA459EB}" name="Moisture_Mean" dataDxfId="173">
      <calculatedColumnFormula>(M24+N24)/2</calculatedColumnFormula>
    </tableColumn>
    <tableColumn id="13" xr3:uid="{625C1764-CC6B-4024-8D63-F64F5461BDD6}" name="Moisture_StdDev" dataDxfId="172">
      <calculatedColumnFormula>(N24-M24)/6</calculatedColumnFormula>
    </tableColumn>
    <tableColumn id="14" xr3:uid="{72A017E8-78BD-496E-BDAD-7E6CB29705E0}" name="Temp_Mean" dataDxfId="171">
      <calculatedColumnFormula>(AA24+AB24)/2</calculatedColumnFormula>
    </tableColumn>
    <tableColumn id="15" xr3:uid="{20D135D0-6478-4BB7-9A9C-B5BFA25CD7FB}" name="Temp_StdDev" dataDxfId="170">
      <calculatedColumnFormula>(AB24-AA24)/6</calculatedColumnFormula>
    </tableColumn>
    <tableColumn id="18" xr3:uid="{652DF647-C37D-4954-AB93-F7AEE758AC78}" name="TF_Center" dataDxfId="169">
      <calculatedColumnFormula>(S24+T24)/2</calculatedColumnFormula>
    </tableColumn>
    <tableColumn id="19" xr3:uid="{D9ABA28A-EA4B-4B03-8ADD-4BA08A408CCB}" name="TF_StdDev" dataDxfId="168">
      <calculatedColumnFormula>(T24-S24)/4</calculatedColumnFormula>
    </tableColumn>
    <tableColumn id="26" xr3:uid="{8DAE8C14-0AFA-4A17-946B-ED0359A88540}" name="OM_Mean" dataDxfId="167">
      <calculatedColumnFormula>AVERAGE(O24:P24)</calculatedColumnFormula>
    </tableColumn>
    <tableColumn id="27" xr3:uid="{2BF487E4-AA26-4BF2-8AC3-D30CE0D1023A}" name="OM_StdDev" dataDxfId="166">
      <calculatedColumnFormula>_xlfn.STDEV.S(O24:P24)</calculatedColumnFormula>
    </tableColumn>
    <tableColumn id="16" xr3:uid="{77625736-EB32-43A9-B0F0-B480CB2280CD}" name="Sand_Mean" dataDxfId="165">
      <calculatedColumnFormula>AVERAGE(
    _xlfn.XLOOKUP(TextureCal[[#This Row],[Texture]], SoilSpec[Texture], SoilSpec[Sand_Min]),
    _xlfn.XLOOKUP(TextureCal[[#This Row],[Texture]], SoilSpec[Texture], SoilSpec[Sand_Max])
)</calculatedColumnFormula>
    </tableColumn>
    <tableColumn id="17" xr3:uid="{4C658B7B-5ED8-4E82-9574-DA1790DDE0E2}" name="Sand_StdDev" dataDxfId="164">
      <calculatedColumnFormula array="1">IFERROR(_xlfn.STDEV.S(_xlfn._xlws.FILTER(Soil_Samples[Sand], Soil_Samples[Texture]=TextureCal[[#This Row],[Texture]])),0)</calculatedColumnFormula>
    </tableColumn>
    <tableColumn id="20" xr3:uid="{E2025BC2-00C6-4140-A981-9069912BBF02}" name="Silt_Mean" dataDxfId="163">
      <calculatedColumnFormula>AVERAGE(
    _xlfn.XLOOKUP(TextureCal[[#This Row],[Texture]], SoilSpec[Texture], SoilSpec[Silt_Min]),
    _xlfn.XLOOKUP(TextureCal[[#This Row],[Texture]], SoilSpec[Texture], SoilSpec[Silt_Max])
)</calculatedColumnFormula>
    </tableColumn>
    <tableColumn id="21" xr3:uid="{7DEB1174-79B2-4505-9F84-9623AA5A6DB4}" name="Silt_StdDev" dataDxfId="162">
      <calculatedColumnFormula array="1">IFERROR(_xlfn.STDEV.S(_xlfn._xlws.FILTER(Soil_Samples[Silt], Soil_Samples[Texture]=TextureCal[[#This Row],[Texture]])),0)</calculatedColumnFormula>
    </tableColumn>
    <tableColumn id="22" xr3:uid="{0EB68D91-9238-4351-83B0-91A98F587876}" name="Clay_Mean" dataDxfId="161">
      <calculatedColumnFormula>AVERAGE(
    _xlfn.XLOOKUP(TextureCal[[#This Row],[Texture]], SoilSpec[Texture], SoilSpec[Clay_Min]),
    _xlfn.XLOOKUP(TextureCal[[#This Row],[Texture]], SoilSpec[Texture], SoilSpec[Clay_Max])
)</calculatedColumnFormula>
    </tableColumn>
    <tableColumn id="23" xr3:uid="{FAF0598F-BFEB-4FE4-9330-BAAD44F4DA68}" name="Clay_StdDev" dataDxfId="160">
      <calculatedColumnFormula array="1">IFERROR(_xlfn.STDEV.S(_xlfn._xlws.FILTER(Soil_Samples[Clay], Soil_Samples[Texture]=TextureCal[[#This Row],[Texture]])),0)</calculatedColumnFormula>
    </tableColumn>
    <tableColumn id="24" xr3:uid="{4A42C55B-AD0E-40C3-8FC3-0CBE322A4DCD}" name="Euclidean Distance" dataDxfId="159">
      <calculatedColumnFormula array="1">_xlfn.LET(
    _xlpm.vals, _xlfn.HSTACK(
        $C$72,
        $C$73,
        $C$74,
        $C$80,
        pH,
        $C$76,
        $C$75,
        $C$79,
        $C$77
    ),
    _xlpm.means, _xlfn.HSTACK(
        TextureCal[[#This Row],[N_Mean]],
        TextureCal[[#This Row],[P_Mean]],
        TextureCal[[#This Row],[K_Mean]],
        TextureCal[[#This Row],[EC_Mean]],
        TextureCal[[#This Row],[pH_Mean]],
        TextureCal[[#This Row],[Moisture_Mean]],
        TextureCal[[#This Row],[Temp_Mean]],
        TextureCal[[#This Row],[TF_Center]],
        TextureCal[[#This Row],[OM_Mean]]
    ),
    _xlpm.stds, _xlfn.HSTACK(
        TextureCal[[#This Row],[N_StdDev]],
        TextureCal[[#This Row],[P_StdDev]],
        TextureCal[[#This Row],[K_StdDev]],
        TextureCal[[#This Row],[EC_StdDev]],
        TextureCal[[#This Row],[pH_StdDev]],
        TextureCal[[#This Row],[Moisture_StdDev]],
        TextureCal[[#This Row],[Temp_StdDev]],
        TextureCal[[#This Row],[TF_StdDev]],
        TextureCal[[#This Row],[OM_StdDev]]
    ),
    SQRT(SUM(((_xlpm.vals - _xlpm.means) / _xlpm.stds)^2))
)</calculatedColumnFormula>
    </tableColumn>
    <tableColumn id="25" xr3:uid="{3AC06E02-9788-4263-9B8F-FBB3CA2642A8}" name="Confidence" dataDxfId="158" dataCellStyle="Percent">
      <calculatedColumnFormula xml:space="preserve"> 1
  -
  (
    TextureCal[[#This Row],[Euclidean Distance]]
    - MIN(TextureCal[Euclidean Distance])
  )
  /
  (
    MAX(TextureCal[Euclidean Distance])
    - MIN(TextureCal[Euclidean Distance])
  )</calculatedColumnFormula>
    </tableColumn>
    <tableColumn id="28" xr3:uid="{0E71B36F-1A05-4F6E-B740-B98B04679532}" name="BandScore" dataDxfId="157">
      <calculatedColumnFormula array="1">_xlfn.LET(
    _xlpm.vals, _xlfn.HSTACK($C$72,$C$73,$C$74,$C$80,$C$81,$C$76,$C$77,$C$79,$C$75),
    _xlpm.mins, _xlfn.HSTACK(SoilSpec[N_Min],SoilSpec[P_Min],SoilSpec[K_Min],
                 SoilSpec[EC_Min],SoilSpec[pH_Min],SoilSpec[Moisture_Min],
                 SoilSpec[OM_Min],SoilSpec[TF_Min],SoilSpec[SoilTemp_Min]),
    _xlpm.maxs, _xlfn.HSTACK(SoilSpec[N_Max],SoilSpec[P_Max],SoilSpec[K_Max],
                 SoilSpec[EC_Max],SoilSpec[pH_Max],SoilSpec[Moisture_Max],
                 SoilSpec[OM_Max],SoilSpec[TF_Max],SoilSpec[SoilTemp_Max]),
    _xlpm.idx, ROW()-ROW(TextureCal[#Headers]),
    SUM( (_xlpm.vals &gt;= INDEX(_xlpm.mins, _xlpm.idx)) * (_xlpm.vals &lt;= INDEX(_xlpm.maxs, _xlpm.idx)) )
)</calculatedColumnFormula>
    </tableColumn>
    <tableColumn id="29" xr3:uid="{17E621A5-85F1-402E-ACFD-488ECE158C9F}" name="NormDist" dataDxfId="156">
      <calculatedColumnFormula>1 - ( TextureCal[[#This Row],[Euclidean Distance]] - MIN(TextureCal[Euclidean Distance]) ) /
        ( MAX(TextureCal[Euclidean Distance]) - MIN(TextureCal[Euclidean Distance]) )</calculatedColumnFormula>
    </tableColumn>
    <tableColumn id="30" xr3:uid="{D0151B13-D68F-4621-B220-B29DC1F79420}" name="FinalScore" dataDxfId="155">
      <calculatedColumnFormula xml:space="preserve"> (TextureCal[[#This Row],[BandScore]] / 9) * 0.6 + TextureCal[[#This Row],[NormDist]] * 0.4</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0B79821-7AA6-4D00-A9B1-C774C67A85A9}" name="SoilSpec" displayName="SoilSpec" ref="B23:AO35" totalsRowShown="0" headerRowDxfId="154" dataDxfId="152" headerRowBorderDxfId="153" tableBorderDxfId="151">
  <tableColumns count="40">
    <tableColumn id="1" xr3:uid="{329D77DD-6E8E-4B93-B7DA-C1F9C932F0D5}" name="Texture" dataDxfId="150"/>
    <tableColumn id="2" xr3:uid="{5DD2D3AF-F3AB-4E6E-9A85-3FF90F70DE71}" name="N_Min" dataDxfId="28"/>
    <tableColumn id="3" xr3:uid="{98AF9648-3D0D-4209-87B5-1EF6D7D5343C}" name="N_Max" dataDxfId="27"/>
    <tableColumn id="4" xr3:uid="{1A558216-9F88-4143-94E8-BFD4631DA1D1}" name="P_Min" dataDxfId="26"/>
    <tableColumn id="5" xr3:uid="{3C3ECB5D-3E0A-4C4A-8953-F827EBF56EAD}" name="P_Max" dataDxfId="25"/>
    <tableColumn id="6" xr3:uid="{7B415BA8-2D47-4853-BC50-9B769BC59CBB}" name="K_Min" dataDxfId="24"/>
    <tableColumn id="7" xr3:uid="{F2B01D73-70F0-45A4-A4C5-7CF726B9EC72}" name="K_Max" dataDxfId="23"/>
    <tableColumn id="8" xr3:uid="{BAFBE699-D02D-49A0-980E-DDA154A9AB8A}" name="EC_Min" dataDxfId="22"/>
    <tableColumn id="9" xr3:uid="{2E42A85B-DD0D-463A-88AA-029332F6E436}" name="EC_Max" dataDxfId="21"/>
    <tableColumn id="10" xr3:uid="{506D14FF-0E6E-4230-9BC1-231AFA5500FB}" name="pH_Min" dataDxfId="20"/>
    <tableColumn id="11" xr3:uid="{B234A2A0-BEE6-410D-9977-0DC5E3113DAA}" name="pH_Max" dataDxfId="19"/>
    <tableColumn id="12" xr3:uid="{44958DCC-BFD6-4F21-88A1-3F6EB5C494E7}" name="Moisture_Min" dataDxfId="18"/>
    <tableColumn id="13" xr3:uid="{E5352C3D-A47C-49D6-9666-A37B618B5BFA}" name="Moisture_Max" dataDxfId="17"/>
    <tableColumn id="14" xr3:uid="{4F02EC36-DC1C-4261-935B-42D187D6366F}" name="OM_Min" dataDxfId="16"/>
    <tableColumn id="15" xr3:uid="{6392FB52-2A48-46F3-AD5D-5B2EB5FB8907}" name="OM_Max" dataDxfId="15"/>
    <tableColumn id="16" xr3:uid="{1F348ABD-7895-4893-ABAD-19C7DF6E0169}" name="Clay %" dataDxfId="149">
      <calculatedColumnFormula xml:space="preserve"> _xlfn.XLOOKUP(
    SoilSpec[[#This Row],[Texture]],
    USDAClass[Texture],
    USDAClass[Clay (%)],
    NA(),
    0
  )</calculatedColumnFormula>
    </tableColumn>
    <tableColumn id="17" xr3:uid="{5E09741A-1608-49C3-9250-7B4C11C74E0C}" name="CEC Typical (meq/100g)" dataDxfId="148">
      <calculatedColumnFormula>ROUND(0.15 * SoilSpec[[#This Row],[Clay %]] + 1.5 * (SoilSpec[[#This Row],[OM_Min]] ), 2)</calculatedColumnFormula>
    </tableColumn>
    <tableColumn id="18" xr3:uid="{F637D840-C5A9-42D5-A870-1782FFE7046B}" name="TF_Min" dataDxfId="14"/>
    <tableColumn id="19" xr3:uid="{A4DFA0D6-11B0-4EE8-A84F-1B8F638909F5}" name="TF_Max" dataDxfId="13"/>
    <tableColumn id="20" xr3:uid="{E40C9ACF-71BB-4759-84E2-125659688A20}" name="Nopt_Min" dataDxfId="147">
      <calculatedColumnFormula>ROUND(C24 + (D24-C24) * 0.3, 0)</calculatedColumnFormula>
    </tableColumn>
    <tableColumn id="21" xr3:uid="{5BEF8D38-CB26-44B7-A82A-A1ACFF9E7E9E}" name="Nopt_Max" dataDxfId="146">
      <calculatedColumnFormula>ROUND(C24 + (D24-C24) * 0.7, 0)</calculatedColumnFormula>
    </tableColumn>
    <tableColumn id="22" xr3:uid="{10B064A2-4276-4759-853F-B8E7E82930A4}" name="Popt_Min" dataDxfId="145">
      <calculatedColumnFormula>ROUND(E24 + (F24-E24) * 0.3, 0)</calculatedColumnFormula>
    </tableColumn>
    <tableColumn id="23" xr3:uid="{5E43AF41-7CCE-4043-A37C-A1464AA9A340}" name="Popt_Max" dataDxfId="144">
      <calculatedColumnFormula>ROUND(E24 + (F24-E24) * 0.7, 0)</calculatedColumnFormula>
    </tableColumn>
    <tableColumn id="24" xr3:uid="{E26C80CD-5992-412B-A7F9-7505B72497B9}" name="Kopt_Min" dataDxfId="143">
      <calculatedColumnFormula>ROUND(G24 + (H24-G24) * 0.3, 0)</calculatedColumnFormula>
    </tableColumn>
    <tableColumn id="25" xr3:uid="{3FC398F8-A057-493F-A791-06A57B644025}" name="Kopt_Max" dataDxfId="142">
      <calculatedColumnFormula>ROUND(G24 + (H24-G24) * 0.7, 0)</calculatedColumnFormula>
    </tableColumn>
    <tableColumn id="26" xr3:uid="{25B92B1E-01CE-4B49-89C4-26A9DA35A4AE}" name="SoilTemp_Min" dataDxfId="12"/>
    <tableColumn id="27" xr3:uid="{DFDE0290-DEEB-4F66-B3D7-0AD249BE06C4}" name="SoilTemp_Max" dataDxfId="11"/>
    <tableColumn id="32" xr3:uid="{71128AEF-B328-405F-A849-C5D7B1F2F4A4}" name="BD_Min (t/m³)" dataDxfId="10"/>
    <tableColumn id="28" xr3:uid="{54783042-01F2-4545-B1F1-1E2509F11778}" name="BD_Max (t/m³)" dataDxfId="9"/>
    <tableColumn id="29" xr3:uid="{9DAE113E-384A-482F-802E-180BB8F3C1AA}" name="Particle Density" dataDxfId="141">
      <calculatedColumnFormula>((E8*2.65)+(F8*2.65)+(G8*2.65))/100</calculatedColumnFormula>
    </tableColumn>
    <tableColumn id="33" xr3:uid="{CF0647C2-B9BF-417A-A939-C17F724712D1}" name="Porosity_Min %" dataDxfId="140">
      <calculatedColumnFormula>(1-AD24/AE24)*100</calculatedColumnFormula>
    </tableColumn>
    <tableColumn id="30" xr3:uid="{B998F501-35C8-4482-9255-A3B80F00C3E4}" name="Porosity_Max %" dataDxfId="139">
      <calculatedColumnFormula>(1-AC24/AE24)*100</calculatedColumnFormula>
    </tableColumn>
    <tableColumn id="31" xr3:uid="{E7A24CB9-93F0-4A85-850E-7341B3A6FEC8}" name="Saturation_min" dataDxfId="138">
      <calculatedColumnFormula>(SoilSpec[[#This Row],[Moisture_Min]]/SoilSpec[[#This Row],[Porosity_Min %]])*100</calculatedColumnFormula>
    </tableColumn>
    <tableColumn id="34" xr3:uid="{FD8EEE54-90D8-4D16-AD8B-0C5F8D4C9D1A}" name="Saturation_max" dataDxfId="137">
      <calculatedColumnFormula>SoilSpec[[#This Row],[Moisture_Max]]/SoilSpec[[#This Row],[Porosity_Max %]]*100</calculatedColumnFormula>
    </tableColumn>
    <tableColumn id="35" xr3:uid="{A97D6CA7-0A5F-4A71-9C38-B74BD4924508}" name="Sand_Min" dataDxfId="8"/>
    <tableColumn id="36" xr3:uid="{30DB6DF0-29C1-4E2E-987A-FF90A0AD0B3F}" name="Sand_Max" dataDxfId="7"/>
    <tableColumn id="37" xr3:uid="{1E873EEC-E35C-4DC7-BE19-41A099043948}" name="Silt_Min" dataDxfId="6"/>
    <tableColumn id="38" xr3:uid="{92E47FEB-6765-48D0-9832-7FE7F1EA65C9}" name="Silt_Max" dataDxfId="5"/>
    <tableColumn id="39" xr3:uid="{1E301206-CF93-465D-B0EF-59D0B7292AA7}" name="Clay_Min" dataDxfId="4"/>
    <tableColumn id="40" xr3:uid="{2676F372-E809-49D2-BB59-C59A73BA3E69}" name="Clay_Max" dataDxfId="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E9D3456-95DF-48F7-9C3C-0165DC53B366}" name="FertLevels" displayName="FertLevels" ref="B130:D133" totalsRowShown="0" headerRowDxfId="136" dataDxfId="134" headerRowBorderDxfId="135" tableBorderDxfId="133" totalsRowBorderDxfId="132">
  <tableColumns count="3">
    <tableColumn id="1" xr3:uid="{EB288084-095A-4413-A45F-577588B91C30}" name="Level" dataDxfId="131"/>
    <tableColumn id="2" xr3:uid="{46CBAF1A-F1F0-4A3C-A8B9-38467118DE2B}" name="Min" dataDxfId="130"/>
    <tableColumn id="3" xr3:uid="{9F091D95-1D39-4100-8D4A-54A366FC30A1}" name="Max" dataDxfId="12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6821F5F-737D-46CB-9E36-D9E3651A95FD}" name="USDAClass" displayName="USDAClass" ref="B7:O19" totalsRowShown="0" headerRowDxfId="128" dataDxfId="126" headerRowBorderDxfId="127" tableBorderDxfId="125">
  <tableColumns count="14">
    <tableColumn id="1" xr3:uid="{DA5178C8-0C29-458C-9C20-27D6C176FCBE}" name="Texture" dataDxfId="124"/>
    <tableColumn id="2" xr3:uid="{8C6465FF-F197-4D9F-9233-E6919C142B7A}" name="Field Capacity" dataDxfId="123"/>
    <tableColumn id="3" xr3:uid="{B713526B-95EC-4388-B47A-345D7496679E}" name="Wilting Point" dataDxfId="122"/>
    <tableColumn id="4" xr3:uid="{DCC985FE-B0BF-402D-ABCA-885CC2CF8282}" name="Sand (%)" dataDxfId="121">
      <calculatedColumnFormula>U39</calculatedColumnFormula>
    </tableColumn>
    <tableColumn id="5" xr3:uid="{33397A5E-0C7A-4B21-99AB-ACFD8075E399}" name="Silt (%)" dataDxfId="120">
      <calculatedColumnFormula>W39</calculatedColumnFormula>
    </tableColumn>
    <tableColumn id="6" xr3:uid="{E3AA3F48-D0DD-413F-B1B7-9F8A44DB7B86}" name="Clay (%)" dataDxfId="119">
      <calculatedColumnFormula>Y39</calculatedColumnFormula>
    </tableColumn>
    <tableColumn id="7" xr3:uid="{6998EC68-D102-41C3-BC70-97E3F2C1BFA2}" name="TAW" dataDxfId="118" dataCellStyle="Percent">
      <calculatedColumnFormula>C8-D8</calculatedColumnFormula>
    </tableColumn>
    <tableColumn id="8" xr3:uid="{D7671883-6693-4632-8E32-3C7403643F66}" name="RAW" dataDxfId="117">
      <calculatedColumnFormula>H8*(AB8/100)</calculatedColumnFormula>
    </tableColumn>
    <tableColumn id="9" xr3:uid="{BAF2B558-BBAD-46E8-86B4-D1D3314F2201}" name="Total Moisture Content" dataDxfId="116">
      <calculatedColumnFormula>(C8-(H8*AB8/100))</calculatedColumnFormula>
    </tableColumn>
    <tableColumn id="10" xr3:uid="{6BAB317C-FE0A-4FB6-8061-5EBAEA858A12}" name="Porosity %" dataDxfId="115">
      <calculatedColumnFormula xml:space="preserve"> (1
   - _xlfn.XLOOKUP(
       USDAClass[[#This Row],[Texture]],
       SoilSpec[Texture],
       SoilSpec[BD_Min (t/m³)]
     )
     / _xlfn.XLOOKUP(
         USDAClass[[#This Row],[Texture]],
         SoilSpec[Texture],
         SoilSpec[Particle Density]
       )
  )
  * 100</calculatedColumnFormula>
    </tableColumn>
    <tableColumn id="11" xr3:uid="{CAE844F0-4868-4442-8E9D-B446453A7F9E}" name="Saturation" dataDxfId="114">
      <calculatedColumnFormula xml:space="preserve"> ROUND(
    USDAClass[[#This Row],[Field Capacity]]
    / USDAClass[[#This Row],[Porosity %]]
    * 100,
    0
  )</calculatedColumnFormula>
    </tableColumn>
    <tableColumn id="12" xr3:uid="{96F8C248-C6A6-4690-99CC-382418889DF0}" name="USDA Index" dataDxfId="113"/>
    <tableColumn id="13" xr3:uid="{77556AB6-717A-4E79-9B76-85696B61B400}" name="EC_Factor" dataDxfId="112"/>
    <tableColumn id="14" xr3:uid="{F6940F34-5518-4C87-867A-F34EE0121212}" name="BIAS" dataDxfId="11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E8ECFB7-3028-4603-81E7-E1E1AE39C7E9}" name="FertilitySpec" displayName="FertilitySpec" ref="B135:D145" totalsRowShown="0" headerRowDxfId="110" dataDxfId="108" headerRowBorderDxfId="109" tableBorderDxfId="107" totalsRowBorderDxfId="106">
  <tableColumns count="3">
    <tableColumn id="1" xr3:uid="{C91535CB-6603-40F9-8401-76BFDD3520E6}" name="Parameters" dataDxfId="105"/>
    <tableColumn id="2" xr3:uid="{1525F58B-324E-43A8-8461-F815CBDE701C}" name="Min" dataDxfId="104"/>
    <tableColumn id="3" xr3:uid="{9045C838-07F9-4537-A478-C9F38754A419}" name="Max" dataDxfId="10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8F8163C-039E-4F22-A479-28A3299FE5FE}" name="EnvironmentalSpec" displayName="EnvironmentalSpec" ref="B147:D154" totalsRowShown="0" headerRowDxfId="102" dataDxfId="100" headerRowBorderDxfId="101" tableBorderDxfId="99" totalsRowBorderDxfId="98">
  <tableColumns count="3">
    <tableColumn id="1" xr3:uid="{C75ACF82-2288-4833-8E29-207698A4867A}" name="Parameters" dataDxfId="97"/>
    <tableColumn id="2" xr3:uid="{BB10B765-28B8-4CDA-AE02-4F5B26F34393}" name="Min" dataDxfId="96"/>
    <tableColumn id="3" xr3:uid="{B5A95BB4-9CBE-4B9F-997A-3C0E7F5F499D}" name="Max" dataDxfId="9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A91D632C-B0C2-418C-ACCD-0F7903B2DDB4}" name="CN_Adjust" displayName="CN_Adjust" ref="B167:D170" totalsRowShown="0" headerRowDxfId="94" dataDxfId="92" headerRowBorderDxfId="93" tableBorderDxfId="91">
  <tableColumns count="3">
    <tableColumn id="1" xr3:uid="{E98230B2-19F3-4B82-B1D2-3DB01334EEF9}" name="CN_Ratio_Min" dataDxfId="90"/>
    <tableColumn id="2" xr3:uid="{0D717F38-B975-4B8E-B25C-AB0A966D7012}" name="CN_Ratio_Max" dataDxfId="89"/>
    <tableColumn id="3" xr3:uid="{BD2C7E55-5DE5-4ED9-8764-027938D488D3}" name="N_Adjust" dataDxfId="88"/>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4179B74-FFBD-4425-994B-CB10A6E49ED3}" name="SensorLab" displayName="SensorLab" ref="J53:U857" totalsRowShown="0" headerRowDxfId="87" dataDxfId="85" headerRowBorderDxfId="86" tableBorderDxfId="84">
  <tableColumns count="12">
    <tableColumn id="1" xr3:uid="{49CABCFD-E6AC-4D87-8E06-45BAF3D9C061}" name="Sample_ID" dataDxfId="83"/>
    <tableColumn id="2" xr3:uid="{0B90F9C8-456E-4A12-8DE6-ACD7B1376524}" name="Analyte" dataDxfId="82"/>
    <tableColumn id="3" xr3:uid="{AFF2A6EF-0A7D-4E5E-AA17-7035C5BA929F}" name="Raw_Value" dataDxfId="81"/>
    <tableColumn id="11" xr3:uid="{1B1EF162-576F-40E7-831A-4791D7B09816}" name="Raw_Factored" dataDxfId="80">
      <calculatedColumnFormula>_xlfn.LET(
  _xlpm.analyte, SensorLab[[#This Row],[Analyte]],
  _xlpm.raw, N(SensorLab[[#This Row],[Raw_Value]]),
  _xlpm.scaleF, IFERROR(
    _xlfn.XLOOKUP(_xlpm.analyte, CalibrationCoefficients[Analyte], CalibrationCoefficients[ScaleFactor]),
    1
  ),
  IF(AND(_xlpm.analyte&lt;&gt;"", ISNUMBER(_xlpm.raw)), _xlpm.raw * _xlpm.scaleF, "NA")
)</calculatedColumnFormula>
    </tableColumn>
    <tableColumn id="4" xr3:uid="{CCA646CE-3A6D-4B4E-BE26-D92585118FB6}" name="Tarnab_Lab" dataDxfId="79">
      <calculatedColumnFormula array="1">_xlfn.IFS(
  AND(N51&gt;=85, N53&lt;10), "Sand",
  AND(N51&gt;=70, N51&lt;85, N53&lt;15), "Loamy Sand",
  AND(N51&gt;=43, N51&lt;85, N53&gt;=7, N53&lt;=20), "Sandy Loam",
  AND(N53&gt;=7, N53&lt;=27, N51&gt;=23, N51&lt;=52), "Loam",
  AND(N52&gt;=50, N53&lt;=27), "Silt Loam",
  AND(N53&gt;=27, N53&lt;=40, N51&gt;=20, N51&lt;=45), "Clay Loam",
  AND(N52&gt;=80, N53&lt;12), "Silt",
  AND(N53&gt;=35, N53&lt;=55, N51&gt;=45, N51&lt;=65), "Sandy Clay",
  AND(N53&gt;=27, N53&lt;=40, N52&gt;=40, N52&lt;=60), "Silty Clay Loam",
  AND(N53&gt;=40, N53&lt;=60, N52&gt;=40), "Silty Clay",
  AND(N53&gt;=40, N51&lt;=45), "Clay",
  AND(N53&gt;=27, N53&lt;=40, N51&gt;=20, N51&lt;=35), "Sandy Clay Loam",
  TRUE, "Unclassified"
)</calculatedColumnFormula>
    </tableColumn>
    <tableColumn id="9" xr3:uid="{90C7F99D-29FE-47ED-8AAB-9C75C6E7AB73}" name="Bari_Lab" dataDxfId="78">
      <calculatedColumnFormula>SensorLab[[#This Row],[Tarnab_Lab]]</calculatedColumnFormula>
    </tableColumn>
    <tableColumn id="10" xr3:uid="{50A0DA36-11F0-4E57-8E07-318154467DAC}" name="ManuChar_Lab" dataDxfId="77">
      <calculatedColumnFormula>SensorLab[[#This Row],[Tarnab_Lab]]</calculatedColumnFormula>
    </tableColumn>
    <tableColumn id="5" xr3:uid="{CC4D64FC-6072-4A98-8F30-E8F5B4CA83BE}" name="Labs_Result" dataDxfId="76">
      <calculatedColumnFormula>_xlfn.LET(
  _xlpm.tRaw, SensorLab[[#This Row],[Tarnab_Lab]],
  _xlpm.bRaw, SensorLab[[#This Row],[Bari_Lab]],
  _xlpm.mRaw, SensorLab[[#This Row],[ManuChar_Lab]],
  _xlpm.tIsNum, ISNUMBER(_xlpm.tRaw),
  _xlpm.bIsNum, ISNUMBER(_xlpm.bRaw),
  _xlpm.mIsNum, ISNUMBER(_xlpm.mRaw),
  _xlpm.t, IF(_xlpm.tIsNum, _xlpm.tRaw, ""),
  _xlpm.b, IF(_xlpm.bIsNum, _xlpm.bRaw, ""),
  _xlpm.m, IF(_xlpm.mIsNum, _xlpm.mRaw, ""),
  _xlpm.c, (--_xlpm.tIsNum) + (--_xlpm.bIsNum) + (--_xlpm.mIsNum),
  _xlpm.sumVals, IF(_xlpm.tIsNum, _xlpm.tRaw, 0) + IF(_xlpm.bIsNum, _xlpm.bRaw, 0) + IF(_xlpm.mIsNum, _xlpm.mRaw, 0),
  _xlpm.result,
    IF(_xlpm.c = 0, "",
      IF(_xlpm.c = 1,
         IF(_xlpm.tIsNum, _xlpm.t, IF(_xlpm.bIsNum, _xlpm.b, _xlpm.m)),
      IF(_xlpm.c = 2,
         _xlpm.sumVals / 2,
         MEDIAN(_xlpm.t, _xlpm.b, _xlpm.m)
      ))),
  _xlpm.result
)</calculatedColumnFormula>
    </tableColumn>
    <tableColumn id="6" xr3:uid="{38E426E8-43AE-406F-990A-703C0154C0EC}" name="Predicted_Base" dataDxfId="75">
      <calculatedColumnFormula>_xlfn.LET(
  _xlpm.analyte, SensorLab[[#This Row],[Analyte]],
  _xlpm.rawFactored, N(SensorLab[[#This Row],[Raw_Factored]]),
  _xlpm.slope, IFERROR(_xlfn.XLOOKUP(_xlpm.analyte, ScaleFactors[Analyte], ScaleFactors[Slope]), 0),
  _xlpm.intercept, IFERROR(_xlfn.XLOOKUP(_xlpm.analyte, ScaleFactors[Analyte], ScaleFactors[Intercept]), 0),
  _xlpm.predicted_sensor, _xlpm.rawFactored * _xlpm.slope + _xlpm.intercept,
  _xlpm.Predicted_Base, ROUND(_xlpm.predicted_sensor, 5),
  _xlpm.Predicted_Base
)</calculatedColumnFormula>
    </tableColumn>
    <tableColumn id="7" xr3:uid="{936A7889-D79F-40DA-BCCF-692C1744758C}" name="Final_Results" dataDxfId="74">
      <calculatedColumnFormula>_xlfn.LET(
  _xlpm.analyte, SensorLab[[#This Row],[Analyte]],
  _xlpm.rawFactored, N(SensorLab[[#This Row],[Predicted_Base]]),
  _xlpm.offset, IFERROR(_xlfn.XLOOKUP(_xlpm.analyte, ScaleFactors[Analyte], ScaleFactors[Offset]), 0),
  _xlpm.predicted_base, _xlpm.rawFactored + _xlpm.offset,
  _xlpm.final_result, ROUND(_xlpm.predicted_base, 5),
  _xlpm.final_result
)</calculatedColumnFormula>
    </tableColumn>
    <tableColumn id="8" xr3:uid="{6BB8D73E-385C-4191-95F6-51D37F2D0DF7}" name="Residual_Value" dataDxfId="1">
      <calculatedColumnFormula array="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calculatedColumnFormula>
    </tableColumn>
    <tableColumn id="12" xr3:uid="{A1660FCB-5280-45D5-8932-CE0640F46775}" name="Residual_Result" dataDxfId="2">
      <calculatedColumnFormula array="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E1CBCFA-8778-4DB8-AF94-580018C8C061}" name="CalibrationCoefficients" displayName="CalibrationCoefficients" ref="Y53:AJ64" totalsRowShown="0" headerRowDxfId="73" dataDxfId="71" headerRowBorderDxfId="72" tableBorderDxfId="70">
  <tableColumns count="12">
    <tableColumn id="1" xr3:uid="{D240F3A4-520E-414E-B09B-2A4978AF6AE6}" name="Analyte" dataDxfId="69"/>
    <tableColumn id="4" xr3:uid="{BF1FDC5D-32A9-49EE-9BE8-1939008AEA10}" name="ScaleFactor" dataDxfId="68"/>
    <tableColumn id="2" xr3:uid="{11B2B593-EE2F-4CB3-8ABB-76C34811060C}" name="Slope" dataDxfId="67">
      <calculatedColumnFormula array="1">_xlfn.LET(
  _xlpm.an, CalibrationCoefficients[[#This Row],[Analyte]],
  _xlpm.Acol, SensorLab[Analyte],
  _xlpm.SIDs, SensorLab[Sample_ID],
  _xlpm.Xcol, SensorLab[Raw_Factored],
  _xlpm.Ycol, SensorLab[Labs_Result],
  _xlpm.baseMask, (_xlpm.Acol=_xlpm.an) * ISNUMBER(_xlpm.Xcol) * ISNUMBER(_xlpm.Ycol) * (_xlpm.Xcol&lt;&gt;0) * (_xlpm.Ycol&lt;&gt;0),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_xlpm.xArr, IFERROR(_xlfn._xlws.FILTER(_xlpm.Xcol, _xlpm.rowsMask), _xlfn.SEQUENCE(0)),
  _xlpm.yArr, IFERROR(_xlfn._xlws.FILTER(_xlpm.Ycol, _xlpm.rowsMask), _xlfn.SEQUENCE(0)),
  _xlpm.n, MIN(COUNT(_xlpm.xArr), COUNT(_xlpm.yArr)),
  IF(_xlpm.n&lt;2, NA(),
     INDEX(LINEST(_xlpm.yArr, _xlpm.xArr, TRUE, TRUE),1,1)
  )
)</calculatedColumnFormula>
    </tableColumn>
    <tableColumn id="3" xr3:uid="{AC94C3E5-4606-46D8-B123-B64DD2549A6C}" name="Intercept" dataDxfId="66">
      <calculatedColumnFormula array="1">_xlfn.LET(
  _xlpm.an, CalibrationCoefficients[[#This Row],[Analyte]],
  _xlpm.Acol, SensorLab[Analyte],
  _xlpm.SIDs, SensorLab[Sample_ID],
  _xlpm.Xcol, SensorLab[Raw_Factored],
  _xlpm.Ycol, SensorLab[Labs_Result],
  _xlpm.baseMask, (_xlpm.Acol=_xlpm.an) * ISNUMBER(_xlpm.Xcol) * ISNUMBER(_xlpm.Ycol) * (_xlpm.Xcol&lt;&gt;0) * (_xlpm.Ycol&lt;&gt;0),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_xlpm.xArr, IFERROR(_xlfn._xlws.FILTER(_xlpm.Xcol, _xlpm.rowsMask), _xlfn.SEQUENCE(0)),
  _xlpm.yArr, IFERROR(_xlfn._xlws.FILTER(_xlpm.Ycol, _xlpm.rowsMask), _xlfn.SEQUENCE(0)),
  _xlpm.n, MIN(COUNT(_xlpm.xArr), COUNT(_xlpm.yArr)),
  IF(_xlpm.n&lt;2, NA(),
     INDEX(LINEST(_xlpm.yArr, _xlpm.xArr, TRUE, TRUE),1,2)
  )
)</calculatedColumnFormula>
    </tableColumn>
    <tableColumn id="8" xr3:uid="{7186D894-37EB-4DA4-BB80-3631DDA2FE28}" name="Offset" dataDxfId="65">
      <calculatedColumnFormula array="1">_xlfn.LET(
  _xlpm.an, CalibrationCoefficients[[#This Row],[Analyte]],
  _xlpm.Acol, SensorLab[Analyte],
  _xlpm.SIDs, SensorLab[Sample_ID],
  _xlpm.Ycol, SensorLab[Labs_Result],
  _xlpm.Pcol, SensorLab[Predicted_Base],
  _xlpm.baseMask, (_xlpm.Acol=_xlpm.an) * ISNUMBER(_xlpm.Ycol) * ISNUMBER(_xlpm.Pcol) * (N(_xlpm.Ycol)&lt;&gt;0) * (N(_xlpm.Pcol)&lt;&gt;0),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_xlpm.yArr, IFERROR(N(_xlfn._xlws.FILTER(_xlpm.Ycol, _xlpm.rowsMask)), _xlfn.SEQUENCE(0)),
  _xlpm.pArr, IFERROR(N(_xlfn._xlws.FILTER(_xlpm.Pcol, _xlpm.rowsMask)), _xlfn.SEQUENCE(0)),
  _xlpm.cnt, MIN(COUNT(_xlpm.yArr), COUNT(_xlpm.pArr)),
  _xlpm.residuals, IF(_xlpm.cnt&gt;0, _xlpm.yArr - _xlpm.pArr, _xlfn.SEQUENCE(0)),
  _xlpm.offset, IF(_xlpm.cnt&gt;0, IFERROR(MEDIAN(_xlpm.residuals), NA()), NA()),
  _xlpm.offset
)</calculatedColumnFormula>
    </tableColumn>
    <tableColumn id="6" xr3:uid="{067B0B7C-1C4A-4A77-B4D8-F4C3834392C1}" name="Unit" dataDxfId="64"/>
    <tableColumn id="7" xr3:uid="{C127D6B7-7F49-4FA5-BEF2-9E362CC02E2E}" name="Correct Samples" dataDxfId="63">
      <calculatedColumnFormula array="1">_xlfn.LET(
  _xlpm.a, CalibrationCoefficients[[#This Row],[Analyte]],
  _xlpm.Acol, SensorLab[Analyte],
  _xlpm.labT, _xlfn._xlws.FILTER(SensorLab[Tarnab_Lab],   _xlpm.Acol=_xlpm.a),
  _xlpm.labB, _xlfn._xlws.FILTER(SensorLab[Bari_Lab],    _xlpm.Acol=_xlpm.a),
  _xlpm.labM, _xlfn._xlws.FILTER(SensorLab[ManuChar_Lab], _xlpm.Acol=_xlpm.a),
  _xlpm.predRaw, _xlfn._xlws.FILTER(SensorLab[Raw_Factored], _xlpm.Acol=_xlpm.a),
  _xlpm.predConv, _xlfn._xlws.FILTER(SensorLab[Labs_Result], _xlpm.Acol=_xlpm.a),
  _xlpm.validMask, (ISNUMBER(_xlpm.predRaw)) * (ISNUMBER(_xlpm.predConv)) * (_xlpm.predRaw&lt;&gt;0) * (_xlpm.predConv&lt;&gt;0),
  _xlpm.cntT, IFERROR(COUNTA(_xlfn._xlws.FILTER(_xlpm.labT, (_xlpm.validMask) * (_xlpm.labT&lt;&gt;""))),0),
  _xlpm.cntB, IFERROR(COUNTA(_xlfn._xlws.FILTER(_xlpm.labB, (_xlpm.validMask) * (_xlpm.labB&lt;&gt;""))),0),
  _xlpm.cntM, IFERROR(COUNTA(_xlfn._xlws.FILTER(_xlpm.labM, (_xlpm.validMask) * (_xlpm.labM&lt;&gt;""))),0),
  _xlpm.cntT + _xlpm.cntB + _xlpm.cntM
)</calculatedColumnFormula>
    </tableColumn>
    <tableColumn id="5" xr3:uid="{43559688-443D-4E2A-A96C-F97E485580E0}" name="Abs_Tol" dataDxfId="62">
      <calculatedColumnFormula array="1">_xlfn.LET(
  _xlpm.an, CalibrationCoefficients[[#This Row],[Analyte]],
  _xlpm.Acol, SensorLab[Analyte],
  _xlpm.SIDs, SensorLab[Sample_ID],
  _xlpm.labsAll,   SensorLab[Labs_Result],
  _xlpm.finalsAll, SensorLab[Predicted_Base],
  _xlpm.baseMask, (_xlpm.Acol=_xlpm.an) * ISNUMBER(_xlpm.labsAll) * ISNUMBER(_xlpm.finalsAll) * (_xlpm.labsAll&lt;&gt;0) * (_xlpm.finalsAll&lt;&gt;0),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_xlpm.labs,   IFERROR(_xlfn._xlws.FILTER(_xlpm.labsAll,   _xlpm.rowsMask), _xlfn.SEQUENCE(0)),
  _xlpm.finals, IFERROR(_xlfn._xlws.FILTER(_xlpm.finalsAll, _xlpm.rowsMask), _xlfn.SEQUENCE(0)),
  _xlpm.residuals, _xlpm.labs - _xlpm.finals,
  IF(COUNT(_xlpm.residuals)&lt;2, NA(), _xlfn.STDEV.P(_xlpm.residuals))
)</calculatedColumnFormula>
    </tableColumn>
    <tableColumn id="9" xr3:uid="{D9556FF1-4F33-430A-97A8-BA2E114F7F06}" name="Rel_Tol" dataDxfId="61">
      <calculatedColumnFormula array="1">_xlfn.LET(
  _xlpm.an, CalibrationCoefficients[[#This Row],[Analyte]],
  _xlpm.Acol, SensorLab[Analyte],
  _xlpm.SIDs, SensorLab[Sample_ID],
  _xlpm.labsAll,   SensorLab[Labs_Result],
  _xlpm.finalsAll, SensorLab[Predicted_Base],
  _xlpm.baseMask, (_xlpm.Acol=_xlpm.an) * ISNUMBER(_xlpm.labsAll) * ISNUMBER(_xlpm.finalsAll) * (_xlpm.labsAll&lt;&gt;0) * (_xlpm.finalsAll&lt;&gt;0),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_xlpm.labs,   IFERROR(_xlfn._xlws.FILTER(_xlpm.labsAll,   _xlpm.rowsMask), _xlfn.SEQUENCE(0)),
  _xlpm.finals, IFERROR(_xlfn._xlws.FILTER(_xlpm.finalsAll, _xlpm.rowsMask), _xlfn.SEQUENCE(0)),
  _xlpm.residuals, _xlpm.labs - _xlpm.finals,
  _xlpm.relErrors, IF(_xlpm.labs&lt;&gt;0, ABS(_xlpm.residuals)/_xlpm.labs, NA()),
  IF(COUNT(_xlpm.relErrors)&lt;1, NA(), AVERAGE(IFERROR(_xlpm.relErrors, NA())))
)</calculatedColumnFormula>
    </tableColumn>
    <tableColumn id="10" xr3:uid="{FB410C9E-0508-481C-8839-2351E1AA42D0}" name="Fit_Stdev_Tol" dataDxfId="60">
      <calculatedColumnFormula array="1">_xlfn.LET(
  _xlpm.an, CalibrationCoefficients[[#This Row],[Analyte]],
  _xlpm.Acol, SensorLab[Analyte],
  _xlpm.SIDs, SensorLab[Sample_ID],
  _xlpm.rawsAll,   SensorLab[Raw_Factored],
  _xlpm.finalsAll, SensorLab[Final_Results],
  _xlpm.baseMask, (_xlpm.Acol=_xlpm.an) * ISNUMBER(_xlpm.rawsAll) * ISNUMBER(_xlpm.finalsAll) * (_xlpm.rawsAll&lt;&gt;0) * (_xlpm.finalsAll&lt;&gt;0),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_xlpm.rawsFactored, IFERROR(_xlfn._xlws.FILTER(_xlpm.rawsAll,   _xlpm.rowsMask), _xlfn.SEQUENCE(0)),
  _xlpm.finals,       IFERROR(_xlfn._xlws.FILTER(_xlpm.finalsAll, _xlpm.rowsMask), _xlfn.SEQUENCE(0)),
  _xlpm.slope,     _xlfn.XLOOKUP(_xlpm.an, CalibrationCoefficients[Analyte], CalibrationCoefficients[Slope]),
  _xlpm.intercept, _xlfn.XLOOKUP(_xlpm.an, CalibrationCoefficients[Analyte], CalibrationCoefficients[Intercept]),
  _xlpm.fitResiduals, _xlpm.finals - (_xlpm.rawsFactored*_xlpm.slope + _xlpm.intercept),
  IF(COUNT(_xlpm.fitResiduals)&lt;2, NA(), ROUND(_xlfn.STDEV.P(_xlpm.fitResiduals),2))
)</calculatedColumnFormula>
    </tableColumn>
    <tableColumn id="12" xr3:uid="{8895991E-F83B-4198-9566-0DD8AC3CF96C}" name="Fit_P95_Tol" dataDxfId="59">
      <calculatedColumnFormula array="1">_xlfn.LET(
  _xlpm.an, CalibrationCoefficients[[#This Row],[Analyte]],
  _xlpm.Acol, SensorLab[Analyte],
  _xlpm.SIDs, SensorLab[Sample_ID],
  _xlpm.rawsAll,   SensorLab[Raw_Factored],
  _xlpm.finalsAll, SensorLab[Final_Results],
  _xlpm.baseMask, (_xlpm.Acol=_xlpm.an) * ISNUMBER(_xlpm.rawsAll) * ISNUMBER(_xlpm.finalsAll) * (_xlpm.rawsAll&lt;&gt;0) * (_xlpm.finalsAll&lt;&gt;0),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_xlpm.rawsFactored, IFERROR(_xlfn._xlws.FILTER(_xlpm.rawsAll,   _xlpm.rowsMask), _xlfn.SEQUENCE(0)),
  _xlpm.finals,       IFERROR(_xlfn._xlws.FILTER(_xlpm.finalsAll, _xlpm.rowsMask), _xlfn.SEQUENCE(0)),
  _xlpm.slope,     _xlfn.XLOOKUP(_xlpm.an, CalibrationCoefficients[Analyte], CalibrationCoefficients[Slope]),
  _xlpm.intercept, _xlfn.XLOOKUP(_xlpm.an, CalibrationCoefficients[Analyte], CalibrationCoefficients[Intercept]),
  _xlpm.residAbs, ABS(_xlpm.finals - (_xlpm.rawsFactored*_xlpm.slope + _xlpm.intercept)),
  IF(COUNT(_xlpm.residAbs)&lt;2, NA(), ROUND(_xlfn.PERCENTILE.INC(_xlpm.residAbs,0.95),2))
)</calculatedColumnFormula>
    </tableColumn>
    <tableColumn id="13" xr3:uid="{EEEE311E-3DEF-4B01-9B15-A7E18DA53C34}" name="Median" dataDxfId="58">
      <calculatedColumnFormula array="1">MEDIAN(IF(SensorLab[Analyte]=CalibrationCoefficients[[#This Row],[Analyte]], SensorLab[Residual_Value]))</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EF76572-DFF5-47CC-BDA7-3C4E33842762}" name="CN_Lookup" displayName="CN_Lookup" ref="A18:C54" totalsRowShown="0" headerRowDxfId="57">
  <tableColumns count="3">
    <tableColumn id="1" xr3:uid="{6735138E-143A-4DB4-9231-A6DAF76F5C89}" name="Texture" dataDxfId="56"/>
    <tableColumn id="2" xr3:uid="{09B02365-6142-41F0-A805-56DB0B2FBF41}" name="Regime"/>
    <tableColumn id="3" xr3:uid="{F6A693FF-BD74-4F66-AF90-FC818BA98ACE}" name="CN_Ratio" dataDxfId="55"/>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A502BA7-E1DE-4F27-8D78-5ED2AC012876}" name="TextureMap" displayName="TextureMap" ref="A1:D13" totalsRowShown="0" headerRowDxfId="54">
  <tableColumns count="4">
    <tableColumn id="1" xr3:uid="{DE99D06D-6F1C-49CF-A494-2A480FC7FEBB}" name="Texture" dataDxfId="53"/>
    <tableColumn id="2" xr3:uid="{35296CCF-A78C-4BA7-AB21-C9419EA04DF7}" name="EC_Factor" dataDxfId="52"/>
    <tableColumn id="3" xr3:uid="{10419686-3AC2-427D-9A5D-874EE4F90288}" name="Bias" dataDxfId="51"/>
    <tableColumn id="4" xr3:uid="{4BF81E8E-F414-4222-822F-871084C062F1}" name="Index" dataDxfId="50"/>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B86ED71-8254-4A6F-B3C5-90A399AE71BC}" name="Soil_Samples" displayName="Soil_Samples" ref="A1:S68" totalsRowShown="0" headerRowDxfId="49" headerRowBorderDxfId="48" tableBorderDxfId="47">
  <tableColumns count="19">
    <tableColumn id="1" xr3:uid="{FE7CAFBE-2812-41AF-B100-C62B25F46ABF}" name="Test No" dataDxfId="46"/>
    <tableColumn id="2" xr3:uid="{FD42F835-010B-41B3-9B7D-D196481E2194}" name="Latitude" dataDxfId="45"/>
    <tableColumn id="3" xr3:uid="{8DF90509-3610-4B45-BE3D-DD7647E130BB}" name="Longitude" dataDxfId="44"/>
    <tableColumn id="4" xr3:uid="{A760B6CC-DBA2-4EA7-A11C-2F5527E0199E}" name="Grid Index" dataDxfId="43">
      <calculatedColumnFormula>_xlfn.LET(
  _xlpm.lat, B2,
  _xlpm.lon, C2,
  _xlpm.lat_origin, 0,
  _xlpm.lon_origin, 0,
  _xlpm.cell_km, 1,
  _xlpm.lat_ref, 33.43,
  _xlpm.m_per_deg_lat, 111320,
  _xlpm.m_per_deg_lon_ref, 111320 * COS(RADIANS(_xlpm.lat_ref)),
  _xlpm.cell_m, _xlpm.cell_km * 1000,
  _xlpm.y_idx, FLOOR(((_xlpm.lat - _xlpm.lat_origin) * _xlpm.m_per_deg_lat) / _xlpm.cell_m, 1),
  _xlpm.x_idx, FLOOR(((_xlpm.lon - _xlpm.lon_origin) * _xlpm.m_per_deg_lon_ref) / _xlpm.cell_m, 1),
  _xlpm.y_idx &amp; "-" &amp; _xlpm.x_idx
)</calculatedColumnFormula>
    </tableColumn>
    <tableColumn id="5" xr3:uid="{B049B086-7C59-44E8-BC6B-0B788C7F8D70}" name="N" dataDxfId="42">
      <calculatedColumnFormula array="1">_xlfn.XLOOKUP(1, (SensorLab[Sample_ID]=A2) * (SensorLab[Analyte]=$E$1), SensorLab[Final_Results], "Not Found")</calculatedColumnFormula>
    </tableColumn>
    <tableColumn id="6" xr3:uid="{6B8D5C74-F0DD-4BDB-AB03-50BB50613556}" name="P" dataDxfId="41">
      <calculatedColumnFormula array="1">_xlfn.XLOOKUP(1, (SensorLab[Sample_ID]=A2) * (SensorLab[Analyte]=$F$1), SensorLab[Final_Results], "Not Found")</calculatedColumnFormula>
    </tableColumn>
    <tableColumn id="7" xr3:uid="{108167B0-4953-4860-AC6B-F2757A1180D6}" name="K" dataDxfId="40">
      <calculatedColumnFormula array="1">_xlfn.XLOOKUP(1, (SensorLab[Sample_ID]=A2) * (SensorLab[Analyte]=$G$1), SensorLab[Final_Results], "Not Found")</calculatedColumnFormula>
    </tableColumn>
    <tableColumn id="8" xr3:uid="{FF6E9853-D31F-4365-89E3-D2FF4F569B66}" name="Conductivity" dataDxfId="39">
      <calculatedColumnFormula array="1">_xlfn.XLOOKUP(1, (SensorLab[Sample_ID]=A2) * (SensorLab[Analyte]=$H$1), SensorLab[Final_Results], "Not Found")</calculatedColumnFormula>
    </tableColumn>
    <tableColumn id="9" xr3:uid="{56007B2D-B8CC-4F76-866C-35AAF0690613}" name="pH" dataDxfId="38">
      <calculatedColumnFormula array="1">_xlfn.XLOOKUP(1, (SensorLab[Sample_ID]=A2) * (SensorLab[Analyte]=$I$1), SensorLab[Final_Results], "Not Found")</calculatedColumnFormula>
    </tableColumn>
    <tableColumn id="10" xr3:uid="{904362F6-6766-444A-AF5D-18478F7EFD37}" name="SoilTemp" dataDxfId="37">
      <calculatedColumnFormula array="1">_xlfn.XLOOKUP(1, (SensorLab[Sample_ID]=A2) * (SensorLab[Analyte]=$J$1), SensorLab[Final_Results], "Not Found")</calculatedColumnFormula>
    </tableColumn>
    <tableColumn id="11" xr3:uid="{2A9749F9-578E-4F02-8CFA-3F449CCABB54}" name="Moisture" dataDxfId="36">
      <calculatedColumnFormula array="1">_xlfn.XLOOKUP(1, (SensorLab[Sample_ID]=A2) * (SensorLab[Analyte]=$K$1), SensorLab[Final_Results], "Not Found")</calculatedColumnFormula>
    </tableColumn>
    <tableColumn id="12" xr3:uid="{CF3FF56A-191E-48DD-8168-4C0280439429}" name="OM" dataDxfId="35">
      <calculatedColumnFormula array="1">_xlfn.XLOOKUP(1, (SensorLab[Sample_ID]=A2) * (SensorLab[Analyte]=$L$1), SensorLab[Final_Results], "Not Found")</calculatedColumnFormula>
    </tableColumn>
    <tableColumn id="13" xr3:uid="{D6A5CC8F-72CE-4A19-BCB3-CC77D6A9DC28}" name="Sand" dataDxfId="34">
      <calculatedColumnFormula array="1">_xlfn.XLOOKUP(1, (SensorLab[Sample_ID]=A2) * (SensorLab[Analyte]=$M$1), SensorLab[Final_Results], "Not Found")</calculatedColumnFormula>
    </tableColumn>
    <tableColumn id="14" xr3:uid="{E2602948-0890-47B7-B0FE-C85BE2CDE68B}" name="Silt" dataDxfId="33">
      <calculatedColumnFormula array="1">_xlfn.XLOOKUP(1, (SensorLab[Sample_ID]=A2) * (SensorLab[Analyte]=$N$1), SensorLab[Final_Results], "Not Found")</calculatedColumnFormula>
    </tableColumn>
    <tableColumn id="15" xr3:uid="{0968D40A-1174-4336-B3A1-CB7F6C60A88B}" name="Clay" dataDxfId="32">
      <calculatedColumnFormula array="1">_xlfn.XLOOKUP(1, (SensorLab[Sample_ID]=A2) * (SensorLab[Analyte]=$O$1), SensorLab[Final_Results], "Not Found")</calculatedColumnFormula>
    </tableColumn>
    <tableColumn id="16" xr3:uid="{BBB7179E-14EC-4E46-8539-5BD3AAA114A0}" name="Texture" dataDxfId="0">
      <calculatedColumnFormula array="1">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calculatedColumnFormula>
    </tableColumn>
    <tableColumn id="17" xr3:uid="{58A235D8-FCB2-4B03-9A43-EE4834ED42A7}" name="Distance" dataDxfId="31">
      <calculatedColumnFormula array="1">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calculatedColumnFormula>
    </tableColumn>
    <tableColumn id="18" xr3:uid="{BD66038F-A59B-4593-9538-2EC803150771}" name="Confidence" dataDxfId="30">
      <calculatedColumnFormula array="1">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calculatedColumnFormula>
    </tableColumn>
    <tableColumn id="19" xr3:uid="{4B75138C-F26B-4068-80CD-B8329083D380}" name="Result" dataDxfId="29">
      <calculatedColumnFormula>_xlfn.LET(
   _xlpm.Dtxt, Q2,
   _xlpm.Ctxt, R2,
   _xlpm.Dnum, IFERROR(N(_xlpm.Dtxt), IFERROR(VALUE(SUBSTITUTE(_xlpm.Dtxt,"%",""))/100,"")),
   _xlpm.Dval, IF(_xlpm.Dnum="",NA(),N(_xlpm.Dnum)),
   _xlpm.Craw, IFERROR(
            IF(RIGHT(TRIM(_xlpm.Ctxt),1)="%",
               VALUE(SUBSTITUTE(TRIM(_xlpm.Ctxt),"%",""))/100,
               N(_xlpm.Ctxt)
            ),
            ""
         ),
   _xlpm.Cval, IF(_xlpm.Craw="",NA(),N(_xlpm.Craw)),
   _xlpm.distGood, 2,
   _xlpm.distPoor, 8,
   _xlpm.confHigh, 0.9,
   _xlpm.confLow, 0.5,
   _xlpm.result,
      IF(OR(ISNA(_xlpm.Dval),ISNA(_xlpm.Cval)),"Review: input",
         IF(AND(_xlpm.Dval&lt;=_xlpm.distGood,_xlpm.Cval&gt;=_xlpm.confHigh),"Suitable",
            IF(OR(_xlpm.Dval&gt;_xlpm.distPoor,_xlpm.Cval&lt;_xlpm.confLow),"Not Suitable","Moderate")
         )
      ),
   _xlpm.result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97" dT="2025-10-14T14:24:59.50" personId="{E5BC718E-9706-4B25-978B-9A6F5F65F2B7}" id="{70E63DC2-D616-4EF8-88F4-6569CCCF2B18}">
    <text xml:space="preserve">Drafting the explanation
The user needs to know more about lime, especially for agricultural use, and the key benefits it brings. I’m thinking of highlighting how it raises pH, provides calcium and magnesium, and improves nutrient availability, soil structure, and microbial activity. I’ll include types like dolomitic lime and hydrated lime and discuss uses for fields, pastures, and gardens. Also, I’ll talk about how to apply lime—things like timing, particle size, and neutralizing value. I’ll organize everything in clear paragraphs, and use bullet points for the benefits. Then we’ll wrap it up! Agricultural lime (aglime) is a soil amendment made primarily from pulverized limestone or chalk, whose main component is calcium carbonate (CaCO₃). Its key role in agronomy is to correct soil acidity and improve overall soil health.
Why Lime Matters
• pH regulation: Raises soil pH by neutralizing hydrogen and aluminum ions, turning acidic soils toward neutral or slightly alkaline conditions.
• Nutrient availability: By reducing acidity, it unlocks essential nutrients (N, P, K) that become less available in low-pH soils.
• Calcium and magnesium source: Depending on its composition, lime supplies calcium and, in the case of dolomitic lime, magnesium, both critical plant nutrients.
• Soil structure and biology: Improves soil aggregation for better aeration and water infiltration, and fosters beneficial microbial activity crucial for nutrient cycling.
Types of Agricultural Lime
• Calcitic lime: Almost pure CaCO₃, highest neutralizing power.
• Dolomitic lime: Contains CaCO₃ and MgCO₃, adds magnesium to the soil.
• Hydrated lime (Ca(OH)₂) or quicklime (CaO): Faster-acting but caustic; used less often in broadacre fields due to handling and cost.
Application Recommendations
• Particle size: Finer particles react faster; aim for a loaf-pan or soil-pH-test–specified mesh size.
• Timing: Apply and incorporate at least several weeks before planting to allow microbial oxidation and full reaction.
• Rates: Determined by target pH, soil buffer capacity, and Effective Neutralizing Value (ENV) of the lime. Soil tests and liming tables guide exact t/ha rates.
By incorporating agricultural lime appropriately, farmers can turn acid-bound fields into highly productive ground, increasing yield potential and improving long-term soil resilience.
</text>
  </threadedComment>
  <threadedComment ref="D98" dT="2025-10-14T14:24:02.07" personId="{E5BC718E-9706-4B25-978B-9A6F5F65F2B7}" id="{EEF69B8E-E411-49A6-B858-1B9FC4949B17}">
    <text xml:space="preserve">Explaining elemental sulfur
Alright, the user wants a simple explanation of elemental sulfur, so I’ll keep it straightforward. Elemental sulfur, in its pure form, is a yellow solid and is used in agriculture to acidify soil. It's also useful for reclaiming sodic soils and needs microbial oxidation to be effective. I’ll mention that it’s distinct from sulfate sulfur and that it can be used as a fertilizer. no need for citations here since the user didn’t ask for them. Let me wrap that up concisely. Elemental sulfur (S⁰) is the pure, insoluble form of sulfur used in agriculture primarily to lower soil pH and supply sulfur nutrition slowly over time. It appears as a yellow, inert, crystalline powder that doesn’t dissolve in water. Once incorporated into soil, indigenous microbes oxidize S⁰ into sulfate (SO₄²⁻), the form plants can absorb.
Key points:
Slow-release acidity: Microbial oxidation of S⁰ produces sulfuric acid, which lowers soil pH—useful for reclaiming alkaline or sodic soils.
Nutrient source: As it converts to sulfate, elemental S becomes a long-term sulfur fertilizer, supporting crop needs without the leaching losses of soluble sulfate sources.
Particle size matters: Finer S⁰ particles oxidize faster and more uniformly, so agricultural products are often ground to maximize surface area.
Application timing: Best applied and incorporated into soil well before planting (ideally several weeks to months ahead) to allow oxidation to occur.
In practice, you’ll see recommendations like “Apply 0.5 t/ha elemental S” to correct mild alkalinity or supply 10–40 kg SO₃-equivalent of sulfur for various crops, depending on their specific S requirements.
</text>
  </threadedComment>
</ThreadedComment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 dockstate="right" visibility="0" width="350" row="7">
    <wetp:webextensionref xmlns:r="http://schemas.openxmlformats.org/officeDocument/2006/relationships" r:id="rId2"/>
  </wetp:taskpane>
</wetp:taskpanes>
</file>

<file path=xl/webextensions/webextension1.xml><?xml version="1.0" encoding="utf-8"?>
<we:webextension xmlns:we="http://schemas.microsoft.com/office/webextensions/webextension/2010/11" id="{B0DB6EA4-9895-4B48-B4D6-3AA734A99229}">
  <we:reference id="wa200006575" version="1.0.0.3" store="en-US" storeType="OMEX"/>
  <we:alternateReferences>
    <we:reference id="wa200006575" version="1.0.0.3" store="wa200006575"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A665C1E9-B263-445E-9B0A-74B9F412628D}">
  <we:reference id="wa200006009" version="2.1.0.10" store="en-US" storeType="OMEX"/>
  <we:alternateReferences>
    <we:reference id="wa200006009" version="2.1.0.10" store="wa200006009"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_xldudf_SAI_ASK</we:customFunctionIds>
        <we:customFunctionIds>_xldudf_SAI_PROMPTARRAY</we:customFunctionIds>
        <we:customFunctionIds>_xldudf_SAI_GENERATETABLE</we:customFunctionIds>
        <we:customFunctionIds>_xldudf_SAI_FILL</we:customFunctionIds>
        <we:customFunctionIds>_xldudf_SAI_SPLIT</we:customFunctionIds>
        <we:customFunctionIds>_xldudf_SAI_EXTRACT</we:customFunctionIds>
        <we:customFunctionIds>_xldudf_SAI_EXTRACTARRAY</we:customFunctionIds>
        <we:customFunctionIds>_xldudf_SAI_EDIT</we:customFunctionIds>
        <we:customFunctionIds>_xldudf_SAI_EDITARRAY</we:customFunctionIds>
        <we:customFunctionIds>_xldudf_SAI_FORMAT</we:customFunctionIds>
        <we:customFunctionIds>_xldudf_SAI_FORMATARRAY</we:customFunctionIds>
        <we:customFunctionIds>_xldudf_SAI_CLASSIFY</we:customFunctionIds>
        <we:customFunctionIds>_xldudf_SAI_CLASSIFYARRAY</we:customFunctionIds>
        <we:customFunctionIds>_xldudf_SAI_TAG</we:customFunctionIds>
        <we:customFunctionIds>_xldudf_SAI_TAGARRAY</we:customFunctionIds>
        <we:customFunctionIds>_xldudf_SAI_SUMMARIZE</we:customFunctionIds>
        <we:customFunctionIds>_xldudf_SAI_SUMMARIZEARRAY</we:customFunctionIds>
      </we:customFunctionIdList>
    </a:ext>
  </we:extLst>
</we:webextension>
</file>

<file path=xl/worksheets/_rels/sheet1.xml.rels><?xml version="1.0" encoding="UTF-8" standalone="yes"?>
<Relationships xmlns="http://schemas.openxmlformats.org/package/2006/relationships"><Relationship Id="rId8" Type="http://schemas.openxmlformats.org/officeDocument/2006/relationships/table" Target="../tables/table6.xml"/><Relationship Id="rId13" Type="http://schemas.openxmlformats.org/officeDocument/2006/relationships/comments" Target="../comments1.xml"/><Relationship Id="rId3" Type="http://schemas.openxmlformats.org/officeDocument/2006/relationships/table" Target="../tables/table1.xml"/><Relationship Id="rId7" Type="http://schemas.openxmlformats.org/officeDocument/2006/relationships/table" Target="../tables/table5.xml"/><Relationship Id="rId12" Type="http://schemas.openxmlformats.org/officeDocument/2006/relationships/table" Target="../tables/table10.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6" Type="http://schemas.openxmlformats.org/officeDocument/2006/relationships/table" Target="../tables/table4.xml"/><Relationship Id="rId11" Type="http://schemas.openxmlformats.org/officeDocument/2006/relationships/table" Target="../tables/table9.xml"/><Relationship Id="rId5" Type="http://schemas.openxmlformats.org/officeDocument/2006/relationships/table" Target="../tables/table3.xml"/><Relationship Id="rId10" Type="http://schemas.openxmlformats.org/officeDocument/2006/relationships/table" Target="../tables/table8.xml"/><Relationship Id="rId4" Type="http://schemas.openxmlformats.org/officeDocument/2006/relationships/table" Target="../tables/table2.xml"/><Relationship Id="rId9" Type="http://schemas.openxmlformats.org/officeDocument/2006/relationships/table" Target="../tables/table7.xml"/><Relationship Id="rId1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table" Target="../tables/table1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9D189-EB75-4F55-8D9E-BA2994EA48E1}">
  <sheetPr codeName="Sheet1">
    <pageSetUpPr fitToPage="1"/>
  </sheetPr>
  <dimension ref="A2:AW863"/>
  <sheetViews>
    <sheetView topLeftCell="H405" zoomScaleNormal="100" workbookViewId="0">
      <selection activeCell="S425" sqref="S425"/>
    </sheetView>
  </sheetViews>
  <sheetFormatPr defaultColWidth="13.140625" defaultRowHeight="10.5" x14ac:dyDescent="0.15"/>
  <cols>
    <col min="1" max="1" width="13.140625" style="34"/>
    <col min="2" max="2" width="26.28515625" style="34" bestFit="1" customWidth="1"/>
    <col min="3" max="3" width="13.140625" style="34" bestFit="1" customWidth="1"/>
    <col min="4" max="4" width="29.85546875" style="34" bestFit="1" customWidth="1"/>
    <col min="5" max="5" width="28.85546875" style="34" bestFit="1" customWidth="1"/>
    <col min="6" max="6" width="11.28515625" style="34" bestFit="1" customWidth="1"/>
    <col min="7" max="7" width="8.140625" style="34" bestFit="1" customWidth="1"/>
    <col min="8" max="8" width="8.85546875" style="34" bestFit="1" customWidth="1"/>
    <col min="9" max="9" width="8.28515625" style="34" bestFit="1" customWidth="1"/>
    <col min="10" max="10" width="19.85546875" style="34" bestFit="1" customWidth="1"/>
    <col min="11" max="12" width="10" style="4" bestFit="1" customWidth="1"/>
    <col min="13" max="13" width="13.7109375" style="34" bestFit="1" customWidth="1"/>
    <col min="14" max="14" width="15.140625" style="34" bestFit="1" customWidth="1"/>
    <col min="15" max="15" width="11.28515625" style="34" bestFit="1" customWidth="1"/>
    <col min="16" max="16" width="13.140625" style="34" bestFit="1" customWidth="1"/>
    <col min="17" max="17" width="11.28515625" style="4" bestFit="1" customWidth="1"/>
    <col min="18" max="18" width="20.5703125" style="34" bestFit="1" customWidth="1"/>
    <col min="19" max="19" width="26.140625" style="34" bestFit="1" customWidth="1"/>
    <col min="20" max="20" width="13.42578125" style="34" bestFit="1" customWidth="1"/>
    <col min="21" max="21" width="41.28515625" style="34" bestFit="1" customWidth="1"/>
    <col min="22" max="22" width="11.85546875" style="34" bestFit="1" customWidth="1"/>
    <col min="23" max="23" width="13.42578125" style="34" bestFit="1" customWidth="1"/>
    <col min="24" max="24" width="12.28515625" style="34" bestFit="1" customWidth="1"/>
    <col min="25" max="25" width="9.85546875" style="34" bestFit="1" customWidth="1"/>
    <col min="26" max="26" width="11.28515625" style="34" bestFit="1" customWidth="1"/>
    <col min="27" max="27" width="16.140625" style="34" bestFit="1" customWidth="1"/>
    <col min="28" max="29" width="12.85546875" style="34" bestFit="1" customWidth="1"/>
    <col min="30" max="30" width="13.5703125" style="34" bestFit="1" customWidth="1"/>
    <col min="31" max="31" width="14.42578125" style="34" bestFit="1" customWidth="1"/>
    <col min="32" max="32" width="14" style="34" bestFit="1" customWidth="1"/>
    <col min="33" max="33" width="14.5703125" style="34" bestFit="1" customWidth="1"/>
    <col min="34" max="34" width="13.7109375" style="34" bestFit="1" customWidth="1"/>
    <col min="35" max="35" width="14.28515625" style="34" bestFit="1" customWidth="1"/>
    <col min="36" max="36" width="8.85546875" style="34" bestFit="1" customWidth="1"/>
    <col min="37" max="37" width="9.42578125" style="34" bestFit="1" customWidth="1"/>
    <col min="38" max="38" width="7.42578125" style="50" bestFit="1" customWidth="1"/>
    <col min="39" max="39" width="8" style="4" bestFit="1" customWidth="1"/>
    <col min="40" max="40" width="8.28515625" style="34" bestFit="1" customWidth="1"/>
    <col min="41" max="41" width="8.85546875" style="34" bestFit="1" customWidth="1"/>
    <col min="42" max="42" width="8.42578125" style="34" bestFit="1" customWidth="1"/>
    <col min="43" max="43" width="9.28515625" style="34" bestFit="1" customWidth="1"/>
    <col min="44" max="44" width="5" style="34" bestFit="1" customWidth="1"/>
    <col min="45" max="45" width="9.85546875" style="34" bestFit="1" customWidth="1"/>
    <col min="46" max="46" width="13.42578125" style="34" bestFit="1" customWidth="1"/>
    <col min="47" max="47" width="8.42578125" style="34" bestFit="1" customWidth="1"/>
    <col min="48" max="48" width="5.85546875" style="34" bestFit="1" customWidth="1"/>
    <col min="49" max="49" width="14.85546875" style="34" bestFit="1" customWidth="1"/>
    <col min="50" max="16384" width="13.140625" style="34"/>
  </cols>
  <sheetData>
    <row r="2" spans="2:38" x14ac:dyDescent="0.15">
      <c r="AD2" s="265"/>
      <c r="AE2" s="265"/>
      <c r="AF2" s="265"/>
      <c r="AG2" s="265"/>
      <c r="AH2" s="265"/>
      <c r="AI2" s="265"/>
      <c r="AJ2" s="265"/>
      <c r="AK2" s="265"/>
    </row>
    <row r="3" spans="2:38" x14ac:dyDescent="0.15">
      <c r="AD3" s="16"/>
      <c r="AE3" s="16"/>
      <c r="AF3" s="16"/>
      <c r="AG3" s="16"/>
      <c r="AH3" s="16"/>
      <c r="AI3" s="16"/>
      <c r="AJ3" s="16"/>
      <c r="AK3" s="16"/>
    </row>
    <row r="4" spans="2:38" x14ac:dyDescent="0.15">
      <c r="AD4" s="5"/>
      <c r="AE4" s="4"/>
      <c r="AF4" s="4"/>
      <c r="AG4" s="4"/>
      <c r="AH4" s="4"/>
      <c r="AI4" s="4"/>
      <c r="AJ4" s="4"/>
      <c r="AK4" s="4"/>
    </row>
    <row r="5" spans="2:38" x14ac:dyDescent="0.15">
      <c r="C5" s="4"/>
      <c r="D5" s="5"/>
      <c r="H5" s="6"/>
      <c r="I5" s="6"/>
      <c r="J5" s="6"/>
      <c r="K5" s="6"/>
      <c r="L5" s="6"/>
      <c r="P5" s="38"/>
      <c r="Q5" s="16"/>
      <c r="R5" s="4"/>
      <c r="T5" s="272" t="s">
        <v>155</v>
      </c>
      <c r="U5" s="273"/>
    </row>
    <row r="6" spans="2:38" x14ac:dyDescent="0.15">
      <c r="B6" s="269" t="s">
        <v>10</v>
      </c>
      <c r="C6" s="269"/>
      <c r="D6" s="269"/>
      <c r="E6" s="269"/>
      <c r="F6" s="269"/>
      <c r="G6" s="269"/>
      <c r="H6" s="269"/>
      <c r="I6" s="269"/>
      <c r="J6" s="269"/>
      <c r="K6" s="269"/>
      <c r="L6" s="269"/>
      <c r="M6" s="270" t="s">
        <v>163</v>
      </c>
      <c r="N6" s="274"/>
      <c r="O6" s="271"/>
      <c r="Q6" s="270" t="s">
        <v>78</v>
      </c>
      <c r="R6" s="271"/>
      <c r="S6" s="3" t="s">
        <v>30</v>
      </c>
      <c r="T6" s="270" t="s">
        <v>158</v>
      </c>
      <c r="U6" s="271"/>
      <c r="V6" s="270" t="s">
        <v>36</v>
      </c>
      <c r="W6" s="274"/>
      <c r="X6" s="274"/>
      <c r="Y6" s="274"/>
      <c r="Z6" s="274"/>
      <c r="AA6" s="271"/>
      <c r="AB6" s="16"/>
      <c r="AC6" s="16"/>
      <c r="AD6" s="265"/>
      <c r="AE6" s="265"/>
      <c r="AF6" s="265"/>
      <c r="AG6" s="265"/>
      <c r="AH6" s="265"/>
      <c r="AI6" s="265"/>
      <c r="AJ6" s="265"/>
      <c r="AK6" s="265"/>
    </row>
    <row r="7" spans="2:38" x14ac:dyDescent="0.15">
      <c r="B7" s="113" t="s">
        <v>69</v>
      </c>
      <c r="C7" s="77" t="s">
        <v>11</v>
      </c>
      <c r="D7" s="77" t="s">
        <v>12</v>
      </c>
      <c r="E7" s="77" t="s">
        <v>56</v>
      </c>
      <c r="F7" s="77" t="s">
        <v>57</v>
      </c>
      <c r="G7" s="77" t="s">
        <v>58</v>
      </c>
      <c r="H7" s="143" t="s">
        <v>13</v>
      </c>
      <c r="I7" s="143" t="s">
        <v>14</v>
      </c>
      <c r="J7" s="143" t="s">
        <v>114</v>
      </c>
      <c r="K7" s="143" t="s">
        <v>148</v>
      </c>
      <c r="L7" s="157" t="s">
        <v>37</v>
      </c>
      <c r="M7" s="129" t="s">
        <v>161</v>
      </c>
      <c r="N7" s="130" t="s">
        <v>76</v>
      </c>
      <c r="O7" s="136" t="s">
        <v>162</v>
      </c>
      <c r="P7" s="1" t="s">
        <v>15</v>
      </c>
      <c r="Q7" s="33" t="s">
        <v>79</v>
      </c>
      <c r="R7" s="12" t="s">
        <v>80</v>
      </c>
      <c r="S7" s="33" t="s">
        <v>20</v>
      </c>
      <c r="T7" s="1" t="s">
        <v>159</v>
      </c>
      <c r="U7" s="1" t="s">
        <v>160</v>
      </c>
      <c r="V7" s="33" t="s">
        <v>31</v>
      </c>
      <c r="W7" s="31" t="s">
        <v>32</v>
      </c>
      <c r="X7" s="31" t="s">
        <v>33</v>
      </c>
      <c r="Y7" s="31" t="s">
        <v>34</v>
      </c>
      <c r="Z7" s="31" t="s">
        <v>35</v>
      </c>
      <c r="AA7" s="12" t="s">
        <v>42</v>
      </c>
      <c r="AB7" s="144" t="s">
        <v>167</v>
      </c>
      <c r="AC7" s="16"/>
      <c r="AD7" s="16"/>
      <c r="AE7" s="16"/>
      <c r="AF7" s="16"/>
      <c r="AG7" s="16"/>
      <c r="AH7" s="16"/>
      <c r="AI7" s="16"/>
      <c r="AJ7" s="16"/>
      <c r="AK7" s="16"/>
      <c r="AL7" s="248"/>
    </row>
    <row r="8" spans="2:38" x14ac:dyDescent="0.15">
      <c r="B8" s="146" t="s">
        <v>0</v>
      </c>
      <c r="C8" s="4">
        <v>11</v>
      </c>
      <c r="D8" s="4">
        <v>4</v>
      </c>
      <c r="E8" s="147">
        <f t="shared" ref="E8:E19" si="0">U39</f>
        <v>92.5</v>
      </c>
      <c r="F8" s="147">
        <f t="shared" ref="F8:F19" si="1">W39</f>
        <v>7.5</v>
      </c>
      <c r="G8" s="147">
        <f t="shared" ref="G8:G19" si="2">Y39</f>
        <v>5</v>
      </c>
      <c r="H8" s="145">
        <f t="shared" ref="H8:H19" si="3">C8-D8</f>
        <v>7</v>
      </c>
      <c r="I8" s="51">
        <f t="shared" ref="I8:I19" si="4">H8*(AB8/100)</f>
        <v>5.25</v>
      </c>
      <c r="J8" s="51">
        <f t="shared" ref="J8:J19" si="5">(C8-(H8*AB8/100))</f>
        <v>5.75</v>
      </c>
      <c r="K8" s="51">
        <f xml:space="preserve"> (1
   - _xlfn.XLOOKUP(
       USDAClass[[#This Row],[Texture]],
       SoilSpec[Texture],
       SoilSpec[BD_Min (t/m³)]
     )
     / _xlfn.XLOOKUP(
         USDAClass[[#This Row],[Texture]],
         SoilSpec[Texture],
         SoilSpec[Particle Density]
       )
  )
  * 100</f>
        <v>49.68553459119498</v>
      </c>
      <c r="L8" s="148">
        <f xml:space="preserve"> ROUND(
    USDAClass[[#This Row],[Field Capacity]]
    / USDAClass[[#This Row],[Porosity %]]
    * 100,
    0
  )</f>
        <v>22</v>
      </c>
      <c r="M8" s="131">
        <v>0</v>
      </c>
      <c r="N8" s="30">
        <f>ROUND(5+USDAClass[[#This Row],[Clay (%)]]/10,0)</f>
        <v>6</v>
      </c>
      <c r="O8" s="132">
        <f>USDAClass[[#This Row],[USDA Index]]+1</f>
        <v>1</v>
      </c>
      <c r="P8" s="53" t="s">
        <v>16</v>
      </c>
      <c r="Q8" s="46">
        <f>_xlfn.LET(
  _xlpm.total, E8 + F8 + G8,
  _xlpm.s, E8 / _xlpm.total,
  _xlpm.c, G8 / _xlpm.total,
  _xlpm.om, IF(ISNUMBER(Y2), Y2 / 100, 0),
  _xlpm.theta33, -0.251*_xlpm.s + 0.195*_xlpm.c + 0.011*_xlpm.om + 0.006*_xlpm.s*_xlpm.om - 0.027*_xlpm.c*_xlpm.om + 0.452*_xlpm.s*_xlpm.c + 0.299,
  MAX(0, MIN(100, _xlpm.theta33 * 100))
)</f>
        <v>10.612811791383219</v>
      </c>
      <c r="R8" s="47">
        <f>_xlfn.LET(
  _xlpm.total, E8 + F8 + G8,
  _xlpm.s, E8 / _xlpm.total,
  _xlpm.c, G8 / _xlpm.total,
  _xlpm.om, IF(ISNUMBER(Y2), Y2 / 100, 0),
  _xlpm.theta1500, -0.024*_xlpm.s + 0.487*_xlpm.c + 0.006*_xlpm.om + 0.005*_xlpm.s*_xlpm.om - 0.013*_xlpm.c*_xlpm.om + 0.068*_xlpm.s*_xlpm.c + 0.031,
  MAX(0, MIN(100, _xlpm.theta1500 * 100))
)</f>
        <v>3.5900226757369613</v>
      </c>
      <c r="S8" s="4" t="s">
        <v>17</v>
      </c>
      <c r="T8" s="7">
        <v>6</v>
      </c>
      <c r="U8" s="165">
        <v>8</v>
      </c>
      <c r="V8" s="35">
        <f t="shared" ref="V8:V19" si="6">AVERAGE(
  VLOOKUP(B8,$B$24:$AF$35,2,FALSE),
  VLOOKUP(B8,$B$24:$AF$35,3,FALSE)
)</f>
        <v>7</v>
      </c>
      <c r="W8" s="94">
        <f t="shared" ref="W8:W19" si="7">AVERAGE(
  VLOOKUP($B8,$B$24:$AF$35,4,FALSE),
  VLOOKUP($B8,$B$24:$AF$35,5,FALSE)
)</f>
        <v>7</v>
      </c>
      <c r="X8" s="94">
        <f t="shared" ref="X8:X19" si="8">AVERAGE(
  VLOOKUP($B8,$B$24:$AF$35,6,FALSE),
  VLOOKUP($B8,$B$24:$AF$35,7,FALSE)
)</f>
        <v>70</v>
      </c>
      <c r="Y8" s="5">
        <f t="shared" ref="Y8:Y19" si="9">AVERAGE(
  VLOOKUP(B8,$B$24:$AF$35,10,FALSE),
  VLOOKUP(B8,$B$24:$AF$35,11,FALSE)
)</f>
        <v>7.25</v>
      </c>
      <c r="Z8" s="95">
        <f t="shared" ref="Z8:Z19" si="10">AVERAGE(
  VLOOKUP(B8,$B$24:$AF$35,8,FALSE),
  VLOOKUP(B8,$B$24:$AF$35,9,FALSE)
)</f>
        <v>0.77500000000000002</v>
      </c>
      <c r="AA8" s="14">
        <f t="shared" ref="AA8:AA19" si="11">AVERAGE(
  VLOOKUP(B8,$B$24:$AF$35,12,FALSE),
  VLOOKUP(B8,$B$24:$AF$35,13,FALSE)
)</f>
        <v>10</v>
      </c>
      <c r="AB8" s="53">
        <v>75</v>
      </c>
      <c r="AD8" s="5"/>
      <c r="AE8" s="5"/>
      <c r="AF8" s="5"/>
      <c r="AG8" s="5"/>
      <c r="AH8" s="5"/>
      <c r="AI8" s="5"/>
      <c r="AJ8" s="5"/>
      <c r="AK8" s="5"/>
      <c r="AL8" s="51"/>
    </row>
    <row r="9" spans="2:38" x14ac:dyDescent="0.15">
      <c r="B9" s="146" t="s">
        <v>1</v>
      </c>
      <c r="C9" s="4">
        <v>18</v>
      </c>
      <c r="D9" s="4">
        <v>8</v>
      </c>
      <c r="E9" s="147">
        <f t="shared" si="0"/>
        <v>80</v>
      </c>
      <c r="F9" s="147">
        <f t="shared" si="1"/>
        <v>12.5</v>
      </c>
      <c r="G9" s="147">
        <f t="shared" si="2"/>
        <v>7.5</v>
      </c>
      <c r="H9" s="145">
        <f t="shared" si="3"/>
        <v>10</v>
      </c>
      <c r="I9" s="51">
        <f t="shared" si="4"/>
        <v>7.5</v>
      </c>
      <c r="J9" s="51">
        <f t="shared" si="5"/>
        <v>10.5</v>
      </c>
      <c r="K9" s="51">
        <f xml:space="preserve"> (1
   - _xlfn.XLOOKUP(
       USDAClass[[#This Row],[Texture]],
       SoilSpec[Texture],
       SoilSpec[BD_Min (t/m³)]
     )
     / _xlfn.XLOOKUP(
         USDAClass[[#This Row],[Texture]],
         SoilSpec[Texture],
         SoilSpec[Particle Density]
       )
  )
  * 100</f>
        <v>45.283018867924532</v>
      </c>
      <c r="L9" s="148">
        <f xml:space="preserve"> ROUND(
    USDAClass[[#This Row],[Field Capacity]]
    / USDAClass[[#This Row],[Porosity %]]
    * 100,
    0
  )</f>
        <v>40</v>
      </c>
      <c r="M9" s="131">
        <v>1</v>
      </c>
      <c r="N9" s="30">
        <f>ROUND(5+USDAClass[[#This Row],[Clay (%)]]/10,0)</f>
        <v>6</v>
      </c>
      <c r="O9" s="132">
        <f>USDAClass[[#This Row],[USDA Index]]+1</f>
        <v>2</v>
      </c>
      <c r="P9" s="53" t="s">
        <v>18</v>
      </c>
      <c r="Q9" s="46">
        <f>_xlfn.LET(
  _xlpm.total, E9 + F9 + G9,
  _xlpm.s, E9 / _xlpm.total,
  _xlpm.c, G9 / _xlpm.total,
  _xlpm.om, IF(ISNUMBER(Y3), Y3 / 100, 0),
  _xlpm.theta33, -0.251*_xlpm.s + 0.195*_xlpm.c + 0.011*_xlpm.om + 0.006*_xlpm.s*_xlpm.om - 0.027*_xlpm.c*_xlpm.om + 0.452*_xlpm.s*_xlpm.c + 0.299,
  MAX(0, MIN(100, _xlpm.theta33 * 100))
)</f>
        <v>13.994499999999999</v>
      </c>
      <c r="R9" s="47">
        <f>_xlfn.LET(
  _xlpm.total, E9 + F9 + G9,
  _xlpm.s, E9 / _xlpm.total,
  _xlpm.c, G9 / _xlpm.total,
  _xlpm.om, IF(ISNUMBER(Y3), Y3 / 100, 0),
  _xlpm.theta1500, -0.024*_xlpm.s + 0.487*_xlpm.c + 0.006*_xlpm.om + 0.005*_xlpm.s*_xlpm.om - 0.013*_xlpm.c*_xlpm.om + 0.068*_xlpm.s*_xlpm.c + 0.031,
  MAX(0, MIN(100, _xlpm.theta1500 * 100))
)</f>
        <v>5.240499999999999</v>
      </c>
      <c r="S9" s="4" t="s">
        <v>19</v>
      </c>
      <c r="T9" s="7">
        <v>5</v>
      </c>
      <c r="U9" s="165">
        <v>7</v>
      </c>
      <c r="V9" s="35">
        <f t="shared" si="6"/>
        <v>9.5</v>
      </c>
      <c r="W9" s="94">
        <f t="shared" si="7"/>
        <v>9</v>
      </c>
      <c r="X9" s="94">
        <f t="shared" si="8"/>
        <v>90</v>
      </c>
      <c r="Y9" s="5">
        <f t="shared" si="9"/>
        <v>7.15</v>
      </c>
      <c r="Z9" s="95">
        <f t="shared" si="10"/>
        <v>1.0249999999999999</v>
      </c>
      <c r="AA9" s="14">
        <f t="shared" si="11"/>
        <v>14</v>
      </c>
      <c r="AB9" s="53">
        <v>75</v>
      </c>
      <c r="AD9" s="5"/>
      <c r="AE9" s="5"/>
      <c r="AF9" s="5"/>
      <c r="AG9" s="5"/>
      <c r="AH9" s="5"/>
      <c r="AI9" s="5"/>
      <c r="AJ9" s="5"/>
      <c r="AK9" s="5"/>
      <c r="AL9" s="51"/>
    </row>
    <row r="10" spans="2:38" x14ac:dyDescent="0.15">
      <c r="B10" s="146" t="s">
        <v>2</v>
      </c>
      <c r="C10" s="4">
        <v>23</v>
      </c>
      <c r="D10" s="4">
        <v>10</v>
      </c>
      <c r="E10" s="147">
        <f t="shared" si="0"/>
        <v>64</v>
      </c>
      <c r="F10" s="147">
        <f t="shared" si="1"/>
        <v>25</v>
      </c>
      <c r="G10" s="147">
        <f t="shared" si="2"/>
        <v>10</v>
      </c>
      <c r="H10" s="145">
        <f t="shared" si="3"/>
        <v>13</v>
      </c>
      <c r="I10" s="51">
        <f t="shared" si="4"/>
        <v>9.1</v>
      </c>
      <c r="J10" s="51">
        <f t="shared" si="5"/>
        <v>13.9</v>
      </c>
      <c r="K10" s="51">
        <f xml:space="preserve"> (1
   - _xlfn.XLOOKUP(
       USDAClass[[#This Row],[Texture]],
       SoilSpec[Texture],
       SoilSpec[BD_Min (t/m³)]
     )
     / _xlfn.XLOOKUP(
         USDAClass[[#This Row],[Texture]],
         SoilSpec[Texture],
         SoilSpec[Particle Density]
       )
  )
  * 100</f>
        <v>44.73032208881267</v>
      </c>
      <c r="L10" s="148">
        <f xml:space="preserve"> ROUND(
    USDAClass[[#This Row],[Field Capacity]]
    / USDAClass[[#This Row],[Porosity %]]
    * 100,
    0
  )</f>
        <v>51</v>
      </c>
      <c r="M10" s="131">
        <v>2</v>
      </c>
      <c r="N10" s="30">
        <f>ROUND(5+USDAClass[[#This Row],[Clay (%)]]/10,0)</f>
        <v>6</v>
      </c>
      <c r="O10" s="132">
        <f>USDAClass[[#This Row],[USDA Index]]+1</f>
        <v>3</v>
      </c>
      <c r="P10" s="53" t="s">
        <v>18</v>
      </c>
      <c r="Q10" s="46">
        <f>_xlfn.LET(
  _xlpm.total, E10 + F10 + G10,
  _xlpm.s, E10 / _xlpm.total,
  _xlpm.c, G10 / _xlpm.total,
  _xlpm.om, IF(ISNUMBER(Y4), Y4 / 100, 0),
  _xlpm.theta33, -0.251*_xlpm.s + 0.195*_xlpm.c + 0.011*_xlpm.om + 0.006*_xlpm.s*_xlpm.om - 0.027*_xlpm.c*_xlpm.om + 0.452*_xlpm.s*_xlpm.c + 0.299,
  MAX(0, MIN(100, _xlpm.theta33 * 100))
)</f>
        <v>18.594969901030506</v>
      </c>
      <c r="R10" s="47">
        <f>_xlfn.LET(
  _xlpm.total, E10 + F10 + G10,
  _xlpm.s, E10 / _xlpm.total,
  _xlpm.c, G10 / _xlpm.total,
  _xlpm.om, IF(ISNUMBER(Y4), Y4 / 100, 0),
  _xlpm.theta1500, -0.024*_xlpm.s + 0.487*_xlpm.c + 0.006*_xlpm.om + 0.005*_xlpm.s*_xlpm.om - 0.013*_xlpm.c*_xlpm.om + 0.068*_xlpm.s*_xlpm.c + 0.031,
  MAX(0, MIN(100, _xlpm.theta1500 * 100))
)</f>
        <v>6.9117130905009692</v>
      </c>
      <c r="S10" s="4" t="s">
        <v>22</v>
      </c>
      <c r="T10" s="7">
        <v>4</v>
      </c>
      <c r="U10" s="165">
        <v>6</v>
      </c>
      <c r="V10" s="35">
        <f t="shared" si="6"/>
        <v>13</v>
      </c>
      <c r="W10" s="94">
        <f t="shared" si="7"/>
        <v>12</v>
      </c>
      <c r="X10" s="94">
        <f t="shared" si="8"/>
        <v>120</v>
      </c>
      <c r="Y10" s="5">
        <f t="shared" si="9"/>
        <v>7</v>
      </c>
      <c r="Z10" s="95">
        <f t="shared" si="10"/>
        <v>1.3</v>
      </c>
      <c r="AA10" s="14">
        <f t="shared" si="11"/>
        <v>17.5</v>
      </c>
      <c r="AB10" s="53">
        <v>70</v>
      </c>
      <c r="AD10" s="5"/>
      <c r="AE10" s="5"/>
      <c r="AF10" s="5"/>
      <c r="AG10" s="5"/>
      <c r="AH10" s="5"/>
      <c r="AI10" s="5"/>
      <c r="AJ10" s="5"/>
      <c r="AK10" s="5"/>
      <c r="AL10" s="51"/>
    </row>
    <row r="11" spans="2:38" x14ac:dyDescent="0.15">
      <c r="B11" s="146" t="s">
        <v>3</v>
      </c>
      <c r="C11" s="6">
        <v>27</v>
      </c>
      <c r="D11" s="4">
        <v>12</v>
      </c>
      <c r="E11" s="147">
        <f t="shared" si="0"/>
        <v>37.5</v>
      </c>
      <c r="F11" s="147">
        <f t="shared" si="1"/>
        <v>39</v>
      </c>
      <c r="G11" s="147">
        <f t="shared" si="2"/>
        <v>17</v>
      </c>
      <c r="H11" s="145">
        <f t="shared" si="3"/>
        <v>15</v>
      </c>
      <c r="I11" s="51">
        <f t="shared" si="4"/>
        <v>9</v>
      </c>
      <c r="J11" s="51">
        <f t="shared" si="5"/>
        <v>18</v>
      </c>
      <c r="K11" s="51">
        <f xml:space="preserve"> (1
   - _xlfn.XLOOKUP(
       USDAClass[[#This Row],[Texture]],
       SoilSpec[Texture],
       SoilSpec[BD_Min (t/m³)]
     )
     / _xlfn.XLOOKUP(
         USDAClass[[#This Row],[Texture]],
         SoilSpec[Texture],
         SoilSpec[Particle Density]
       )
  )
  * 100</f>
        <v>51.568963777620823</v>
      </c>
      <c r="L11" s="148">
        <f xml:space="preserve"> ROUND(
    USDAClass[[#This Row],[Field Capacity]]
    / USDAClass[[#This Row],[Porosity %]]
    * 100,
    0
  )</f>
        <v>52</v>
      </c>
      <c r="M11" s="131">
        <v>3</v>
      </c>
      <c r="N11" s="30">
        <f>ROUND(5+USDAClass[[#This Row],[Clay (%)]]/10,0)</f>
        <v>7</v>
      </c>
      <c r="O11" s="132">
        <f>USDAClass[[#This Row],[USDA Index]]+1</f>
        <v>4</v>
      </c>
      <c r="P11" s="53" t="s">
        <v>21</v>
      </c>
      <c r="Q11" s="46">
        <f>_xlfn.LET(
  _xlpm.total, E11 + F11 + G11,
  _xlpm.s, E11 / _xlpm.total,
  _xlpm.c, G11 / _xlpm.total,
  _xlpm.om, IF(ISNUMBER(#REF!),#REF! / 100, 0),
  _xlpm.theta33, -0.251*_xlpm.s + 0.195*_xlpm.c + 0.011*_xlpm.om + 0.006*_xlpm.s*_xlpm.om - 0.027*_xlpm.c*_xlpm.om + 0.452*_xlpm.s*_xlpm.c + 0.299,
  MAX(0, MIN(100, _xlpm.theta33 * 100))
)</f>
        <v>26.674671852211958</v>
      </c>
      <c r="R11" s="47">
        <f>_xlfn.LET(
  _xlpm.total, E11 + F11 + G11,
  _xlpm.s, E11 / _xlpm.total,
  _xlpm.c, G11 / _xlpm.total,
  _xlpm.om, IF(ISNUMBER(#REF!),#REF! / 100, 0),
  _xlpm.theta1500, -0.024*_xlpm.s + 0.487*_xlpm.c + 0.006*_xlpm.om + 0.005*_xlpm.s*_xlpm.om - 0.013*_xlpm.c*_xlpm.om + 0.068*_xlpm.s*_xlpm.c + 0.031,
  MAX(0, MIN(100, _xlpm.theta1500 * 100))
)</f>
        <v>11.487846378220711</v>
      </c>
      <c r="S11" s="4" t="s">
        <v>23</v>
      </c>
      <c r="T11" s="7">
        <v>3</v>
      </c>
      <c r="U11" s="165">
        <v>5</v>
      </c>
      <c r="V11" s="35">
        <f t="shared" si="6"/>
        <v>16.5</v>
      </c>
      <c r="W11" s="94">
        <f t="shared" si="7"/>
        <v>15</v>
      </c>
      <c r="X11" s="94">
        <f t="shared" si="8"/>
        <v>155</v>
      </c>
      <c r="Y11" s="5">
        <f t="shared" si="9"/>
        <v>6.85</v>
      </c>
      <c r="Z11" s="95">
        <f t="shared" si="10"/>
        <v>1.55</v>
      </c>
      <c r="AA11" s="14">
        <f t="shared" si="11"/>
        <v>22.5</v>
      </c>
      <c r="AB11" s="53">
        <v>60</v>
      </c>
      <c r="AD11" s="5"/>
      <c r="AE11" s="5"/>
      <c r="AF11" s="5"/>
      <c r="AG11" s="5"/>
      <c r="AH11" s="5"/>
      <c r="AI11" s="5"/>
      <c r="AJ11" s="5"/>
      <c r="AK11" s="5"/>
      <c r="AL11" s="51"/>
    </row>
    <row r="12" spans="2:38" x14ac:dyDescent="0.15">
      <c r="B12" s="146" t="s">
        <v>4</v>
      </c>
      <c r="C12" s="6">
        <v>28</v>
      </c>
      <c r="D12" s="4">
        <v>10</v>
      </c>
      <c r="E12" s="147">
        <f t="shared" si="0"/>
        <v>25</v>
      </c>
      <c r="F12" s="147">
        <f t="shared" si="1"/>
        <v>69</v>
      </c>
      <c r="G12" s="147">
        <f t="shared" si="2"/>
        <v>13.5</v>
      </c>
      <c r="H12" s="145">
        <f t="shared" si="3"/>
        <v>18</v>
      </c>
      <c r="I12" s="51">
        <f t="shared" si="4"/>
        <v>10.799999999999999</v>
      </c>
      <c r="J12" s="51">
        <f t="shared" si="5"/>
        <v>17.2</v>
      </c>
      <c r="K12" s="51">
        <f xml:space="preserve"> (1
   - _xlfn.XLOOKUP(
       USDAClass[[#This Row],[Texture]],
       SoilSpec[Texture],
       SoilSpec[BD_Min (t/m³)]
     )
     / _xlfn.XLOOKUP(
         USDAClass[[#This Row],[Texture]],
         SoilSpec[Texture],
         SoilSpec[Particle Density]
       )
  )
  * 100</f>
        <v>59.631417288284339</v>
      </c>
      <c r="L12" s="148">
        <f xml:space="preserve"> ROUND(
    USDAClass[[#This Row],[Field Capacity]]
    / USDAClass[[#This Row],[Porosity %]]
    * 100,
    0
  )</f>
        <v>47</v>
      </c>
      <c r="M12" s="131">
        <v>4</v>
      </c>
      <c r="N12" s="30">
        <f>ROUND(5+USDAClass[[#This Row],[Clay (%)]]/10,0)</f>
        <v>6</v>
      </c>
      <c r="O12" s="132">
        <f>USDAClass[[#This Row],[USDA Index]]+1</f>
        <v>5</v>
      </c>
      <c r="P12" s="53" t="s">
        <v>21</v>
      </c>
      <c r="Q12" s="46">
        <f>_xlfn.LET(
  _xlpm.total, E12 + F12 + G12,
  _xlpm.s, E12 / _xlpm.total,
  _xlpm.c, G12 / _xlpm.total,
  _xlpm.om, IF(ISNUMBER(#REF!),#REF! / 100, 0),
  _xlpm.theta33, -0.251*_xlpm.s + 0.195*_xlpm.c + 0.011*_xlpm.om + 0.006*_xlpm.s*_xlpm.om - 0.027*_xlpm.c*_xlpm.om + 0.452*_xlpm.s*_xlpm.c + 0.299,
  MAX(0, MIN(100, _xlpm.theta33 * 100))
)</f>
        <v>27.831692806922661</v>
      </c>
      <c r="R12" s="47">
        <f>_xlfn.LET(
  _xlpm.total, E12 + F12 + G12,
  _xlpm.s, E12 / _xlpm.total,
  _xlpm.c, G12 / _xlpm.total,
  _xlpm.om, IF(ISNUMBER(#REF!),#REF! / 100, 0),
  _xlpm.theta1500, -0.024*_xlpm.s + 0.487*_xlpm.c + 0.006*_xlpm.om + 0.005*_xlpm.s*_xlpm.om - 0.013*_xlpm.c*_xlpm.om + 0.068*_xlpm.s*_xlpm.c + 0.031,
  MAX(0, MIN(100, _xlpm.theta1500 * 100))
)</f>
        <v>8.8562682531097892</v>
      </c>
      <c r="S12" s="4" t="s">
        <v>26</v>
      </c>
      <c r="T12" s="7">
        <v>3</v>
      </c>
      <c r="U12" s="165">
        <v>4</v>
      </c>
      <c r="V12" s="35">
        <f t="shared" si="6"/>
        <v>20</v>
      </c>
      <c r="W12" s="94">
        <f t="shared" si="7"/>
        <v>18</v>
      </c>
      <c r="X12" s="94">
        <f t="shared" si="8"/>
        <v>185</v>
      </c>
      <c r="Y12" s="5">
        <f t="shared" si="9"/>
        <v>6.75</v>
      </c>
      <c r="Z12" s="95">
        <f t="shared" si="10"/>
        <v>1.55</v>
      </c>
      <c r="AA12" s="14">
        <f t="shared" si="11"/>
        <v>27.5</v>
      </c>
      <c r="AB12" s="53">
        <v>60</v>
      </c>
      <c r="AD12" s="5"/>
      <c r="AE12" s="5"/>
      <c r="AF12" s="5"/>
      <c r="AG12" s="5"/>
      <c r="AH12" s="5"/>
      <c r="AI12" s="5"/>
      <c r="AJ12" s="5"/>
      <c r="AK12" s="5"/>
      <c r="AL12" s="51"/>
    </row>
    <row r="13" spans="2:38" x14ac:dyDescent="0.15">
      <c r="B13" s="146" t="s">
        <v>9</v>
      </c>
      <c r="C13" s="6">
        <v>31</v>
      </c>
      <c r="D13" s="4">
        <v>17</v>
      </c>
      <c r="E13" s="147">
        <f t="shared" si="0"/>
        <v>36</v>
      </c>
      <c r="F13" s="147">
        <f t="shared" si="1"/>
        <v>36</v>
      </c>
      <c r="G13" s="147">
        <f t="shared" si="2"/>
        <v>29</v>
      </c>
      <c r="H13" s="145">
        <f t="shared" si="3"/>
        <v>14</v>
      </c>
      <c r="I13" s="51">
        <f t="shared" si="4"/>
        <v>8.4</v>
      </c>
      <c r="J13" s="51">
        <f t="shared" si="5"/>
        <v>22.6</v>
      </c>
      <c r="K13" s="51">
        <f xml:space="preserve"> (1
   - _xlfn.XLOOKUP(
       USDAClass[[#This Row],[Texture]],
       SoilSpec[Texture],
       SoilSpec[BD_Min (t/m³)]
     )
     / _xlfn.XLOOKUP(
         USDAClass[[#This Row],[Texture]],
         SoilSpec[Texture],
         SoilSpec[Particle Density]
       )
  )
  * 100</f>
        <v>58.901550532411726</v>
      </c>
      <c r="L13" s="148">
        <f xml:space="preserve"> ROUND(
    USDAClass[[#This Row],[Field Capacity]]
    / USDAClass[[#This Row],[Porosity %]]
    * 100,
    0
  )</f>
        <v>53</v>
      </c>
      <c r="M13" s="131">
        <v>7</v>
      </c>
      <c r="N13" s="30">
        <f>ROUND(5+USDAClass[[#This Row],[Clay (%)]]/10,0)</f>
        <v>8</v>
      </c>
      <c r="O13" s="132">
        <f>USDAClass[[#This Row],[USDA Index]]+1</f>
        <v>8</v>
      </c>
      <c r="P13" s="53" t="s">
        <v>24</v>
      </c>
      <c r="Q13" s="46">
        <f>_xlfn.LET(
  _xlpm.total, E13 + F13 + G13,
  _xlpm.s, E13 / _xlpm.total,
  _xlpm.c, G13 / _xlpm.total,
  _xlpm.om, IF(ISNUMBER(#REF!),#REF! / 100, 0),
  _xlpm.theta33, -0.251*_xlpm.s + 0.195*_xlpm.c + 0.011*_xlpm.om + 0.006*_xlpm.s*_xlpm.om - 0.027*_xlpm.c*_xlpm.om + 0.452*_xlpm.s*_xlpm.c + 0.299,
  MAX(0, MIN(100, _xlpm.theta33 * 100))
)</f>
        <v>31.178374669150084</v>
      </c>
      <c r="R13" s="47">
        <f>_xlfn.LET(
  _xlpm.total, E13 + F13 + G13,
  _xlpm.s, E13 / _xlpm.total,
  _xlpm.c, G13 / _xlpm.total,
  _xlpm.om, IF(ISNUMBER(#REF!),#REF! / 100, 0),
  _xlpm.theta1500, -0.024*_xlpm.s + 0.487*_xlpm.c + 0.006*_xlpm.om + 0.005*_xlpm.s*_xlpm.om - 0.013*_xlpm.c*_xlpm.om + 0.068*_xlpm.s*_xlpm.c + 0.031,
  MAX(0, MIN(100, _xlpm.theta1500 * 100))
)</f>
        <v>16.923654543672185</v>
      </c>
      <c r="S13" s="4" t="s">
        <v>25</v>
      </c>
      <c r="T13" s="7">
        <v>2</v>
      </c>
      <c r="U13" s="165">
        <v>4</v>
      </c>
      <c r="V13" s="35">
        <f t="shared" si="6"/>
        <v>22.5</v>
      </c>
      <c r="W13" s="94">
        <f t="shared" si="7"/>
        <v>20.5</v>
      </c>
      <c r="X13" s="94">
        <f t="shared" si="8"/>
        <v>225</v>
      </c>
      <c r="Y13" s="5">
        <f t="shared" si="9"/>
        <v>6.75</v>
      </c>
      <c r="Z13" s="95">
        <f t="shared" si="10"/>
        <v>2.0750000000000002</v>
      </c>
      <c r="AA13" s="14">
        <f t="shared" si="11"/>
        <v>30</v>
      </c>
      <c r="AB13" s="53">
        <v>60</v>
      </c>
      <c r="AD13" s="5"/>
      <c r="AE13" s="5"/>
      <c r="AF13" s="5"/>
      <c r="AG13" s="5"/>
      <c r="AH13" s="5"/>
      <c r="AI13" s="5"/>
      <c r="AJ13" s="5"/>
      <c r="AK13" s="5"/>
      <c r="AL13" s="51"/>
    </row>
    <row r="14" spans="2:38" x14ac:dyDescent="0.15">
      <c r="B14" s="146" t="s">
        <v>5</v>
      </c>
      <c r="C14" s="32">
        <v>30</v>
      </c>
      <c r="D14" s="32">
        <v>9</v>
      </c>
      <c r="E14" s="147">
        <f t="shared" si="0"/>
        <v>10</v>
      </c>
      <c r="F14" s="147">
        <f t="shared" si="1"/>
        <v>90</v>
      </c>
      <c r="G14" s="147">
        <f t="shared" si="2"/>
        <v>10</v>
      </c>
      <c r="H14" s="145">
        <f t="shared" si="3"/>
        <v>21</v>
      </c>
      <c r="I14" s="51">
        <f t="shared" si="4"/>
        <v>11.55</v>
      </c>
      <c r="J14" s="51">
        <f t="shared" si="5"/>
        <v>18.45</v>
      </c>
      <c r="K14" s="51">
        <f xml:space="preserve"> (1
   - _xlfn.XLOOKUP(
       USDAClass[[#This Row],[Texture]],
       SoilSpec[Texture],
       SoilSpec[BD_Min (t/m³)]
     )
     / _xlfn.XLOOKUP(
         USDAClass[[#This Row],[Texture]],
         SoilSpec[Texture],
         SoilSpec[Particle Density]
       )
  )
  * 100</f>
        <v>62.264150943396224</v>
      </c>
      <c r="L14" s="148">
        <f xml:space="preserve"> ROUND(
    USDAClass[[#This Row],[Field Capacity]]
    / USDAClass[[#This Row],[Porosity %]]
    * 100,
    0
  )</f>
        <v>48</v>
      </c>
      <c r="M14" s="131">
        <v>5</v>
      </c>
      <c r="N14" s="30">
        <f>ROUND(5+USDAClass[[#This Row],[Clay (%)]]/10,0)</f>
        <v>6</v>
      </c>
      <c r="O14" s="132">
        <f>USDAClass[[#This Row],[USDA Index]]+1</f>
        <v>6</v>
      </c>
      <c r="P14" s="53" t="s">
        <v>21</v>
      </c>
      <c r="Q14" s="46">
        <f>_xlfn.LET(
  _xlpm.total, E14 + F14 + G14,
  _xlpm.s, E14 / _xlpm.total,
  _xlpm.c, G14 / _xlpm.total,
  _xlpm.om, IF(ISNUMBER(#REF!),#REF! / 100, 0),
  _xlpm.theta33, -0.251*_xlpm.s + 0.195*_xlpm.c + 0.011*_xlpm.om + 0.006*_xlpm.s*_xlpm.om - 0.027*_xlpm.c*_xlpm.om + 0.452*_xlpm.s*_xlpm.c + 0.299,
  MAX(0, MIN(100, _xlpm.theta33 * 100))
)</f>
        <v>29.764462809917351</v>
      </c>
      <c r="R14" s="47">
        <f>_xlfn.LET(
  _xlpm.total, E14 + F14 + G14,
  _xlpm.s, E14 / _xlpm.total,
  _xlpm.c, G14 / _xlpm.total,
  _xlpm.om, IF(ISNUMBER(#REF!),#REF! / 100, 0),
  _xlpm.theta1500, -0.024*_xlpm.s + 0.487*_xlpm.c + 0.006*_xlpm.om + 0.005*_xlpm.s*_xlpm.om - 0.013*_xlpm.c*_xlpm.om + 0.068*_xlpm.s*_xlpm.c + 0.031,
  MAX(0, MIN(100, _xlpm.theta1500 * 100))
)</f>
        <v>7.3652892561983485</v>
      </c>
      <c r="S14" s="4" t="s">
        <v>22</v>
      </c>
      <c r="T14" s="7">
        <v>3</v>
      </c>
      <c r="U14" s="165">
        <v>4</v>
      </c>
      <c r="V14" s="35">
        <f t="shared" si="6"/>
        <v>20</v>
      </c>
      <c r="W14" s="94">
        <f t="shared" si="7"/>
        <v>18</v>
      </c>
      <c r="X14" s="94">
        <f t="shared" si="8"/>
        <v>155</v>
      </c>
      <c r="Y14" s="5">
        <f t="shared" si="9"/>
        <v>6.75</v>
      </c>
      <c r="Z14" s="95">
        <f t="shared" si="10"/>
        <v>1.3</v>
      </c>
      <c r="AA14" s="14">
        <f t="shared" si="11"/>
        <v>27.5</v>
      </c>
      <c r="AB14" s="53">
        <v>55</v>
      </c>
      <c r="AD14" s="5"/>
      <c r="AE14" s="5"/>
      <c r="AF14" s="5"/>
      <c r="AG14" s="5"/>
      <c r="AH14" s="5"/>
      <c r="AI14" s="5"/>
      <c r="AJ14" s="5"/>
      <c r="AK14" s="5"/>
      <c r="AL14" s="51"/>
    </row>
    <row r="15" spans="2:38" x14ac:dyDescent="0.15">
      <c r="B15" s="146" t="s">
        <v>7</v>
      </c>
      <c r="C15" s="32">
        <v>33</v>
      </c>
      <c r="D15" s="32">
        <v>21</v>
      </c>
      <c r="E15" s="147">
        <f t="shared" si="0"/>
        <v>65</v>
      </c>
      <c r="F15" s="147">
        <f t="shared" si="1"/>
        <v>10</v>
      </c>
      <c r="G15" s="147">
        <f t="shared" si="2"/>
        <v>30</v>
      </c>
      <c r="H15" s="145">
        <f t="shared" si="3"/>
        <v>12</v>
      </c>
      <c r="I15" s="51">
        <f t="shared" si="4"/>
        <v>6.6000000000000005</v>
      </c>
      <c r="J15" s="51">
        <f t="shared" si="5"/>
        <v>26.4</v>
      </c>
      <c r="K15" s="51">
        <f xml:space="preserve"> (1
   - _xlfn.XLOOKUP(
       USDAClass[[#This Row],[Texture]],
       SoilSpec[Texture],
       SoilSpec[BD_Min (t/m³)]
     )
     / _xlfn.XLOOKUP(
         USDAClass[[#This Row],[Texture]],
         SoilSpec[Texture],
         SoilSpec[Particle Density]
       )
  )
  * 100</f>
        <v>56.873315363881403</v>
      </c>
      <c r="L15" s="148">
        <f xml:space="preserve"> ROUND(
    USDAClass[[#This Row],[Field Capacity]]
    / USDAClass[[#This Row],[Porosity %]]
    * 100,
    0
  )</f>
        <v>58</v>
      </c>
      <c r="M15" s="131">
        <v>10</v>
      </c>
      <c r="N15" s="30">
        <f>ROUND(5+USDAClass[[#This Row],[Clay (%)]]/10,0)</f>
        <v>8</v>
      </c>
      <c r="O15" s="132">
        <f>USDAClass[[#This Row],[USDA Index]]+1</f>
        <v>11</v>
      </c>
      <c r="P15" s="53" t="s">
        <v>21</v>
      </c>
      <c r="Q15" s="46">
        <f>_xlfn.LET(
  _xlpm.total, E15 + F15 + G15,
  _xlpm.s, E15 / _xlpm.total,
  _xlpm.c, G15 / _xlpm.total,
  _xlpm.om, IF(ISNUMBER(#REF!),#REF! / 100, 0),
  _xlpm.theta33, -0.251*_xlpm.s + 0.195*_xlpm.c + 0.011*_xlpm.om + 0.006*_xlpm.s*_xlpm.om - 0.027*_xlpm.c*_xlpm.om + 0.452*_xlpm.s*_xlpm.c + 0.299,
  MAX(0, MIN(100, _xlpm.theta33 * 100))
)</f>
        <v>27.927891156462582</v>
      </c>
      <c r="R15" s="47">
        <f>_xlfn.LET(
  _xlpm.total, E15 + F15 + G15,
  _xlpm.s, E15 / _xlpm.total,
  _xlpm.c, G15 / _xlpm.total,
  _xlpm.om, IF(ISNUMBER(#REF!),#REF! / 100, 0),
  _xlpm.theta1500, -0.024*_xlpm.s + 0.487*_xlpm.c + 0.006*_xlpm.om + 0.005*_xlpm.s*_xlpm.om - 0.013*_xlpm.c*_xlpm.om + 0.068*_xlpm.s*_xlpm.c + 0.031,
  MAX(0, MIN(100, _xlpm.theta1500 * 100))
)</f>
        <v>16.7312925170068</v>
      </c>
      <c r="S15" s="4" t="s">
        <v>27</v>
      </c>
      <c r="T15" s="7">
        <v>3</v>
      </c>
      <c r="U15" s="165">
        <v>5</v>
      </c>
      <c r="V15" s="54">
        <f t="shared" si="6"/>
        <v>16.5</v>
      </c>
      <c r="W15" s="96">
        <f t="shared" si="7"/>
        <v>15</v>
      </c>
      <c r="X15" s="96">
        <f t="shared" si="8"/>
        <v>190</v>
      </c>
      <c r="Y15" s="81">
        <f t="shared" si="9"/>
        <v>7</v>
      </c>
      <c r="Z15" s="97">
        <f t="shared" si="10"/>
        <v>1.55</v>
      </c>
      <c r="AA15" s="55">
        <f t="shared" si="11"/>
        <v>22.5</v>
      </c>
      <c r="AB15" s="53">
        <v>55</v>
      </c>
      <c r="AD15" s="5"/>
      <c r="AE15" s="5"/>
      <c r="AF15" s="5"/>
      <c r="AG15" s="5"/>
      <c r="AH15" s="5"/>
      <c r="AI15" s="5"/>
      <c r="AJ15" s="5"/>
      <c r="AK15" s="5"/>
      <c r="AL15" s="51"/>
    </row>
    <row r="16" spans="2:38" x14ac:dyDescent="0.15">
      <c r="B16" s="18" t="s">
        <v>81</v>
      </c>
      <c r="C16" s="32">
        <v>34</v>
      </c>
      <c r="D16" s="32">
        <v>17</v>
      </c>
      <c r="E16" s="147">
        <f t="shared" si="0"/>
        <v>20</v>
      </c>
      <c r="F16" s="147">
        <f t="shared" si="1"/>
        <v>50</v>
      </c>
      <c r="G16" s="147">
        <f t="shared" si="2"/>
        <v>33.5</v>
      </c>
      <c r="H16" s="145">
        <f t="shared" si="3"/>
        <v>17</v>
      </c>
      <c r="I16" s="51">
        <f t="shared" si="4"/>
        <v>8.5</v>
      </c>
      <c r="J16" s="51">
        <f t="shared" si="5"/>
        <v>25.5</v>
      </c>
      <c r="K16" s="51">
        <f xml:space="preserve"> (1
   - _xlfn.XLOOKUP(
       USDAClass[[#This Row],[Texture]],
       SoilSpec[Texture],
       SoilSpec[BD_Min (t/m³)]
     )
     / _xlfn.XLOOKUP(
         USDAClass[[#This Row],[Texture]],
         SoilSpec[Texture],
         SoilSpec[Particle Density]
       )
  )
  * 100</f>
        <v>56.24829094886519</v>
      </c>
      <c r="L16" s="148">
        <f xml:space="preserve"> ROUND(
    USDAClass[[#This Row],[Field Capacity]]
    / USDAClass[[#This Row],[Porosity %]]
    * 100,
    0
  )</f>
        <v>60</v>
      </c>
      <c r="M16" s="131">
        <v>8</v>
      </c>
      <c r="N16" s="30">
        <f>ROUND(5+USDAClass[[#This Row],[Clay (%)]]/10,0)</f>
        <v>8</v>
      </c>
      <c r="O16" s="132">
        <f>USDAClass[[#This Row],[USDA Index]]+1</f>
        <v>9</v>
      </c>
      <c r="P16" s="53" t="s">
        <v>24</v>
      </c>
      <c r="Q16" s="46">
        <f>_xlfn.LET(
  _xlpm.total, E16 + F16 + G16,
  _xlpm.s, E16 / _xlpm.total,
  _xlpm.c, G16 / _xlpm.total,
  _xlpm.om, IF(ISNUMBER(#REF!),#REF! / 100, 0),
  _xlpm.theta33, -0.251*_xlpm.s + 0.195*_xlpm.c + 0.011*_xlpm.om + 0.006*_xlpm.s*_xlpm.om - 0.027*_xlpm.c*_xlpm.om + 0.452*_xlpm.s*_xlpm.c + 0.299,
  MAX(0, MIN(100, _xlpm.theta33 * 100))
)</f>
        <v>34.188396461994444</v>
      </c>
      <c r="R16" s="47">
        <f>_xlfn.LET(
  _xlpm.total, E16 + F16 + G16,
  _xlpm.s, E16 / _xlpm.total,
  _xlpm.c, G16 / _xlpm.total,
  _xlpm.om, IF(ISNUMBER(#REF!),#REF! / 100, 0),
  _xlpm.theta1500, -0.024*_xlpm.s + 0.487*_xlpm.c + 0.006*_xlpm.om + 0.005*_xlpm.s*_xlpm.om - 0.013*_xlpm.c*_xlpm.om + 0.068*_xlpm.s*_xlpm.c + 0.031,
  MAX(0, MIN(100, _xlpm.theta1500 * 100))
)</f>
        <v>18.824341291512052</v>
      </c>
      <c r="S16" s="4" t="s">
        <v>26</v>
      </c>
      <c r="T16" s="7">
        <v>2</v>
      </c>
      <c r="U16" s="165">
        <v>4</v>
      </c>
      <c r="V16" s="35">
        <f t="shared" si="6"/>
        <v>26</v>
      </c>
      <c r="W16" s="94">
        <f t="shared" si="7"/>
        <v>24</v>
      </c>
      <c r="X16" s="94">
        <f t="shared" si="8"/>
        <v>260</v>
      </c>
      <c r="Y16" s="5">
        <f t="shared" si="9"/>
        <v>6.75</v>
      </c>
      <c r="Z16" s="95">
        <f t="shared" si="10"/>
        <v>2.1</v>
      </c>
      <c r="AA16" s="14">
        <f t="shared" si="11"/>
        <v>35</v>
      </c>
      <c r="AB16" s="53">
        <v>50</v>
      </c>
      <c r="AD16" s="5"/>
      <c r="AE16" s="5"/>
      <c r="AF16" s="5"/>
      <c r="AG16" s="5"/>
      <c r="AH16" s="5"/>
      <c r="AI16" s="5"/>
      <c r="AJ16" s="5"/>
      <c r="AK16" s="5"/>
      <c r="AL16" s="51"/>
    </row>
    <row r="17" spans="2:41" x14ac:dyDescent="0.15">
      <c r="B17" s="146" t="s">
        <v>38</v>
      </c>
      <c r="C17" s="32">
        <v>38</v>
      </c>
      <c r="D17" s="32">
        <v>25</v>
      </c>
      <c r="E17" s="147">
        <f t="shared" si="0"/>
        <v>10</v>
      </c>
      <c r="F17" s="147">
        <f t="shared" si="1"/>
        <v>50</v>
      </c>
      <c r="G17" s="147">
        <f t="shared" si="2"/>
        <v>50</v>
      </c>
      <c r="H17" s="145">
        <f t="shared" si="3"/>
        <v>13</v>
      </c>
      <c r="I17" s="51">
        <f t="shared" si="4"/>
        <v>6.5</v>
      </c>
      <c r="J17" s="51">
        <f t="shared" si="5"/>
        <v>31.5</v>
      </c>
      <c r="K17" s="51">
        <f xml:space="preserve"> (1
   - _xlfn.XLOOKUP(
       USDAClass[[#This Row],[Texture]],
       SoilSpec[Texture],
       SoilSpec[BD_Min (t/m³)]
     )
     / _xlfn.XLOOKUP(
         USDAClass[[#This Row],[Texture]],
         SoilSpec[Texture],
         SoilSpec[Particle Density]
       )
  )
  * 100</f>
        <v>62.264150943396224</v>
      </c>
      <c r="L17" s="148">
        <f xml:space="preserve"> ROUND(
    USDAClass[[#This Row],[Field Capacity]]
    / USDAClass[[#This Row],[Porosity %]]
    * 100,
    0
  )</f>
        <v>61</v>
      </c>
      <c r="M17" s="131">
        <v>9</v>
      </c>
      <c r="N17" s="30">
        <f>ROUND(5+USDAClass[[#This Row],[Clay (%)]]/10,0)</f>
        <v>10</v>
      </c>
      <c r="O17" s="132">
        <f>USDAClass[[#This Row],[USDA Index]]+1</f>
        <v>10</v>
      </c>
      <c r="P17" s="53" t="s">
        <v>28</v>
      </c>
      <c r="Q17" s="46">
        <f>_xlfn.LET(
  _xlpm.total, E17 + F17 + G17,
  _xlpm.s, E17 / _xlpm.total,
  _xlpm.c, G17 / _xlpm.total,
  _xlpm.om, IF(ISNUMBER(#REF!),#REF! / 100, 0),
  _xlpm.theta33, -0.251*_xlpm.s + 0.195*_xlpm.c + 0.011*_xlpm.om + 0.006*_xlpm.s*_xlpm.om - 0.027*_xlpm.c*_xlpm.om + 0.452*_xlpm.s*_xlpm.c + 0.299,
  MAX(0, MIN(100, _xlpm.theta33 * 100))
)</f>
        <v>38.349586776859503</v>
      </c>
      <c r="R17" s="47">
        <f>_xlfn.LET(
  _xlpm.total, E17 + F17 + G17,
  _xlpm.s, E17 / _xlpm.total,
  _xlpm.c, G17 / _xlpm.total,
  _xlpm.om, IF(ISNUMBER(#REF!),#REF! / 100, 0),
  _xlpm.theta1500, -0.024*_xlpm.s + 0.487*_xlpm.c + 0.006*_xlpm.om + 0.005*_xlpm.s*_xlpm.om - 0.013*_xlpm.c*_xlpm.om + 0.068*_xlpm.s*_xlpm.c + 0.031,
  MAX(0, MIN(100, _xlpm.theta1500 * 100))
)</f>
        <v>25.299173553719008</v>
      </c>
      <c r="S17" s="4" t="s">
        <v>25</v>
      </c>
      <c r="T17" s="7">
        <v>2</v>
      </c>
      <c r="U17" s="165">
        <v>3</v>
      </c>
      <c r="V17" s="35">
        <f t="shared" si="6"/>
        <v>30</v>
      </c>
      <c r="W17" s="94">
        <f t="shared" si="7"/>
        <v>27.5</v>
      </c>
      <c r="X17" s="94">
        <f t="shared" si="8"/>
        <v>300</v>
      </c>
      <c r="Y17" s="5">
        <f t="shared" si="9"/>
        <v>6.75</v>
      </c>
      <c r="Z17" s="95">
        <f t="shared" si="10"/>
        <v>2.35</v>
      </c>
      <c r="AA17" s="14">
        <f t="shared" si="11"/>
        <v>35</v>
      </c>
      <c r="AB17" s="53">
        <v>50</v>
      </c>
      <c r="AD17" s="5"/>
      <c r="AE17" s="5"/>
      <c r="AF17" s="5"/>
      <c r="AG17" s="5"/>
      <c r="AH17" s="5"/>
      <c r="AI17" s="5"/>
      <c r="AJ17" s="5"/>
      <c r="AK17" s="5"/>
      <c r="AL17" s="51"/>
    </row>
    <row r="18" spans="2:41" x14ac:dyDescent="0.15">
      <c r="B18" s="146" t="s">
        <v>6</v>
      </c>
      <c r="C18" s="4">
        <v>36</v>
      </c>
      <c r="D18" s="4">
        <v>24</v>
      </c>
      <c r="E18" s="147">
        <f t="shared" si="0"/>
        <v>22.5</v>
      </c>
      <c r="F18" s="147">
        <f t="shared" si="1"/>
        <v>22.5</v>
      </c>
      <c r="G18" s="147">
        <f t="shared" si="2"/>
        <v>70</v>
      </c>
      <c r="H18" s="145">
        <f t="shared" si="3"/>
        <v>12</v>
      </c>
      <c r="I18" s="51">
        <f t="shared" si="4"/>
        <v>5.4</v>
      </c>
      <c r="J18" s="51">
        <f t="shared" si="5"/>
        <v>30.6</v>
      </c>
      <c r="K18" s="51">
        <f xml:space="preserve"> (1
   - _xlfn.XLOOKUP(
       USDAClass[[#This Row],[Texture]],
       SoilSpec[Texture],
       SoilSpec[BD_Min (t/m³)]
     )
     / _xlfn.XLOOKUP(
         USDAClass[[#This Row],[Texture]],
         SoilSpec[Texture],
         SoilSpec[Particle Density]
       )
  )
  * 100</f>
        <v>65.545529122231329</v>
      </c>
      <c r="L18" s="148">
        <f xml:space="preserve"> ROUND(
    USDAClass[[#This Row],[Field Capacity]]
    / USDAClass[[#This Row],[Porosity %]]
    * 100,
    0
  )</f>
        <v>55</v>
      </c>
      <c r="M18" s="131">
        <v>11</v>
      </c>
      <c r="N18" s="30">
        <f>ROUND(5+USDAClass[[#This Row],[Clay (%)]]/10,0)</f>
        <v>12</v>
      </c>
      <c r="O18" s="132">
        <f>USDAClass[[#This Row],[USDA Index]]+1</f>
        <v>12</v>
      </c>
      <c r="P18" s="53" t="s">
        <v>28</v>
      </c>
      <c r="Q18" s="46">
        <f>_xlfn.LET(
  _xlpm.total, E18 + F18 + G18,
  _xlpm.s, E18 / _xlpm.total,
  _xlpm.c, G18 / _xlpm.total,
  _xlpm.om, IF(ISNUMBER(#REF!),#REF! / 100, 0),
  _xlpm.theta33, -0.251*_xlpm.s + 0.195*_xlpm.c + 0.011*_xlpm.om + 0.006*_xlpm.s*_xlpm.om - 0.027*_xlpm.c*_xlpm.om + 0.452*_xlpm.s*_xlpm.c + 0.299,
  MAX(0, MIN(100, _xlpm.theta33 * 100))
)</f>
        <v>42.241682419659732</v>
      </c>
      <c r="R18" s="47">
        <f>_xlfn.LET(
  _xlpm.total, E18 + F18 + G18,
  _xlpm.s, E18 / _xlpm.total,
  _xlpm.c, G18 / _xlpm.total,
  _xlpm.om, IF(ISNUMBER(#REF!),#REF! / 100, 0),
  _xlpm.theta1500, -0.024*_xlpm.s + 0.487*_xlpm.c + 0.006*_xlpm.om + 0.005*_xlpm.s*_xlpm.om - 0.013*_xlpm.c*_xlpm.om + 0.068*_xlpm.s*_xlpm.c + 0.031,
  MAX(0, MIN(100, _xlpm.theta1500 * 100))
)</f>
        <v>33.083742911153124</v>
      </c>
      <c r="S18" s="4" t="s">
        <v>29</v>
      </c>
      <c r="T18" s="7">
        <v>2</v>
      </c>
      <c r="U18" s="165">
        <v>3</v>
      </c>
      <c r="V18" s="35">
        <f t="shared" si="6"/>
        <v>32.5</v>
      </c>
      <c r="W18" s="94">
        <f t="shared" si="7"/>
        <v>30</v>
      </c>
      <c r="X18" s="94">
        <f t="shared" si="8"/>
        <v>325</v>
      </c>
      <c r="Y18" s="5">
        <f t="shared" si="9"/>
        <v>6.75</v>
      </c>
      <c r="Z18" s="95">
        <f t="shared" si="10"/>
        <v>2.6</v>
      </c>
      <c r="AA18" s="14">
        <f t="shared" si="11"/>
        <v>37.5</v>
      </c>
      <c r="AB18" s="53">
        <v>45</v>
      </c>
      <c r="AD18" s="5"/>
      <c r="AE18" s="5"/>
      <c r="AF18" s="5"/>
      <c r="AG18" s="5"/>
      <c r="AH18" s="5"/>
      <c r="AI18" s="5"/>
      <c r="AJ18" s="5"/>
      <c r="AK18" s="5"/>
      <c r="AL18" s="51"/>
    </row>
    <row r="19" spans="2:41" x14ac:dyDescent="0.15">
      <c r="B19" s="149" t="s">
        <v>8</v>
      </c>
      <c r="C19" s="2">
        <v>27</v>
      </c>
      <c r="D19" s="2">
        <v>14</v>
      </c>
      <c r="E19" s="150">
        <f t="shared" si="0"/>
        <v>62.5</v>
      </c>
      <c r="F19" s="150">
        <f t="shared" si="1"/>
        <v>14</v>
      </c>
      <c r="G19" s="150">
        <f t="shared" si="2"/>
        <v>27.5</v>
      </c>
      <c r="H19" s="151">
        <f t="shared" si="3"/>
        <v>13</v>
      </c>
      <c r="I19" s="112">
        <f t="shared" si="4"/>
        <v>5.8500000000000005</v>
      </c>
      <c r="J19" s="112">
        <f t="shared" si="5"/>
        <v>21.15</v>
      </c>
      <c r="K19" s="112">
        <f xml:space="preserve"> (1
   - _xlfn.XLOOKUP(
       USDAClass[[#This Row],[Texture]],
       SoilSpec[Texture],
       SoilSpec[BD_Min (t/m³)]
     )
     / _xlfn.XLOOKUP(
         USDAClass[[#This Row],[Texture]],
         SoilSpec[Texture],
         SoilSpec[Particle Density]
       )
  )
  * 100</f>
        <v>52.830188679245296</v>
      </c>
      <c r="L19" s="152">
        <f xml:space="preserve"> ROUND(
    USDAClass[[#This Row],[Field Capacity]]
    / USDAClass[[#This Row],[Porosity %]]
    * 100,
    0
  )</f>
        <v>51</v>
      </c>
      <c r="M19" s="133">
        <v>6</v>
      </c>
      <c r="N19" s="134">
        <f>ROUND(5+USDAClass[[#This Row],[Clay (%)]]/10,0)</f>
        <v>8</v>
      </c>
      <c r="O19" s="135">
        <f>USDAClass[[#This Row],[USDA Index]]+1</f>
        <v>7</v>
      </c>
      <c r="P19" s="10" t="s">
        <v>21</v>
      </c>
      <c r="Q19" s="48">
        <f>_xlfn.LET(
  _xlpm.total, E19 + F19 + G19,
  _xlpm.s, E19 / _xlpm.total,
  _xlpm.c, G19 / _xlpm.total,
  _xlpm.om, IF(ISNUMBER(#REF!),#REF! / 100, 0),
  _xlpm.theta33, -0.251*_xlpm.s + 0.195*_xlpm.c + 0.011*_xlpm.om + 0.006*_xlpm.s*_xlpm.om - 0.027*_xlpm.c*_xlpm.om + 0.452*_xlpm.s*_xlpm.c + 0.299,
  MAX(0, MIN(100, _xlpm.theta33 * 100))
)</f>
        <v>27.154761464497039</v>
      </c>
      <c r="R19" s="49">
        <f>_xlfn.LET(
  _xlpm.total, E19 + F19 + G19,
  _xlpm.s, E19 / _xlpm.total,
  _xlpm.c, G19 / _xlpm.total,
  _xlpm.om, IF(ISNUMBER(#REF!),#REF! / 100, 0),
  _xlpm.theta1500, -0.024*_xlpm.s + 0.487*_xlpm.c + 0.006*_xlpm.om + 0.005*_xlpm.s*_xlpm.om - 0.013*_xlpm.c*_xlpm.om + 0.068*_xlpm.s*_xlpm.c + 0.031,
  MAX(0, MIN(100, _xlpm.theta1500 * 100))
)</f>
        <v>15.615671227810649</v>
      </c>
      <c r="S19" s="2" t="s">
        <v>23</v>
      </c>
      <c r="T19" s="173">
        <v>3</v>
      </c>
      <c r="U19" s="174">
        <v>5</v>
      </c>
      <c r="V19" s="36">
        <f t="shared" si="6"/>
        <v>25</v>
      </c>
      <c r="W19" s="8">
        <f t="shared" si="7"/>
        <v>17.5</v>
      </c>
      <c r="X19" s="8">
        <f t="shared" si="8"/>
        <v>180</v>
      </c>
      <c r="Y19" s="9">
        <f t="shared" si="9"/>
        <v>7</v>
      </c>
      <c r="Z19" s="13">
        <f t="shared" si="10"/>
        <v>1.55</v>
      </c>
      <c r="AA19" s="15">
        <f t="shared" si="11"/>
        <v>27.5</v>
      </c>
      <c r="AB19" s="10">
        <v>45</v>
      </c>
      <c r="AD19" s="5"/>
      <c r="AE19" s="5"/>
      <c r="AF19" s="5"/>
      <c r="AG19" s="5"/>
      <c r="AH19" s="5"/>
      <c r="AI19" s="5"/>
      <c r="AJ19" s="5"/>
      <c r="AK19" s="5"/>
      <c r="AL19" s="51"/>
    </row>
    <row r="20" spans="2:41" x14ac:dyDescent="0.15">
      <c r="B20" s="142"/>
      <c r="C20" s="4"/>
      <c r="D20" s="265"/>
      <c r="E20" s="265"/>
      <c r="F20" s="265"/>
      <c r="G20" s="6"/>
      <c r="H20" s="4"/>
      <c r="AD20" s="19"/>
      <c r="AE20" s="19"/>
      <c r="AF20" s="19"/>
      <c r="AG20" s="19"/>
      <c r="AH20" s="19"/>
      <c r="AI20" s="19"/>
      <c r="AJ20" s="19"/>
      <c r="AK20" s="19"/>
    </row>
    <row r="22" spans="2:41" x14ac:dyDescent="0.15">
      <c r="B22" s="37" t="s">
        <v>55</v>
      </c>
      <c r="C22" s="37"/>
      <c r="D22" s="37"/>
      <c r="E22" s="37"/>
      <c r="F22" s="37"/>
      <c r="G22" s="37"/>
      <c r="H22" s="37"/>
      <c r="I22" s="37"/>
      <c r="J22" s="37"/>
      <c r="K22" s="172"/>
      <c r="L22" s="37"/>
      <c r="M22" s="37"/>
      <c r="N22" s="37"/>
      <c r="O22" s="38"/>
      <c r="P22" s="38"/>
      <c r="R22" s="37"/>
      <c r="S22" s="37"/>
      <c r="T22" s="37"/>
      <c r="X22" s="38"/>
      <c r="Y22" s="38"/>
      <c r="AE22" s="105" t="s">
        <v>44</v>
      </c>
    </row>
    <row r="23" spans="2:41" x14ac:dyDescent="0.15">
      <c r="B23" s="83" t="s">
        <v>69</v>
      </c>
      <c r="C23" s="70" t="s">
        <v>314</v>
      </c>
      <c r="D23" s="84" t="s">
        <v>315</v>
      </c>
      <c r="E23" s="70" t="s">
        <v>316</v>
      </c>
      <c r="F23" s="84" t="s">
        <v>317</v>
      </c>
      <c r="G23" s="70" t="s">
        <v>318</v>
      </c>
      <c r="H23" s="84" t="s">
        <v>319</v>
      </c>
      <c r="I23" s="70" t="s">
        <v>320</v>
      </c>
      <c r="J23" s="84" t="s">
        <v>321</v>
      </c>
      <c r="K23" s="70" t="s">
        <v>322</v>
      </c>
      <c r="L23" s="84" t="s">
        <v>323</v>
      </c>
      <c r="M23" s="70" t="s">
        <v>324</v>
      </c>
      <c r="N23" s="84" t="s">
        <v>325</v>
      </c>
      <c r="O23" s="71" t="s">
        <v>326</v>
      </c>
      <c r="P23" s="72" t="s">
        <v>327</v>
      </c>
      <c r="Q23" s="107" t="s">
        <v>145</v>
      </c>
      <c r="R23" s="62" t="s">
        <v>140</v>
      </c>
      <c r="S23" s="63" t="s">
        <v>328</v>
      </c>
      <c r="T23" s="86" t="s">
        <v>329</v>
      </c>
      <c r="U23" s="108" t="s">
        <v>59</v>
      </c>
      <c r="V23" s="110" t="s">
        <v>60</v>
      </c>
      <c r="W23" s="108" t="s">
        <v>61</v>
      </c>
      <c r="X23" s="110" t="s">
        <v>62</v>
      </c>
      <c r="Y23" s="108" t="s">
        <v>63</v>
      </c>
      <c r="Z23" s="110" t="s">
        <v>64</v>
      </c>
      <c r="AA23" s="108" t="s">
        <v>72</v>
      </c>
      <c r="AB23" s="110" t="s">
        <v>73</v>
      </c>
      <c r="AC23" s="108" t="s">
        <v>141</v>
      </c>
      <c r="AD23" s="109" t="s">
        <v>142</v>
      </c>
      <c r="AE23" s="86" t="s">
        <v>46</v>
      </c>
      <c r="AF23" s="108" t="s">
        <v>143</v>
      </c>
      <c r="AG23" s="110" t="s">
        <v>144</v>
      </c>
      <c r="AH23" s="108" t="s">
        <v>75</v>
      </c>
      <c r="AI23" s="109" t="s">
        <v>82</v>
      </c>
      <c r="AJ23" s="182" t="s">
        <v>330</v>
      </c>
      <c r="AK23" s="182" t="s">
        <v>331</v>
      </c>
      <c r="AL23" s="249" t="s">
        <v>332</v>
      </c>
      <c r="AM23" s="182" t="s">
        <v>333</v>
      </c>
      <c r="AN23" s="182" t="s">
        <v>334</v>
      </c>
      <c r="AO23" s="182" t="s">
        <v>335</v>
      </c>
    </row>
    <row r="24" spans="2:41" x14ac:dyDescent="0.15">
      <c r="B24" s="11" t="s">
        <v>0</v>
      </c>
      <c r="C24" s="17">
        <v>2</v>
      </c>
      <c r="D24" s="22">
        <v>12</v>
      </c>
      <c r="E24" s="17">
        <v>2</v>
      </c>
      <c r="F24" s="22">
        <v>12</v>
      </c>
      <c r="G24" s="17">
        <v>20</v>
      </c>
      <c r="H24" s="22">
        <v>120</v>
      </c>
      <c r="I24" s="67">
        <v>0.05</v>
      </c>
      <c r="J24" s="75">
        <v>1.5</v>
      </c>
      <c r="K24" s="67">
        <v>6</v>
      </c>
      <c r="L24" s="75">
        <v>8.5</v>
      </c>
      <c r="M24" s="17">
        <v>5</v>
      </c>
      <c r="N24" s="22">
        <v>15</v>
      </c>
      <c r="O24" s="67">
        <v>0.1</v>
      </c>
      <c r="P24" s="166">
        <v>2</v>
      </c>
      <c r="Q24" s="6">
        <f xml:space="preserve"> _xlfn.XLOOKUP(
    SoilSpec[[#This Row],[Texture]],
    USDAClass[Texture],
    USDAClass[Clay (%)],
    NA(),
    0
  )</f>
        <v>5</v>
      </c>
      <c r="R24" s="186">
        <f>ROUND(0.15 * SoilSpec[[#This Row],[Clay %]] + 1.5 * (SoilSpec[[#This Row],[OM_Min]] ), 2)</f>
        <v>0.9</v>
      </c>
      <c r="S24" s="67">
        <v>0.05</v>
      </c>
      <c r="T24" s="166">
        <v>0.1</v>
      </c>
      <c r="U24" s="17">
        <f t="shared" ref="U24:U35" si="12">ROUND(C24 + (D24-C24) * 0.3, 0)</f>
        <v>5</v>
      </c>
      <c r="V24" s="187">
        <f t="shared" ref="V24:V35" si="13">ROUND(C24 + (D24-C24) * 0.7, 0)</f>
        <v>9</v>
      </c>
      <c r="W24" s="17">
        <f t="shared" ref="W24:W35" si="14">ROUND(E24 + (F24-E24) * 0.3, 0)</f>
        <v>5</v>
      </c>
      <c r="X24" s="187">
        <f t="shared" ref="X24:X35" si="15">ROUND(E24 + (F24-E24) * 0.7, 0)</f>
        <v>9</v>
      </c>
      <c r="Y24" s="17">
        <f t="shared" ref="Y24:Y35" si="16">ROUND(G24 + (H24-G24) * 0.3, 0)</f>
        <v>50</v>
      </c>
      <c r="Z24" s="187">
        <f t="shared" ref="Z24:Z35" si="17">ROUND(G24 + (H24-G24) * 0.7, 0)</f>
        <v>90</v>
      </c>
      <c r="AA24" s="7">
        <v>20</v>
      </c>
      <c r="AB24" s="4">
        <v>35</v>
      </c>
      <c r="AC24" s="73">
        <v>1.4</v>
      </c>
      <c r="AD24" s="14">
        <v>1.6</v>
      </c>
      <c r="AE24" s="5">
        <f t="shared" ref="AE24:AE35" si="18">((E8*2.65)+(F8*2.65)+(G8*2.65))/100</f>
        <v>2.7825000000000002</v>
      </c>
      <c r="AF24" s="46">
        <f t="shared" ref="AF24:AF35" si="19">(1-AD24/AE24)*100</f>
        <v>42.497753818508535</v>
      </c>
      <c r="AG24" s="6">
        <f t="shared" ref="AG24:AG35" si="20">(1-AC24/AE24)*100</f>
        <v>49.68553459119498</v>
      </c>
      <c r="AH24" s="46">
        <f>(SoilSpec[[#This Row],[Moisture_Min]]/SoilSpec[[#This Row],[Porosity_Min %]])*100</f>
        <v>11.765327695560254</v>
      </c>
      <c r="AI24" s="47">
        <f>SoilSpec[[#This Row],[Moisture_Max]]/SoilSpec[[#This Row],[Porosity_Max %]]*100</f>
        <v>30.189873417721515</v>
      </c>
      <c r="AJ24" s="127">
        <v>85</v>
      </c>
      <c r="AK24" s="127">
        <v>100</v>
      </c>
      <c r="AL24" s="127">
        <v>0</v>
      </c>
      <c r="AM24" s="127">
        <v>15</v>
      </c>
      <c r="AN24" s="127">
        <v>0</v>
      </c>
      <c r="AO24" s="127">
        <v>10</v>
      </c>
    </row>
    <row r="25" spans="2:41" x14ac:dyDescent="0.15">
      <c r="B25" s="11" t="s">
        <v>1</v>
      </c>
      <c r="C25" s="17">
        <v>4</v>
      </c>
      <c r="D25" s="22">
        <v>15</v>
      </c>
      <c r="E25" s="17">
        <v>3</v>
      </c>
      <c r="F25" s="22">
        <v>15</v>
      </c>
      <c r="G25" s="17">
        <v>30</v>
      </c>
      <c r="H25" s="22">
        <v>150</v>
      </c>
      <c r="I25" s="67">
        <v>0.05</v>
      </c>
      <c r="J25" s="75">
        <v>2</v>
      </c>
      <c r="K25" s="67">
        <v>5.8</v>
      </c>
      <c r="L25" s="75">
        <v>8.5</v>
      </c>
      <c r="M25" s="17">
        <v>8</v>
      </c>
      <c r="N25" s="22">
        <v>20</v>
      </c>
      <c r="O25" s="67">
        <v>0.2</v>
      </c>
      <c r="P25" s="166">
        <v>2.5</v>
      </c>
      <c r="Q25" s="6">
        <f xml:space="preserve"> _xlfn.XLOOKUP(
    SoilSpec[[#This Row],[Texture]],
    USDAClass[Texture],
    USDAClass[Clay (%)],
    NA(),
    0
  )</f>
        <v>7.5</v>
      </c>
      <c r="R25" s="186">
        <f>ROUND(0.15 * SoilSpec[[#This Row],[Clay %]] + 1.5 * (SoilSpec[[#This Row],[OM_Min]] ), 2)</f>
        <v>1.43</v>
      </c>
      <c r="S25" s="67">
        <v>0.12</v>
      </c>
      <c r="T25" s="166">
        <v>0.16</v>
      </c>
      <c r="U25" s="17">
        <f t="shared" si="12"/>
        <v>7</v>
      </c>
      <c r="V25" s="187">
        <f t="shared" si="13"/>
        <v>12</v>
      </c>
      <c r="W25" s="17">
        <f t="shared" si="14"/>
        <v>7</v>
      </c>
      <c r="X25" s="187">
        <f t="shared" si="15"/>
        <v>11</v>
      </c>
      <c r="Y25" s="17">
        <f t="shared" si="16"/>
        <v>66</v>
      </c>
      <c r="Z25" s="187">
        <f t="shared" si="17"/>
        <v>114</v>
      </c>
      <c r="AA25" s="7">
        <v>22</v>
      </c>
      <c r="AB25" s="4">
        <v>36</v>
      </c>
      <c r="AC25" s="73">
        <v>1.45</v>
      </c>
      <c r="AD25" s="14">
        <v>1.65</v>
      </c>
      <c r="AE25" s="5">
        <f t="shared" si="18"/>
        <v>2.65</v>
      </c>
      <c r="AF25" s="46">
        <f t="shared" si="19"/>
        <v>37.735849056603776</v>
      </c>
      <c r="AG25" s="6">
        <f t="shared" si="20"/>
        <v>45.283018867924532</v>
      </c>
      <c r="AH25" s="46">
        <f>(SoilSpec[[#This Row],[Moisture_Min]]/SoilSpec[[#This Row],[Porosity_Min %]])*100</f>
        <v>21.2</v>
      </c>
      <c r="AI25" s="47">
        <f>SoilSpec[[#This Row],[Moisture_Max]]/SoilSpec[[#This Row],[Porosity_Max %]]*100</f>
        <v>44.166666666666664</v>
      </c>
      <c r="AJ25" s="127">
        <v>70</v>
      </c>
      <c r="AK25" s="127">
        <v>90</v>
      </c>
      <c r="AL25" s="127">
        <v>0</v>
      </c>
      <c r="AM25" s="127">
        <v>25</v>
      </c>
      <c r="AN25" s="127">
        <v>0</v>
      </c>
      <c r="AO25" s="127">
        <v>15</v>
      </c>
    </row>
    <row r="26" spans="2:41" x14ac:dyDescent="0.15">
      <c r="B26" s="11" t="s">
        <v>2</v>
      </c>
      <c r="C26" s="17">
        <v>6</v>
      </c>
      <c r="D26" s="22">
        <v>20</v>
      </c>
      <c r="E26" s="17">
        <v>4</v>
      </c>
      <c r="F26" s="22">
        <v>20</v>
      </c>
      <c r="G26" s="17">
        <v>40</v>
      </c>
      <c r="H26" s="22">
        <v>200</v>
      </c>
      <c r="I26" s="67">
        <v>0.1</v>
      </c>
      <c r="J26" s="75">
        <v>2.5</v>
      </c>
      <c r="K26" s="67">
        <v>5.5</v>
      </c>
      <c r="L26" s="75">
        <v>8.5</v>
      </c>
      <c r="M26" s="17">
        <v>10</v>
      </c>
      <c r="N26" s="22">
        <v>25</v>
      </c>
      <c r="O26" s="67">
        <v>0.3</v>
      </c>
      <c r="P26" s="166">
        <v>3</v>
      </c>
      <c r="Q26" s="6">
        <f xml:space="preserve"> _xlfn.XLOOKUP(
    SoilSpec[[#This Row],[Texture]],
    USDAClass[Texture],
    USDAClass[Clay (%)],
    NA(),
    0
  )</f>
        <v>10</v>
      </c>
      <c r="R26" s="186">
        <f>ROUND(0.15 * SoilSpec[[#This Row],[Clay %]] + 1.5 * (SoilSpec[[#This Row],[OM_Min]] ), 2)</f>
        <v>1.95</v>
      </c>
      <c r="S26" s="67">
        <v>0.18</v>
      </c>
      <c r="T26" s="166">
        <v>0.22</v>
      </c>
      <c r="U26" s="17">
        <f t="shared" si="12"/>
        <v>10</v>
      </c>
      <c r="V26" s="187">
        <f t="shared" si="13"/>
        <v>16</v>
      </c>
      <c r="W26" s="17">
        <f t="shared" si="14"/>
        <v>9</v>
      </c>
      <c r="X26" s="187">
        <f t="shared" si="15"/>
        <v>15</v>
      </c>
      <c r="Y26" s="17">
        <f t="shared" si="16"/>
        <v>88</v>
      </c>
      <c r="Z26" s="187">
        <f t="shared" si="17"/>
        <v>152</v>
      </c>
      <c r="AA26" s="7">
        <v>24</v>
      </c>
      <c r="AB26" s="4">
        <v>38</v>
      </c>
      <c r="AC26" s="73">
        <v>1.45</v>
      </c>
      <c r="AD26" s="14">
        <v>1.7</v>
      </c>
      <c r="AE26" s="5">
        <f t="shared" si="18"/>
        <v>2.6235000000000004</v>
      </c>
      <c r="AF26" s="46">
        <f t="shared" si="19"/>
        <v>35.201067276538986</v>
      </c>
      <c r="AG26" s="6">
        <f t="shared" si="20"/>
        <v>44.73032208881267</v>
      </c>
      <c r="AH26" s="46">
        <f>(SoilSpec[[#This Row],[Moisture_Min]]/SoilSpec[[#This Row],[Porosity_Min %]])*100</f>
        <v>28.408229561450995</v>
      </c>
      <c r="AI26" s="47">
        <f>SoilSpec[[#This Row],[Moisture_Max]]/SoilSpec[[#This Row],[Porosity_Max %]]*100</f>
        <v>55.890498508734531</v>
      </c>
      <c r="AJ26" s="127">
        <v>43</v>
      </c>
      <c r="AK26" s="127">
        <v>85</v>
      </c>
      <c r="AL26" s="127">
        <v>0</v>
      </c>
      <c r="AM26" s="127">
        <v>50</v>
      </c>
      <c r="AN26" s="127">
        <v>0</v>
      </c>
      <c r="AO26" s="127">
        <v>20</v>
      </c>
    </row>
    <row r="27" spans="2:41" x14ac:dyDescent="0.15">
      <c r="B27" s="11" t="s">
        <v>3</v>
      </c>
      <c r="C27" s="17">
        <v>8</v>
      </c>
      <c r="D27" s="22">
        <v>25</v>
      </c>
      <c r="E27" s="17">
        <v>5</v>
      </c>
      <c r="F27" s="22">
        <v>25</v>
      </c>
      <c r="G27" s="17">
        <v>60</v>
      </c>
      <c r="H27" s="22">
        <v>250</v>
      </c>
      <c r="I27" s="67">
        <v>0.1</v>
      </c>
      <c r="J27" s="75">
        <v>3</v>
      </c>
      <c r="K27" s="67">
        <v>5.5</v>
      </c>
      <c r="L27" s="75">
        <v>8.1999999999999993</v>
      </c>
      <c r="M27" s="17">
        <v>15</v>
      </c>
      <c r="N27" s="22">
        <v>30</v>
      </c>
      <c r="O27" s="67">
        <v>0.5</v>
      </c>
      <c r="P27" s="166">
        <v>4</v>
      </c>
      <c r="Q27" s="6">
        <f xml:space="preserve"> _xlfn.XLOOKUP(
    SoilSpec[[#This Row],[Texture]],
    USDAClass[Texture],
    USDAClass[Clay (%)],
    NA(),
    0
  )</f>
        <v>17</v>
      </c>
      <c r="R27" s="186">
        <f>ROUND(0.15 * SoilSpec[[#This Row],[Clay %]] + 1.5 * (SoilSpec[[#This Row],[OM_Min]] ), 2)</f>
        <v>3.3</v>
      </c>
      <c r="S27" s="67">
        <v>0.24</v>
      </c>
      <c r="T27" s="166">
        <v>0.3</v>
      </c>
      <c r="U27" s="17">
        <f t="shared" si="12"/>
        <v>13</v>
      </c>
      <c r="V27" s="187">
        <f t="shared" si="13"/>
        <v>20</v>
      </c>
      <c r="W27" s="17">
        <f t="shared" si="14"/>
        <v>11</v>
      </c>
      <c r="X27" s="187">
        <f t="shared" si="15"/>
        <v>19</v>
      </c>
      <c r="Y27" s="17">
        <f t="shared" si="16"/>
        <v>117</v>
      </c>
      <c r="Z27" s="187">
        <f t="shared" si="17"/>
        <v>193</v>
      </c>
      <c r="AA27" s="7">
        <v>24</v>
      </c>
      <c r="AB27" s="4">
        <v>38</v>
      </c>
      <c r="AC27" s="73">
        <v>1.2</v>
      </c>
      <c r="AD27" s="14">
        <v>1.4</v>
      </c>
      <c r="AE27" s="5">
        <f t="shared" si="18"/>
        <v>2.4777499999999999</v>
      </c>
      <c r="AF27" s="46">
        <f t="shared" si="19"/>
        <v>43.497124407224298</v>
      </c>
      <c r="AG27" s="6">
        <f t="shared" si="20"/>
        <v>51.568963777620823</v>
      </c>
      <c r="AH27" s="46">
        <f>(SoilSpec[[#This Row],[Moisture_Min]]/SoilSpec[[#This Row],[Porosity_Min %]])*100</f>
        <v>34.485038274182322</v>
      </c>
      <c r="AI27" s="47">
        <f>SoilSpec[[#This Row],[Moisture_Max]]/SoilSpec[[#This Row],[Porosity_Max %]]*100</f>
        <v>58.174525533163767</v>
      </c>
      <c r="AJ27" s="127">
        <v>23</v>
      </c>
      <c r="AK27" s="127">
        <v>52</v>
      </c>
      <c r="AL27" s="127">
        <v>28</v>
      </c>
      <c r="AM27" s="127">
        <v>50</v>
      </c>
      <c r="AN27" s="127">
        <v>7</v>
      </c>
      <c r="AO27" s="127">
        <v>27</v>
      </c>
    </row>
    <row r="28" spans="2:41" x14ac:dyDescent="0.15">
      <c r="B28" s="11" t="s">
        <v>4</v>
      </c>
      <c r="C28" s="17">
        <v>10</v>
      </c>
      <c r="D28" s="22">
        <v>30</v>
      </c>
      <c r="E28" s="17">
        <v>6</v>
      </c>
      <c r="F28" s="22">
        <v>30</v>
      </c>
      <c r="G28" s="17">
        <v>70</v>
      </c>
      <c r="H28" s="22">
        <v>300</v>
      </c>
      <c r="I28" s="67">
        <v>0.1</v>
      </c>
      <c r="J28" s="75">
        <v>3</v>
      </c>
      <c r="K28" s="67">
        <v>5.5</v>
      </c>
      <c r="L28" s="75">
        <v>8</v>
      </c>
      <c r="M28" s="17">
        <v>20</v>
      </c>
      <c r="N28" s="22">
        <v>35</v>
      </c>
      <c r="O28" s="67">
        <v>0.6</v>
      </c>
      <c r="P28" s="166">
        <v>4.5</v>
      </c>
      <c r="Q28" s="6">
        <f xml:space="preserve"> _xlfn.XLOOKUP(
    SoilSpec[[#This Row],[Texture]],
    USDAClass[Texture],
    USDAClass[Clay (%)],
    NA(),
    0
  )</f>
        <v>13.5</v>
      </c>
      <c r="R28" s="186">
        <f>ROUND(0.15 * SoilSpec[[#This Row],[Clay %]] + 1.5 * (SoilSpec[[#This Row],[OM_Min]] ), 2)</f>
        <v>2.93</v>
      </c>
      <c r="S28" s="67">
        <v>0.3</v>
      </c>
      <c r="T28" s="166">
        <v>0.38</v>
      </c>
      <c r="U28" s="17">
        <f t="shared" si="12"/>
        <v>16</v>
      </c>
      <c r="V28" s="187">
        <f t="shared" si="13"/>
        <v>24</v>
      </c>
      <c r="W28" s="17">
        <f t="shared" si="14"/>
        <v>13</v>
      </c>
      <c r="X28" s="187">
        <f t="shared" si="15"/>
        <v>23</v>
      </c>
      <c r="Y28" s="17">
        <f t="shared" si="16"/>
        <v>139</v>
      </c>
      <c r="Z28" s="187">
        <f t="shared" si="17"/>
        <v>231</v>
      </c>
      <c r="AA28" s="7">
        <v>24</v>
      </c>
      <c r="AB28" s="4">
        <v>38</v>
      </c>
      <c r="AC28" s="73">
        <v>1.1499999999999999</v>
      </c>
      <c r="AD28" s="14">
        <v>1.35</v>
      </c>
      <c r="AE28" s="5">
        <f t="shared" si="18"/>
        <v>2.8487499999999999</v>
      </c>
      <c r="AF28" s="46">
        <f t="shared" si="19"/>
        <v>52.610794207985954</v>
      </c>
      <c r="AG28" s="6">
        <f t="shared" si="20"/>
        <v>59.631417288284339</v>
      </c>
      <c r="AH28" s="46">
        <f>(SoilSpec[[#This Row],[Moisture_Min]]/SoilSpec[[#This Row],[Porosity_Min %]])*100</f>
        <v>38.015012510425358</v>
      </c>
      <c r="AI28" s="47">
        <f>SoilSpec[[#This Row],[Moisture_Max]]/SoilSpec[[#This Row],[Porosity_Max %]]*100</f>
        <v>58.693892568064754</v>
      </c>
      <c r="AJ28" s="127">
        <v>0</v>
      </c>
      <c r="AK28" s="127">
        <v>50</v>
      </c>
      <c r="AL28" s="127">
        <v>50</v>
      </c>
      <c r="AM28" s="127">
        <v>88</v>
      </c>
      <c r="AN28" s="127">
        <v>0</v>
      </c>
      <c r="AO28" s="127">
        <v>27</v>
      </c>
    </row>
    <row r="29" spans="2:41" x14ac:dyDescent="0.15">
      <c r="B29" s="11" t="s">
        <v>9</v>
      </c>
      <c r="C29" s="17">
        <v>10</v>
      </c>
      <c r="D29" s="22">
        <v>35</v>
      </c>
      <c r="E29" s="17">
        <v>6</v>
      </c>
      <c r="F29" s="22">
        <v>35</v>
      </c>
      <c r="G29" s="17">
        <v>100</v>
      </c>
      <c r="H29" s="22">
        <v>350</v>
      </c>
      <c r="I29" s="67">
        <v>0.15</v>
      </c>
      <c r="J29" s="75">
        <v>4</v>
      </c>
      <c r="K29" s="67">
        <v>5</v>
      </c>
      <c r="L29" s="75">
        <v>8.5</v>
      </c>
      <c r="M29" s="17">
        <v>20</v>
      </c>
      <c r="N29" s="22">
        <v>40</v>
      </c>
      <c r="O29" s="67">
        <v>0.8</v>
      </c>
      <c r="P29" s="166">
        <v>5</v>
      </c>
      <c r="Q29" s="6">
        <f xml:space="preserve"> _xlfn.XLOOKUP(
    SoilSpec[[#This Row],[Texture]],
    USDAClass[Texture],
    USDAClass[Clay (%)],
    NA(),
    0
  )</f>
        <v>29</v>
      </c>
      <c r="R29" s="186">
        <f>ROUND(0.15 * SoilSpec[[#This Row],[Clay %]] + 1.5 * (SoilSpec[[#This Row],[OM_Min]] ), 2)</f>
        <v>5.55</v>
      </c>
      <c r="S29" s="67">
        <v>0.38</v>
      </c>
      <c r="T29" s="166">
        <v>0.45</v>
      </c>
      <c r="U29" s="17">
        <f t="shared" si="12"/>
        <v>18</v>
      </c>
      <c r="V29" s="187">
        <f t="shared" si="13"/>
        <v>28</v>
      </c>
      <c r="W29" s="17">
        <f t="shared" si="14"/>
        <v>15</v>
      </c>
      <c r="X29" s="187">
        <f t="shared" si="15"/>
        <v>26</v>
      </c>
      <c r="Y29" s="17">
        <f t="shared" si="16"/>
        <v>175</v>
      </c>
      <c r="Z29" s="187">
        <f t="shared" si="17"/>
        <v>275</v>
      </c>
      <c r="AA29" s="7">
        <v>23</v>
      </c>
      <c r="AB29" s="4">
        <v>36</v>
      </c>
      <c r="AC29" s="73">
        <v>1.1000000000000001</v>
      </c>
      <c r="AD29" s="14">
        <v>1.3</v>
      </c>
      <c r="AE29" s="5">
        <f t="shared" si="18"/>
        <v>2.6764999999999999</v>
      </c>
      <c r="AF29" s="46">
        <f t="shared" si="19"/>
        <v>51.429105174668408</v>
      </c>
      <c r="AG29" s="6">
        <f t="shared" si="20"/>
        <v>58.901550532411726</v>
      </c>
      <c r="AH29" s="46">
        <f>(SoilSpec[[#This Row],[Moisture_Min]]/SoilSpec[[#This Row],[Porosity_Min %]])*100</f>
        <v>38.888485288775883</v>
      </c>
      <c r="AI29" s="47">
        <f>SoilSpec[[#This Row],[Moisture_Max]]/SoilSpec[[#This Row],[Porosity_Max %]]*100</f>
        <v>67.909927053599745</v>
      </c>
      <c r="AJ29" s="127">
        <v>24</v>
      </c>
      <c r="AK29" s="127">
        <v>48</v>
      </c>
      <c r="AL29" s="127">
        <v>24</v>
      </c>
      <c r="AM29" s="127">
        <v>48</v>
      </c>
      <c r="AN29" s="127">
        <v>20</v>
      </c>
      <c r="AO29" s="127">
        <v>38</v>
      </c>
    </row>
    <row r="30" spans="2:41" x14ac:dyDescent="0.15">
      <c r="B30" s="11" t="s">
        <v>5</v>
      </c>
      <c r="C30" s="17">
        <v>10</v>
      </c>
      <c r="D30" s="22">
        <v>30</v>
      </c>
      <c r="E30" s="17">
        <v>6</v>
      </c>
      <c r="F30" s="22">
        <v>30</v>
      </c>
      <c r="G30" s="17">
        <v>60</v>
      </c>
      <c r="H30" s="22">
        <v>250</v>
      </c>
      <c r="I30" s="67">
        <v>0.1</v>
      </c>
      <c r="J30" s="75">
        <v>2.5</v>
      </c>
      <c r="K30" s="67">
        <v>5.5</v>
      </c>
      <c r="L30" s="75">
        <v>8</v>
      </c>
      <c r="M30" s="17">
        <v>20</v>
      </c>
      <c r="N30" s="22">
        <v>35</v>
      </c>
      <c r="O30" s="67">
        <v>0.6</v>
      </c>
      <c r="P30" s="166">
        <v>4</v>
      </c>
      <c r="Q30" s="6">
        <f xml:space="preserve"> _xlfn.XLOOKUP(
    SoilSpec[[#This Row],[Texture]],
    USDAClass[Texture],
    USDAClass[Clay (%)],
    NA(),
    0
  )</f>
        <v>10</v>
      </c>
      <c r="R30" s="186">
        <f>ROUND(0.15 * SoilSpec[[#This Row],[Clay %]] + 1.5 * (SoilSpec[[#This Row],[OM_Min]] ), 2)</f>
        <v>2.4</v>
      </c>
      <c r="S30" s="67">
        <v>0.4</v>
      </c>
      <c r="T30" s="166">
        <v>0.48</v>
      </c>
      <c r="U30" s="17">
        <f t="shared" si="12"/>
        <v>16</v>
      </c>
      <c r="V30" s="187">
        <f t="shared" si="13"/>
        <v>24</v>
      </c>
      <c r="W30" s="17">
        <f t="shared" si="14"/>
        <v>13</v>
      </c>
      <c r="X30" s="187">
        <f t="shared" si="15"/>
        <v>23</v>
      </c>
      <c r="Y30" s="17">
        <f t="shared" si="16"/>
        <v>117</v>
      </c>
      <c r="Z30" s="187">
        <f t="shared" si="17"/>
        <v>193</v>
      </c>
      <c r="AA30" s="7">
        <v>23</v>
      </c>
      <c r="AB30" s="4">
        <v>36</v>
      </c>
      <c r="AC30" s="73">
        <v>1.1000000000000001</v>
      </c>
      <c r="AD30" s="14">
        <v>1.25</v>
      </c>
      <c r="AE30" s="5">
        <f t="shared" si="18"/>
        <v>2.915</v>
      </c>
      <c r="AF30" s="46">
        <f t="shared" si="19"/>
        <v>57.118353344768444</v>
      </c>
      <c r="AG30" s="6">
        <f t="shared" si="20"/>
        <v>62.264150943396224</v>
      </c>
      <c r="AH30" s="46">
        <f>(SoilSpec[[#This Row],[Moisture_Min]]/SoilSpec[[#This Row],[Porosity_Min %]])*100</f>
        <v>35.01501501501501</v>
      </c>
      <c r="AI30" s="47">
        <f>SoilSpec[[#This Row],[Moisture_Max]]/SoilSpec[[#This Row],[Porosity_Max %]]*100</f>
        <v>56.212121212121211</v>
      </c>
      <c r="AJ30" s="127">
        <v>0</v>
      </c>
      <c r="AK30" s="127">
        <v>20</v>
      </c>
      <c r="AL30" s="127">
        <v>80</v>
      </c>
      <c r="AM30" s="127">
        <v>100</v>
      </c>
      <c r="AN30" s="127">
        <v>0</v>
      </c>
      <c r="AO30" s="127">
        <v>20</v>
      </c>
    </row>
    <row r="31" spans="2:41" x14ac:dyDescent="0.15">
      <c r="B31" s="11" t="s">
        <v>7</v>
      </c>
      <c r="C31" s="17">
        <v>8</v>
      </c>
      <c r="D31" s="22">
        <v>25</v>
      </c>
      <c r="E31" s="17">
        <v>5</v>
      </c>
      <c r="F31" s="22">
        <v>25</v>
      </c>
      <c r="G31" s="17">
        <v>80</v>
      </c>
      <c r="H31" s="22">
        <v>300</v>
      </c>
      <c r="I31" s="67">
        <v>0.1</v>
      </c>
      <c r="J31" s="75">
        <v>3</v>
      </c>
      <c r="K31" s="67">
        <v>5.5</v>
      </c>
      <c r="L31" s="75">
        <v>8.5</v>
      </c>
      <c r="M31" s="17">
        <v>15</v>
      </c>
      <c r="N31" s="22">
        <v>30</v>
      </c>
      <c r="O31" s="67">
        <v>0.5</v>
      </c>
      <c r="P31" s="166">
        <v>3.5</v>
      </c>
      <c r="Q31" s="6">
        <f xml:space="preserve"> _xlfn.XLOOKUP(
    SoilSpec[[#This Row],[Texture]],
    USDAClass[Texture],
    USDAClass[Clay (%)],
    NA(),
    0
  )</f>
        <v>30</v>
      </c>
      <c r="R31" s="186">
        <f>ROUND(0.15 * SoilSpec[[#This Row],[Clay %]] + 1.5 * (SoilSpec[[#This Row],[OM_Min]] ), 2)</f>
        <v>5.25</v>
      </c>
      <c r="S31" s="67">
        <v>0.5</v>
      </c>
      <c r="T31" s="166">
        <v>0.57999999999999996</v>
      </c>
      <c r="U31" s="17">
        <f t="shared" si="12"/>
        <v>13</v>
      </c>
      <c r="V31" s="187">
        <f t="shared" si="13"/>
        <v>20</v>
      </c>
      <c r="W31" s="17">
        <f t="shared" si="14"/>
        <v>11</v>
      </c>
      <c r="X31" s="187">
        <f t="shared" si="15"/>
        <v>19</v>
      </c>
      <c r="Y31" s="17">
        <f t="shared" si="16"/>
        <v>146</v>
      </c>
      <c r="Z31" s="187">
        <f t="shared" si="17"/>
        <v>234</v>
      </c>
      <c r="AA31" s="7">
        <v>24</v>
      </c>
      <c r="AB31" s="4">
        <v>38</v>
      </c>
      <c r="AC31" s="73">
        <v>1.2</v>
      </c>
      <c r="AD31" s="14">
        <v>1.6</v>
      </c>
      <c r="AE31" s="5">
        <f t="shared" si="18"/>
        <v>2.7825000000000002</v>
      </c>
      <c r="AF31" s="46">
        <f t="shared" si="19"/>
        <v>42.497753818508535</v>
      </c>
      <c r="AG31" s="6">
        <f t="shared" si="20"/>
        <v>56.873315363881403</v>
      </c>
      <c r="AH31" s="46">
        <f>(SoilSpec[[#This Row],[Moisture_Min]]/SoilSpec[[#This Row],[Porosity_Min %]])*100</f>
        <v>35.295983086680764</v>
      </c>
      <c r="AI31" s="47">
        <f>SoilSpec[[#This Row],[Moisture_Max]]/SoilSpec[[#This Row],[Porosity_Max %]]*100</f>
        <v>52.748815165876771</v>
      </c>
      <c r="AJ31" s="127">
        <v>45</v>
      </c>
      <c r="AK31" s="127">
        <v>85</v>
      </c>
      <c r="AL31" s="127">
        <v>0</v>
      </c>
      <c r="AM31" s="127">
        <v>20</v>
      </c>
      <c r="AN31" s="127">
        <v>20</v>
      </c>
      <c r="AO31" s="127">
        <v>40</v>
      </c>
    </row>
    <row r="32" spans="2:41" x14ac:dyDescent="0.15">
      <c r="B32" s="11" t="s">
        <v>81</v>
      </c>
      <c r="C32" s="17">
        <v>12</v>
      </c>
      <c r="D32" s="22">
        <v>40</v>
      </c>
      <c r="E32" s="17">
        <v>8</v>
      </c>
      <c r="F32" s="22">
        <v>40</v>
      </c>
      <c r="G32" s="17">
        <v>120</v>
      </c>
      <c r="H32" s="22">
        <v>400</v>
      </c>
      <c r="I32" s="67">
        <v>0.2</v>
      </c>
      <c r="J32" s="75">
        <v>4</v>
      </c>
      <c r="K32" s="67">
        <v>5</v>
      </c>
      <c r="L32" s="75">
        <v>8.5</v>
      </c>
      <c r="M32" s="17">
        <v>25</v>
      </c>
      <c r="N32" s="22">
        <v>45</v>
      </c>
      <c r="O32" s="67">
        <v>1</v>
      </c>
      <c r="P32" s="166">
        <v>5</v>
      </c>
      <c r="Q32" s="6">
        <f xml:space="preserve"> _xlfn.XLOOKUP(
    SoilSpec[[#This Row],[Texture]],
    USDAClass[Texture],
    USDAClass[Clay (%)],
    NA(),
    0
  )</f>
        <v>33.5</v>
      </c>
      <c r="R32" s="186">
        <f>ROUND(0.15 * SoilSpec[[#This Row],[Clay %]] + 1.5 * (SoilSpec[[#This Row],[OM_Min]] ), 2)</f>
        <v>6.53</v>
      </c>
      <c r="S32" s="67">
        <v>0.55000000000000004</v>
      </c>
      <c r="T32" s="166">
        <v>0.62</v>
      </c>
      <c r="U32" s="17">
        <f t="shared" si="12"/>
        <v>20</v>
      </c>
      <c r="V32" s="187">
        <f t="shared" si="13"/>
        <v>32</v>
      </c>
      <c r="W32" s="17">
        <f t="shared" si="14"/>
        <v>18</v>
      </c>
      <c r="X32" s="187">
        <f t="shared" si="15"/>
        <v>30</v>
      </c>
      <c r="Y32" s="17">
        <f t="shared" si="16"/>
        <v>204</v>
      </c>
      <c r="Z32" s="187">
        <f t="shared" si="17"/>
        <v>316</v>
      </c>
      <c r="AA32" s="7">
        <v>23</v>
      </c>
      <c r="AB32" s="4">
        <v>36</v>
      </c>
      <c r="AC32" s="73">
        <v>1.2</v>
      </c>
      <c r="AD32" s="14">
        <v>1.4</v>
      </c>
      <c r="AE32" s="5">
        <f t="shared" si="18"/>
        <v>2.7427499999999996</v>
      </c>
      <c r="AF32" s="46">
        <f t="shared" si="19"/>
        <v>48.956339440342724</v>
      </c>
      <c r="AG32" s="6">
        <f t="shared" si="20"/>
        <v>56.24829094886519</v>
      </c>
      <c r="AH32" s="46">
        <f>(SoilSpec[[#This Row],[Moisture_Min]]/SoilSpec[[#This Row],[Porosity_Min %]])*100</f>
        <v>51.065909514056976</v>
      </c>
      <c r="AI32" s="47">
        <f>SoilSpec[[#This Row],[Moisture_Max]]/SoilSpec[[#This Row],[Porosity_Max %]]*100</f>
        <v>80.002430724355861</v>
      </c>
      <c r="AJ32" s="127">
        <v>0</v>
      </c>
      <c r="AK32" s="127">
        <v>40</v>
      </c>
      <c r="AL32" s="127">
        <v>40</v>
      </c>
      <c r="AM32" s="127">
        <v>60</v>
      </c>
      <c r="AN32" s="127">
        <v>27</v>
      </c>
      <c r="AO32" s="127">
        <v>40</v>
      </c>
    </row>
    <row r="33" spans="2:42" x14ac:dyDescent="0.15">
      <c r="B33" s="11" t="s">
        <v>38</v>
      </c>
      <c r="C33" s="17">
        <v>15</v>
      </c>
      <c r="D33" s="22">
        <v>45</v>
      </c>
      <c r="E33" s="17">
        <v>10</v>
      </c>
      <c r="F33" s="22">
        <v>45</v>
      </c>
      <c r="G33" s="17">
        <v>150</v>
      </c>
      <c r="H33" s="22">
        <v>450</v>
      </c>
      <c r="I33" s="67">
        <v>0.2</v>
      </c>
      <c r="J33" s="75">
        <v>4.5</v>
      </c>
      <c r="K33" s="67">
        <v>5</v>
      </c>
      <c r="L33" s="75">
        <v>8.5</v>
      </c>
      <c r="M33" s="17">
        <v>25</v>
      </c>
      <c r="N33" s="22">
        <v>45</v>
      </c>
      <c r="O33" s="67">
        <v>1</v>
      </c>
      <c r="P33" s="166">
        <v>5</v>
      </c>
      <c r="Q33" s="6">
        <f xml:space="preserve"> _xlfn.XLOOKUP(
    SoilSpec[[#This Row],[Texture]],
    USDAClass[Texture],
    USDAClass[Clay (%)],
    NA(),
    0
  )</f>
        <v>50</v>
      </c>
      <c r="R33" s="186">
        <f>ROUND(0.15 * SoilSpec[[#This Row],[Clay %]] + 1.5 * (SoilSpec[[#This Row],[OM_Min]] ), 2)</f>
        <v>9</v>
      </c>
      <c r="S33" s="67">
        <v>0.6</v>
      </c>
      <c r="T33" s="166">
        <v>0.66</v>
      </c>
      <c r="U33" s="17">
        <f t="shared" si="12"/>
        <v>24</v>
      </c>
      <c r="V33" s="187">
        <f t="shared" si="13"/>
        <v>36</v>
      </c>
      <c r="W33" s="17">
        <f t="shared" si="14"/>
        <v>21</v>
      </c>
      <c r="X33" s="187">
        <f t="shared" si="15"/>
        <v>35</v>
      </c>
      <c r="Y33" s="17">
        <f t="shared" si="16"/>
        <v>240</v>
      </c>
      <c r="Z33" s="187">
        <f t="shared" si="17"/>
        <v>360</v>
      </c>
      <c r="AA33" s="7">
        <v>22</v>
      </c>
      <c r="AB33" s="4">
        <v>36</v>
      </c>
      <c r="AC33" s="73">
        <v>1.1000000000000001</v>
      </c>
      <c r="AD33" s="14">
        <v>1.3</v>
      </c>
      <c r="AE33" s="5">
        <f t="shared" si="18"/>
        <v>2.915</v>
      </c>
      <c r="AF33" s="46">
        <f t="shared" si="19"/>
        <v>55.403087478559179</v>
      </c>
      <c r="AG33" s="6">
        <f t="shared" si="20"/>
        <v>62.264150943396224</v>
      </c>
      <c r="AH33" s="46">
        <f>(SoilSpec[[#This Row],[Moisture_Min]]/SoilSpec[[#This Row],[Porosity_Min %]])*100</f>
        <v>45.123839009287927</v>
      </c>
      <c r="AI33" s="47">
        <f>SoilSpec[[#This Row],[Moisture_Max]]/SoilSpec[[#This Row],[Porosity_Max %]]*100</f>
        <v>72.27272727272728</v>
      </c>
      <c r="AJ33" s="127">
        <v>0</v>
      </c>
      <c r="AK33" s="127">
        <v>20</v>
      </c>
      <c r="AL33" s="127">
        <v>40</v>
      </c>
      <c r="AM33" s="127">
        <v>60</v>
      </c>
      <c r="AN33" s="127">
        <v>40</v>
      </c>
      <c r="AO33" s="127">
        <v>60</v>
      </c>
    </row>
    <row r="34" spans="2:42" x14ac:dyDescent="0.15">
      <c r="B34" s="11" t="s">
        <v>6</v>
      </c>
      <c r="C34" s="17">
        <v>15</v>
      </c>
      <c r="D34" s="22">
        <v>50</v>
      </c>
      <c r="E34" s="17">
        <v>10</v>
      </c>
      <c r="F34" s="22">
        <v>50</v>
      </c>
      <c r="G34" s="17">
        <v>150</v>
      </c>
      <c r="H34" s="22">
        <v>500</v>
      </c>
      <c r="I34" s="67">
        <v>0.2</v>
      </c>
      <c r="J34" s="75">
        <v>5</v>
      </c>
      <c r="K34" s="67">
        <v>5</v>
      </c>
      <c r="L34" s="75">
        <v>8.5</v>
      </c>
      <c r="M34" s="17">
        <v>25</v>
      </c>
      <c r="N34" s="22">
        <v>50</v>
      </c>
      <c r="O34" s="67">
        <v>1</v>
      </c>
      <c r="P34" s="166">
        <v>6</v>
      </c>
      <c r="Q34" s="6">
        <f xml:space="preserve"> _xlfn.XLOOKUP(
    SoilSpec[[#This Row],[Texture]],
    USDAClass[Texture],
    USDAClass[Clay (%)],
    NA(),
    0
  )</f>
        <v>70</v>
      </c>
      <c r="R34" s="186">
        <f>ROUND(0.15 * SoilSpec[[#This Row],[Clay %]] + 1.5 * (SoilSpec[[#This Row],[OM_Min]] ), 2)</f>
        <v>12</v>
      </c>
      <c r="S34" s="67">
        <v>0.65</v>
      </c>
      <c r="T34" s="166">
        <v>0.72</v>
      </c>
      <c r="U34" s="17">
        <f t="shared" si="12"/>
        <v>26</v>
      </c>
      <c r="V34" s="187">
        <f t="shared" si="13"/>
        <v>40</v>
      </c>
      <c r="W34" s="17">
        <f t="shared" si="14"/>
        <v>22</v>
      </c>
      <c r="X34" s="187">
        <f t="shared" si="15"/>
        <v>38</v>
      </c>
      <c r="Y34" s="17">
        <f t="shared" si="16"/>
        <v>255</v>
      </c>
      <c r="Z34" s="187">
        <f t="shared" si="17"/>
        <v>395</v>
      </c>
      <c r="AA34" s="7">
        <v>20</v>
      </c>
      <c r="AB34" s="4">
        <v>34</v>
      </c>
      <c r="AC34" s="73">
        <v>1.05</v>
      </c>
      <c r="AD34" s="14">
        <v>1.3</v>
      </c>
      <c r="AE34" s="5">
        <f t="shared" si="18"/>
        <v>3.0474999999999999</v>
      </c>
      <c r="AF34" s="46">
        <f t="shared" si="19"/>
        <v>57.342083675143549</v>
      </c>
      <c r="AG34" s="6">
        <f t="shared" si="20"/>
        <v>65.545529122231329</v>
      </c>
      <c r="AH34" s="46">
        <f>(SoilSpec[[#This Row],[Moisture_Min]]/SoilSpec[[#This Row],[Porosity_Min %]])*100</f>
        <v>43.597997138769678</v>
      </c>
      <c r="AI34" s="47">
        <f>SoilSpec[[#This Row],[Moisture_Max]]/SoilSpec[[#This Row],[Porosity_Max %]]*100</f>
        <v>76.282853566958707</v>
      </c>
      <c r="AJ34" s="127">
        <v>0</v>
      </c>
      <c r="AK34" s="127">
        <v>45</v>
      </c>
      <c r="AL34" s="127">
        <v>0</v>
      </c>
      <c r="AM34" s="127">
        <v>45</v>
      </c>
      <c r="AN34" s="127">
        <v>40</v>
      </c>
      <c r="AO34" s="127">
        <v>100</v>
      </c>
    </row>
    <row r="35" spans="2:42" x14ac:dyDescent="0.15">
      <c r="B35" s="11" t="s">
        <v>8</v>
      </c>
      <c r="C35" s="17">
        <v>18</v>
      </c>
      <c r="D35" s="22">
        <v>32</v>
      </c>
      <c r="E35" s="17">
        <v>10</v>
      </c>
      <c r="F35" s="22">
        <v>25</v>
      </c>
      <c r="G35" s="17">
        <v>120</v>
      </c>
      <c r="H35" s="22">
        <v>240</v>
      </c>
      <c r="I35" s="67">
        <v>0.1</v>
      </c>
      <c r="J35" s="75">
        <v>3</v>
      </c>
      <c r="K35" s="67">
        <v>5.5</v>
      </c>
      <c r="L35" s="75">
        <v>8.5</v>
      </c>
      <c r="M35" s="17">
        <v>20</v>
      </c>
      <c r="N35" s="22">
        <v>35</v>
      </c>
      <c r="O35" s="68">
        <v>1</v>
      </c>
      <c r="P35" s="278">
        <v>4</v>
      </c>
      <c r="Q35" s="6">
        <f xml:space="preserve"> _xlfn.XLOOKUP(
    SoilSpec[[#This Row],[Texture]],
    USDAClass[Texture],
    USDAClass[Clay (%)],
    NA(),
    0
  )</f>
        <v>27.5</v>
      </c>
      <c r="R35" s="186">
        <f>ROUND(0.15 * SoilSpec[[#This Row],[Clay %]] + 1.5 * (SoilSpec[[#This Row],[OM_Min]] ), 2)</f>
        <v>5.63</v>
      </c>
      <c r="S35" s="67">
        <v>0.57999999999999996</v>
      </c>
      <c r="T35" s="166">
        <v>0.66</v>
      </c>
      <c r="U35" s="17">
        <f t="shared" si="12"/>
        <v>22</v>
      </c>
      <c r="V35" s="187">
        <f t="shared" si="13"/>
        <v>28</v>
      </c>
      <c r="W35" s="17">
        <f t="shared" si="14"/>
        <v>15</v>
      </c>
      <c r="X35" s="187">
        <f t="shared" si="15"/>
        <v>21</v>
      </c>
      <c r="Y35" s="17">
        <f t="shared" si="16"/>
        <v>156</v>
      </c>
      <c r="Z35" s="187">
        <f t="shared" si="17"/>
        <v>204</v>
      </c>
      <c r="AA35" s="7">
        <v>26</v>
      </c>
      <c r="AB35" s="4">
        <v>40</v>
      </c>
      <c r="AC35" s="74">
        <v>1.3</v>
      </c>
      <c r="AD35" s="15">
        <v>1.55</v>
      </c>
      <c r="AE35" s="5">
        <f t="shared" si="18"/>
        <v>2.7560000000000002</v>
      </c>
      <c r="AF35" s="48">
        <f t="shared" si="19"/>
        <v>43.759071117561689</v>
      </c>
      <c r="AG35" s="178">
        <f t="shared" si="20"/>
        <v>52.830188679245296</v>
      </c>
      <c r="AH35" s="48">
        <f>(SoilSpec[[#This Row],[Moisture_Min]]/SoilSpec[[#This Row],[Porosity_Min %]])*100</f>
        <v>45.704809286898836</v>
      </c>
      <c r="AI35" s="49">
        <f>SoilSpec[[#This Row],[Moisture_Max]]/SoilSpec[[#This Row],[Porosity_Max %]]*100</f>
        <v>66.249999999999986</v>
      </c>
      <c r="AJ35" s="127">
        <v>45</v>
      </c>
      <c r="AK35" s="127">
        <v>80</v>
      </c>
      <c r="AL35" s="127">
        <v>0</v>
      </c>
      <c r="AM35" s="127">
        <v>28</v>
      </c>
      <c r="AN35" s="127">
        <v>20</v>
      </c>
      <c r="AO35" s="127">
        <v>35</v>
      </c>
    </row>
    <row r="36" spans="2:42" x14ac:dyDescent="0.15">
      <c r="B36" s="11"/>
      <c r="C36" s="5"/>
      <c r="D36" s="5"/>
      <c r="E36" s="5"/>
      <c r="G36" s="5"/>
      <c r="I36" s="5"/>
      <c r="K36" s="5"/>
      <c r="W36" s="4"/>
      <c r="X36" s="4"/>
    </row>
    <row r="37" spans="2:42" x14ac:dyDescent="0.15">
      <c r="B37" s="37" t="s">
        <v>93</v>
      </c>
      <c r="C37" s="5"/>
      <c r="D37" s="5"/>
      <c r="E37" s="5"/>
      <c r="W37" s="4"/>
      <c r="X37" s="4"/>
    </row>
    <row r="38" spans="2:42" x14ac:dyDescent="0.15">
      <c r="B38" s="83" t="s">
        <v>69</v>
      </c>
      <c r="C38" s="71" t="s">
        <v>94</v>
      </c>
      <c r="D38" s="106" t="s">
        <v>95</v>
      </c>
      <c r="E38" s="71" t="s">
        <v>96</v>
      </c>
      <c r="F38" s="106" t="s">
        <v>97</v>
      </c>
      <c r="G38" s="71" t="s">
        <v>98</v>
      </c>
      <c r="H38" s="106" t="s">
        <v>99</v>
      </c>
      <c r="I38" s="71" t="s">
        <v>100</v>
      </c>
      <c r="J38" s="106" t="s">
        <v>101</v>
      </c>
      <c r="K38" s="71" t="s">
        <v>102</v>
      </c>
      <c r="L38" s="106" t="s">
        <v>103</v>
      </c>
      <c r="M38" s="71" t="s">
        <v>104</v>
      </c>
      <c r="N38" s="72" t="s">
        <v>105</v>
      </c>
      <c r="O38" s="106" t="s">
        <v>106</v>
      </c>
      <c r="P38" s="106" t="s">
        <v>107</v>
      </c>
      <c r="Q38" s="71" t="s">
        <v>147</v>
      </c>
      <c r="R38" s="72" t="s">
        <v>146</v>
      </c>
      <c r="S38" s="71" t="s">
        <v>339</v>
      </c>
      <c r="T38" s="72" t="s">
        <v>340</v>
      </c>
      <c r="U38" s="179" t="s">
        <v>108</v>
      </c>
      <c r="V38" s="180" t="s">
        <v>109</v>
      </c>
      <c r="W38" s="180" t="s">
        <v>110</v>
      </c>
      <c r="X38" s="180" t="s">
        <v>111</v>
      </c>
      <c r="Y38" s="180" t="s">
        <v>112</v>
      </c>
      <c r="Z38" s="181" t="s">
        <v>113</v>
      </c>
      <c r="AA38" s="106" t="s">
        <v>154</v>
      </c>
      <c r="AB38" s="72" t="s">
        <v>84</v>
      </c>
      <c r="AC38" s="84" t="s">
        <v>168</v>
      </c>
      <c r="AD38" s="84" t="s">
        <v>169</v>
      </c>
      <c r="AE38" s="84" t="s">
        <v>170</v>
      </c>
      <c r="AG38" s="16"/>
      <c r="AH38" s="16"/>
      <c r="AI38" s="16"/>
      <c r="AJ38" s="16"/>
      <c r="AK38" s="16"/>
      <c r="AL38" s="250"/>
      <c r="AM38" s="16"/>
      <c r="AN38" s="16"/>
      <c r="AO38" s="16"/>
      <c r="AP38" s="38"/>
    </row>
    <row r="39" spans="2:42" x14ac:dyDescent="0.15">
      <c r="B39" s="69" t="s">
        <v>0</v>
      </c>
      <c r="C39" s="67">
        <f>(C24+D24)/2</f>
        <v>7</v>
      </c>
      <c r="D39" s="14">
        <f>(D24-C24)/6</f>
        <v>1.6666666666666667</v>
      </c>
      <c r="E39" s="67">
        <f>(E24+F24)/2</f>
        <v>7</v>
      </c>
      <c r="F39" s="14">
        <f>(F24-E24)/6</f>
        <v>1.6666666666666667</v>
      </c>
      <c r="G39" s="67">
        <f>(G24+H24)/2</f>
        <v>70</v>
      </c>
      <c r="H39" s="14">
        <f>(H24-G24)/6</f>
        <v>16.666666666666668</v>
      </c>
      <c r="I39" s="67">
        <f>(I24+J24)/2</f>
        <v>0.77500000000000002</v>
      </c>
      <c r="J39" s="14">
        <f>(J24-I24)/6</f>
        <v>0.24166666666666667</v>
      </c>
      <c r="K39" s="67">
        <f>(K24+L24)/2</f>
        <v>7.25</v>
      </c>
      <c r="L39" s="14">
        <f>(L24-K24)/6</f>
        <v>0.41666666666666669</v>
      </c>
      <c r="M39" s="67">
        <f>(M24+N24)/2</f>
        <v>10</v>
      </c>
      <c r="N39" s="14">
        <f>(N24-M24)/6</f>
        <v>1.6666666666666667</v>
      </c>
      <c r="O39" s="67">
        <f t="shared" ref="O39:O50" si="21">(AA24+AB24)/2</f>
        <v>27.5</v>
      </c>
      <c r="P39" s="5">
        <f t="shared" ref="P39:P50" si="22">(AB24-AA24)/6</f>
        <v>2.5</v>
      </c>
      <c r="Q39" s="73">
        <f t="shared" ref="Q39:Q50" si="23">(S24+T24)/2</f>
        <v>7.5000000000000011E-2</v>
      </c>
      <c r="R39" s="14">
        <f t="shared" ref="R39:R50" si="24">(T24-S24)/4</f>
        <v>1.2500000000000001E-2</v>
      </c>
      <c r="S39" s="137">
        <f t="shared" ref="S39:S50" si="25">AVERAGE(O24:P24)</f>
        <v>1.05</v>
      </c>
      <c r="T39" s="138">
        <f t="shared" ref="T39:T50" si="26">_xlfn.STDEV.S(O24:P24)</f>
        <v>1.3435028842544401</v>
      </c>
      <c r="U39" s="111">
        <f>AVERAGE(
    _xlfn.XLOOKUP(TextureCal[[#This Row],[Texture]], SoilSpec[Texture], SoilSpec[Sand_Min]),
    _xlfn.XLOOKUP(TextureCal[[#This Row],[Texture]], SoilSpec[Texture], SoilSpec[Sand_Max])
)</f>
        <v>92.5</v>
      </c>
      <c r="V39" s="98" cm="1">
        <f t="array" ref="V39">IFERROR(_xlfn.STDEV.S(_xlfn._xlws.FILTER(Soil_Samples[Sand], Soil_Samples[Texture]=TextureCal[[#This Row],[Texture]])),0)</f>
        <v>0</v>
      </c>
      <c r="W39" s="98">
        <f>AVERAGE(
    _xlfn.XLOOKUP(TextureCal[[#This Row],[Texture]], SoilSpec[Texture], SoilSpec[Silt_Min]),
    _xlfn.XLOOKUP(TextureCal[[#This Row],[Texture]], SoilSpec[Texture], SoilSpec[Silt_Max])
)</f>
        <v>7.5</v>
      </c>
      <c r="X39" s="98" cm="1">
        <f t="array" ref="X39">IFERROR(_xlfn.STDEV.S(_xlfn._xlws.FILTER(Soil_Samples[Silt], Soil_Samples[Texture]=TextureCal[[#This Row],[Texture]])),0)</f>
        <v>0</v>
      </c>
      <c r="Y39" s="98">
        <f>AVERAGE(
    _xlfn.XLOOKUP(TextureCal[[#This Row],[Texture]], SoilSpec[Texture], SoilSpec[Clay_Min]),
    _xlfn.XLOOKUP(TextureCal[[#This Row],[Texture]], SoilSpec[Texture], SoilSpec[Clay_Max])
)</f>
        <v>5</v>
      </c>
      <c r="Z39" s="52" cm="1">
        <f t="array" ref="Z39">IFERROR(_xlfn.STDEV.S(_xlfn._xlws.FILTER(Soil_Samples[Clay], Soil_Samples[Texture]=TextureCal[[#This Row],[Texture]])),0)</f>
        <v>0</v>
      </c>
      <c r="AA39" s="6" cm="1">
        <f t="array" ref="AA39">_xlfn.LET(
    _xlpm.vals, _xlfn.HSTACK(
        $C$72,
        $C$73,
        $C$74,
        $C$80,
        pH,
        $C$76,
        $C$75,
        $C$79,
        $C$77
    ),
    _xlpm.means, _xlfn.HSTACK(
        TextureCal[[#This Row],[N_Mean]],
        TextureCal[[#This Row],[P_Mean]],
        TextureCal[[#This Row],[K_Mean]],
        TextureCal[[#This Row],[EC_Mean]],
        TextureCal[[#This Row],[pH_Mean]],
        TextureCal[[#This Row],[Moisture_Mean]],
        TextureCal[[#This Row],[Temp_Mean]],
        TextureCal[[#This Row],[TF_Center]],
        TextureCal[[#This Row],[OM_Mean]]
    ),
    _xlpm.stds, _xlfn.HSTACK(
        TextureCal[[#This Row],[N_StdDev]],
        TextureCal[[#This Row],[P_StdDev]],
        TextureCal[[#This Row],[K_StdDev]],
        TextureCal[[#This Row],[EC_StdDev]],
        TextureCal[[#This Row],[pH_StdDev]],
        TextureCal[[#This Row],[Moisture_StdDev]],
        TextureCal[[#This Row],[Temp_StdDev]],
        TextureCal[[#This Row],[TF_StdDev]],
        TextureCal[[#This Row],[OM_StdDev]]
    ),
    SQRT(SUM(((_xlpm.vals - _xlpm.means) / _xlpm.stds)^2))
)</f>
        <v>8.0420645727172388</v>
      </c>
      <c r="AB39" s="114">
        <f xml:space="preserve"> 1
  -
  (
    TextureCal[[#This Row],[Euclidean Distance]]
    - MIN(TextureCal[Euclidean Distance])
  )
  /
  (
    MAX(TextureCal[Euclidean Distance])
    - MIN(TextureCal[Euclidean Distance])
  )</f>
        <v>1</v>
      </c>
      <c r="AC39" s="5" cm="1">
        <f t="array" ref="AC39">_xlfn.LET(
    _xlpm.vals, _xlfn.HSTACK($C$72,$C$73,$C$74,$C$80,$C$81,$C$76,$C$77,$C$79,$C$75),
    _xlpm.mins, _xlfn.HSTACK(SoilSpec[N_Min],SoilSpec[P_Min],SoilSpec[K_Min],
                 SoilSpec[EC_Min],SoilSpec[pH_Min],SoilSpec[Moisture_Min],
                 SoilSpec[OM_Min],SoilSpec[TF_Min],SoilSpec[SoilTemp_Min]),
    _xlpm.maxs, _xlfn.HSTACK(SoilSpec[N_Max],SoilSpec[P_Max],SoilSpec[K_Max],
                 SoilSpec[EC_Max],SoilSpec[pH_Max],SoilSpec[Moisture_Max],
                 SoilSpec[OM_Max],SoilSpec[TF_Max],SoilSpec[SoilTemp_Max]),
    _xlpm.idx, ROW()-ROW(TextureCal[#Headers]),
    SUM( (_xlpm.vals &gt;= INDEX(_xlpm.mins, _xlpm.idx)) * (_xlpm.vals &lt;= INDEX(_xlpm.maxs, _xlpm.idx)) )
)</f>
        <v>7</v>
      </c>
      <c r="AD39" s="5">
        <f>1 - ( TextureCal[[#This Row],[Euclidean Distance]] - MIN(TextureCal[Euclidean Distance]) ) /
        ( MAX(TextureCal[Euclidean Distance]) - MIN(TextureCal[Euclidean Distance]) )</f>
        <v>1</v>
      </c>
      <c r="AE39" s="5">
        <f xml:space="preserve"> (TextureCal[[#This Row],[BandScore]] / 9) * 0.6 + TextureCal[[#This Row],[NormDist]] * 0.4</f>
        <v>0.8666666666666667</v>
      </c>
      <c r="AG39" s="4"/>
      <c r="AH39" s="4"/>
      <c r="AI39" s="4"/>
      <c r="AJ39" s="4"/>
      <c r="AK39" s="4"/>
      <c r="AL39" s="6"/>
      <c r="AM39" s="209"/>
      <c r="AN39" s="209"/>
      <c r="AO39" s="209"/>
    </row>
    <row r="40" spans="2:42" x14ac:dyDescent="0.15">
      <c r="B40" s="69" t="s">
        <v>1</v>
      </c>
      <c r="C40" s="67">
        <f t="shared" ref="C40:C50" si="27">(C25+D25)/2</f>
        <v>9.5</v>
      </c>
      <c r="D40" s="14">
        <f t="shared" ref="D40:D50" si="28">(D25-C25)/6</f>
        <v>1.8333333333333333</v>
      </c>
      <c r="E40" s="67">
        <f t="shared" ref="E40:E50" si="29">(E25+F25)/2</f>
        <v>9</v>
      </c>
      <c r="F40" s="14">
        <f t="shared" ref="F40:F50" si="30">(F25-E25)/6</f>
        <v>2</v>
      </c>
      <c r="G40" s="67">
        <f t="shared" ref="G40:G50" si="31">(G25+H25)/2</f>
        <v>90</v>
      </c>
      <c r="H40" s="14">
        <f t="shared" ref="H40:H50" si="32">(H25-G25)/6</f>
        <v>20</v>
      </c>
      <c r="I40" s="67">
        <f t="shared" ref="I40:I50" si="33">(I25+J25)/2</f>
        <v>1.0249999999999999</v>
      </c>
      <c r="J40" s="14">
        <f t="shared" ref="J40:J50" si="34">(J25-I25)/6</f>
        <v>0.32500000000000001</v>
      </c>
      <c r="K40" s="67">
        <f t="shared" ref="K40:K50" si="35">(K25+L25)/2</f>
        <v>7.15</v>
      </c>
      <c r="L40" s="14">
        <f t="shared" ref="L40:L50" si="36">(L25-K25)/6</f>
        <v>0.45</v>
      </c>
      <c r="M40" s="67">
        <f t="shared" ref="M40:M50" si="37">(M25+N25)/2</f>
        <v>14</v>
      </c>
      <c r="N40" s="14">
        <f t="shared" ref="N40:N50" si="38">(N25-M25)/6</f>
        <v>2</v>
      </c>
      <c r="O40" s="67">
        <f t="shared" si="21"/>
        <v>29</v>
      </c>
      <c r="P40" s="5">
        <f t="shared" si="22"/>
        <v>2.3333333333333335</v>
      </c>
      <c r="Q40" s="73">
        <f t="shared" si="23"/>
        <v>0.14000000000000001</v>
      </c>
      <c r="R40" s="14">
        <f t="shared" si="24"/>
        <v>1.0000000000000002E-2</v>
      </c>
      <c r="S40" s="137">
        <f t="shared" si="25"/>
        <v>1.35</v>
      </c>
      <c r="T40" s="138">
        <f t="shared" si="26"/>
        <v>1.6263455967290592</v>
      </c>
      <c r="U40" s="111">
        <f>AVERAGE(
    _xlfn.XLOOKUP(TextureCal[[#This Row],[Texture]], SoilSpec[Texture], SoilSpec[Sand_Min]),
    _xlfn.XLOOKUP(TextureCal[[#This Row],[Texture]], SoilSpec[Texture], SoilSpec[Sand_Max])
)</f>
        <v>80</v>
      </c>
      <c r="V40" s="98" cm="1">
        <f t="array" ref="V40">IFERROR(_xlfn.STDEV.S(_xlfn._xlws.FILTER(Soil_Samples[Sand], Soil_Samples[Texture]=TextureCal[[#This Row],[Texture]])),0)</f>
        <v>8.4852813742385695</v>
      </c>
      <c r="W40" s="98">
        <f>AVERAGE(
    _xlfn.XLOOKUP(TextureCal[[#This Row],[Texture]], SoilSpec[Texture], SoilSpec[Silt_Min]),
    _xlfn.XLOOKUP(TextureCal[[#This Row],[Texture]], SoilSpec[Texture], SoilSpec[Silt_Max])
)</f>
        <v>12.5</v>
      </c>
      <c r="X40" s="98" cm="1">
        <f t="array" ref="X40">IFERROR(_xlfn.STDEV.S(_xlfn._xlws.FILTER(Soil_Samples[Silt], Soil_Samples[Texture]=TextureCal[[#This Row],[Texture]])),0)</f>
        <v>8.4852813742385695</v>
      </c>
      <c r="Y40" s="98">
        <f>AVERAGE(
    _xlfn.XLOOKUP(TextureCal[[#This Row],[Texture]], SoilSpec[Texture], SoilSpec[Clay_Min]),
    _xlfn.XLOOKUP(TextureCal[[#This Row],[Texture]], SoilSpec[Texture], SoilSpec[Clay_Max])
)</f>
        <v>7.5</v>
      </c>
      <c r="Z40" s="52" cm="1">
        <f t="array" ref="Z40">IFERROR(_xlfn.STDEV.S(_xlfn._xlws.FILTER(Soil_Samples[Clay], Soil_Samples[Texture]=TextureCal[[#This Row],[Texture]])),0)</f>
        <v>0</v>
      </c>
      <c r="AA40" s="6" cm="1">
        <f t="array" ref="AA40">_xlfn.LET(
    _xlpm.vals, _xlfn.HSTACK(
        $C$72,
        $C$73,
        $C$74,
        $C$80,
        pH,
        $C$76,
        $C$75,
        $C$79,
        $C$77
    ),
    _xlpm.means, _xlfn.HSTACK(
        TextureCal[[#This Row],[N_Mean]],
        TextureCal[[#This Row],[P_Mean]],
        TextureCal[[#This Row],[K_Mean]],
        TextureCal[[#This Row],[EC_Mean]],
        TextureCal[[#This Row],[pH_Mean]],
        TextureCal[[#This Row],[Moisture_Mean]],
        TextureCal[[#This Row],[Temp_Mean]],
        TextureCal[[#This Row],[TF_Center]],
        TextureCal[[#This Row],[OM_Mean]]
    ),
    _xlpm.stds, _xlfn.HSTACK(
        TextureCal[[#This Row],[N_StdDev]],
        TextureCal[[#This Row],[P_StdDev]],
        TextureCal[[#This Row],[K_StdDev]],
        TextureCal[[#This Row],[EC_StdDev]],
        TextureCal[[#This Row],[pH_StdDev]],
        TextureCal[[#This Row],[Moisture_StdDev]],
        TextureCal[[#This Row],[Temp_StdDev]],
        TextureCal[[#This Row],[TF_StdDev]],
        TextureCal[[#This Row],[OM_StdDev]]
    ),
    SQRT(SUM(((_xlpm.vals - _xlpm.means) / _xlpm.stds)^2))
)</f>
        <v>10.577853098400757</v>
      </c>
      <c r="AB40" s="114">
        <f xml:space="preserve"> 1
  -
  (
    TextureCal[[#This Row],[Euclidean Distance]]
    - MIN(TextureCal[Euclidean Distance])
  )
  /
  (
    MAX(TextureCal[Euclidean Distance])
    - MIN(TextureCal[Euclidean Distance])
  )</f>
        <v>0.91778360233730871</v>
      </c>
      <c r="AC40" s="5" cm="1">
        <f t="array" ref="AC40">_xlfn.LET(
    _xlpm.vals, _xlfn.HSTACK($C$72,$C$73,$C$74,$C$80,$C$81,$C$76,$C$77,$C$79,$C$75),
    _xlpm.mins, _xlfn.HSTACK(SoilSpec[N_Min],SoilSpec[P_Min],SoilSpec[K_Min],
                 SoilSpec[EC_Min],SoilSpec[pH_Min],SoilSpec[Moisture_Min],
                 SoilSpec[OM_Min],SoilSpec[TF_Min],SoilSpec[SoilTemp_Min]),
    _xlpm.maxs, _xlfn.HSTACK(SoilSpec[N_Max],SoilSpec[P_Max],SoilSpec[K_Max],
                 SoilSpec[EC_Max],SoilSpec[pH_Max],SoilSpec[Moisture_Max],
                 SoilSpec[OM_Max],SoilSpec[TF_Max],SoilSpec[SoilTemp_Max]),
    _xlpm.idx, ROW()-ROW(TextureCal[#Headers]),
    SUM( (_xlpm.vals &gt;= INDEX(_xlpm.mins, _xlpm.idx)) * (_xlpm.vals &lt;= INDEX(_xlpm.maxs, _xlpm.idx)) )
)</f>
        <v>6</v>
      </c>
      <c r="AD40" s="5">
        <f>1 - ( TextureCal[[#This Row],[Euclidean Distance]] - MIN(TextureCal[Euclidean Distance]) ) /
        ( MAX(TextureCal[Euclidean Distance]) - MIN(TextureCal[Euclidean Distance]) )</f>
        <v>0.91778360233730871</v>
      </c>
      <c r="AE40" s="5">
        <f xml:space="preserve"> (TextureCal[[#This Row],[BandScore]] / 9) * 0.6 + TextureCal[[#This Row],[NormDist]] * 0.4</f>
        <v>0.7671134409349234</v>
      </c>
      <c r="AG40" s="4"/>
      <c r="AH40" s="4"/>
      <c r="AI40" s="4"/>
      <c r="AJ40" s="4"/>
      <c r="AK40" s="4"/>
      <c r="AL40" s="6"/>
      <c r="AM40" s="209"/>
      <c r="AN40" s="209"/>
      <c r="AO40" s="209"/>
    </row>
    <row r="41" spans="2:42" x14ac:dyDescent="0.15">
      <c r="B41" s="69" t="s">
        <v>2</v>
      </c>
      <c r="C41" s="67">
        <f t="shared" si="27"/>
        <v>13</v>
      </c>
      <c r="D41" s="14">
        <f t="shared" si="28"/>
        <v>2.3333333333333335</v>
      </c>
      <c r="E41" s="67">
        <f t="shared" si="29"/>
        <v>12</v>
      </c>
      <c r="F41" s="14">
        <f t="shared" si="30"/>
        <v>2.6666666666666665</v>
      </c>
      <c r="G41" s="67">
        <f t="shared" si="31"/>
        <v>120</v>
      </c>
      <c r="H41" s="14">
        <f t="shared" si="32"/>
        <v>26.666666666666668</v>
      </c>
      <c r="I41" s="67">
        <f t="shared" si="33"/>
        <v>1.3</v>
      </c>
      <c r="J41" s="14">
        <f t="shared" si="34"/>
        <v>0.39999999999999997</v>
      </c>
      <c r="K41" s="67">
        <f t="shared" si="35"/>
        <v>7</v>
      </c>
      <c r="L41" s="14">
        <f t="shared" si="36"/>
        <v>0.5</v>
      </c>
      <c r="M41" s="67">
        <f t="shared" si="37"/>
        <v>17.5</v>
      </c>
      <c r="N41" s="14">
        <f t="shared" si="38"/>
        <v>2.5</v>
      </c>
      <c r="O41" s="67">
        <f t="shared" si="21"/>
        <v>31</v>
      </c>
      <c r="P41" s="5">
        <f t="shared" si="22"/>
        <v>2.3333333333333335</v>
      </c>
      <c r="Q41" s="73">
        <f t="shared" si="23"/>
        <v>0.2</v>
      </c>
      <c r="R41" s="14">
        <f t="shared" si="24"/>
        <v>1.0000000000000002E-2</v>
      </c>
      <c r="S41" s="137">
        <f t="shared" si="25"/>
        <v>1.65</v>
      </c>
      <c r="T41" s="138">
        <f t="shared" si="26"/>
        <v>1.9091883092036785</v>
      </c>
      <c r="U41" s="111">
        <f>AVERAGE(
    _xlfn.XLOOKUP(TextureCal[[#This Row],[Texture]], SoilSpec[Texture], SoilSpec[Sand_Min]),
    _xlfn.XLOOKUP(TextureCal[[#This Row],[Texture]], SoilSpec[Texture], SoilSpec[Sand_Max])
)</f>
        <v>64</v>
      </c>
      <c r="V41" s="98" cm="1">
        <f t="array" ref="V41">IFERROR(_xlfn.STDEV.S(_xlfn._xlws.FILTER(Soil_Samples[Sand], Soil_Samples[Texture]=TextureCal[[#This Row],[Texture]])),0)</f>
        <v>4.4153412207028913</v>
      </c>
      <c r="W41" s="98">
        <f>AVERAGE(
    _xlfn.XLOOKUP(TextureCal[[#This Row],[Texture]], SoilSpec[Texture], SoilSpec[Silt_Min]),
    _xlfn.XLOOKUP(TextureCal[[#This Row],[Texture]], SoilSpec[Texture], SoilSpec[Silt_Max])
)</f>
        <v>25</v>
      </c>
      <c r="X41" s="98" cm="1">
        <f t="array" ref="X41">IFERROR(_xlfn.STDEV.S(_xlfn._xlws.FILTER(Soil_Samples[Silt], Soil_Samples[Texture]=TextureCal[[#This Row],[Texture]])),0)</f>
        <v>4.2333708284803668</v>
      </c>
      <c r="Y41" s="98">
        <f>AVERAGE(
    _xlfn.XLOOKUP(TextureCal[[#This Row],[Texture]], SoilSpec[Texture], SoilSpec[Clay_Min]),
    _xlfn.XLOOKUP(TextureCal[[#This Row],[Texture]], SoilSpec[Texture], SoilSpec[Clay_Max])
)</f>
        <v>10</v>
      </c>
      <c r="Z41" s="52" cm="1">
        <f t="array" ref="Z41">IFERROR(_xlfn.STDEV.S(_xlfn._xlws.FILTER(Soil_Samples[Clay], Soil_Samples[Texture]=TextureCal[[#This Row],[Texture]])),0)</f>
        <v>2.8347335475692041</v>
      </c>
      <c r="AA41" s="6" cm="1">
        <f t="array" ref="AA41">_xlfn.LET(
    _xlpm.vals, _xlfn.HSTACK(
        $C$72,
        $C$73,
        $C$74,
        $C$80,
        pH,
        $C$76,
        $C$75,
        $C$79,
        $C$77
    ),
    _xlpm.means, _xlfn.HSTACK(
        TextureCal[[#This Row],[N_Mean]],
        TextureCal[[#This Row],[P_Mean]],
        TextureCal[[#This Row],[K_Mean]],
        TextureCal[[#This Row],[EC_Mean]],
        TextureCal[[#This Row],[pH_Mean]],
        TextureCal[[#This Row],[Moisture_Mean]],
        TextureCal[[#This Row],[Temp_Mean]],
        TextureCal[[#This Row],[TF_Center]],
        TextureCal[[#This Row],[OM_Mean]]
    ),
    _xlpm.stds, _xlfn.HSTACK(
        TextureCal[[#This Row],[N_StdDev]],
        TextureCal[[#This Row],[P_StdDev]],
        TextureCal[[#This Row],[K_StdDev]],
        TextureCal[[#This Row],[EC_StdDev]],
        TextureCal[[#This Row],[pH_StdDev]],
        TextureCal[[#This Row],[Moisture_StdDev]],
        TextureCal[[#This Row],[Temp_StdDev]],
        TextureCal[[#This Row],[TF_StdDev]],
        TextureCal[[#This Row],[OM_StdDev]]
    ),
    SQRT(SUM(((_xlpm.vals - _xlpm.means) / _xlpm.stds)^2))
)</f>
        <v>15.673500246132472</v>
      </c>
      <c r="AB41" s="114">
        <f xml:space="preserve"> 1
  -
  (
    TextureCal[[#This Row],[Euclidean Distance]]
    - MIN(TextureCal[Euclidean Distance])
  )
  /
  (
    MAX(TextureCal[Euclidean Distance])
    - MIN(TextureCal[Euclidean Distance])
  )</f>
        <v>0.75257039626613476</v>
      </c>
      <c r="AC41" s="5" cm="1">
        <f t="array" ref="AC41">_xlfn.LET(
    _xlpm.vals, _xlfn.HSTACK($C$72,$C$73,$C$74,$C$80,$C$81,$C$76,$C$77,$C$79,$C$75),
    _xlpm.mins, _xlfn.HSTACK(SoilSpec[N_Min],SoilSpec[P_Min],SoilSpec[K_Min],
                 SoilSpec[EC_Min],SoilSpec[pH_Min],SoilSpec[Moisture_Min],
                 SoilSpec[OM_Min],SoilSpec[TF_Min],SoilSpec[SoilTemp_Min]),
    _xlpm.maxs, _xlfn.HSTACK(SoilSpec[N_Max],SoilSpec[P_Max],SoilSpec[K_Max],
                 SoilSpec[EC_Max],SoilSpec[pH_Max],SoilSpec[Moisture_Max],
                 SoilSpec[OM_Max],SoilSpec[TF_Max],SoilSpec[SoilTemp_Max]),
    _xlpm.idx, ROW()-ROW(TextureCal[#Headers]),
    SUM( (_xlpm.vals &gt;= INDEX(_xlpm.mins, _xlpm.idx)) * (_xlpm.vals &lt;= INDEX(_xlpm.maxs, _xlpm.idx)) )
)</f>
        <v>6</v>
      </c>
      <c r="AD41" s="5">
        <f>1 - ( TextureCal[[#This Row],[Euclidean Distance]] - MIN(TextureCal[Euclidean Distance]) ) /
        ( MAX(TextureCal[Euclidean Distance]) - MIN(TextureCal[Euclidean Distance]) )</f>
        <v>0.75257039626613476</v>
      </c>
      <c r="AE41" s="5">
        <f xml:space="preserve"> (TextureCal[[#This Row],[BandScore]] / 9) * 0.6 + TextureCal[[#This Row],[NormDist]] * 0.4</f>
        <v>0.70102815850645395</v>
      </c>
      <c r="AG41" s="4"/>
      <c r="AH41" s="4"/>
      <c r="AI41" s="4"/>
      <c r="AJ41" s="4"/>
      <c r="AK41" s="4"/>
      <c r="AL41" s="6"/>
      <c r="AM41" s="209"/>
      <c r="AN41" s="209"/>
      <c r="AO41" s="209"/>
    </row>
    <row r="42" spans="2:42" x14ac:dyDescent="0.15">
      <c r="B42" s="69" t="s">
        <v>3</v>
      </c>
      <c r="C42" s="67">
        <f t="shared" si="27"/>
        <v>16.5</v>
      </c>
      <c r="D42" s="14">
        <f t="shared" si="28"/>
        <v>2.8333333333333335</v>
      </c>
      <c r="E42" s="67">
        <f t="shared" si="29"/>
        <v>15</v>
      </c>
      <c r="F42" s="14">
        <f t="shared" si="30"/>
        <v>3.3333333333333335</v>
      </c>
      <c r="G42" s="67">
        <f t="shared" si="31"/>
        <v>155</v>
      </c>
      <c r="H42" s="14">
        <f t="shared" si="32"/>
        <v>31.666666666666668</v>
      </c>
      <c r="I42" s="67">
        <f t="shared" si="33"/>
        <v>1.55</v>
      </c>
      <c r="J42" s="14">
        <f t="shared" si="34"/>
        <v>0.48333333333333334</v>
      </c>
      <c r="K42" s="67">
        <f t="shared" si="35"/>
        <v>6.85</v>
      </c>
      <c r="L42" s="14">
        <f t="shared" si="36"/>
        <v>0.4499999999999999</v>
      </c>
      <c r="M42" s="67">
        <f t="shared" si="37"/>
        <v>22.5</v>
      </c>
      <c r="N42" s="14">
        <f t="shared" si="38"/>
        <v>2.5</v>
      </c>
      <c r="O42" s="67">
        <f t="shared" si="21"/>
        <v>31</v>
      </c>
      <c r="P42" s="5">
        <f t="shared" si="22"/>
        <v>2.3333333333333335</v>
      </c>
      <c r="Q42" s="73">
        <f t="shared" si="23"/>
        <v>0.27</v>
      </c>
      <c r="R42" s="14">
        <f t="shared" si="24"/>
        <v>1.4999999999999999E-2</v>
      </c>
      <c r="S42" s="137">
        <f t="shared" si="25"/>
        <v>2.25</v>
      </c>
      <c r="T42" s="138">
        <f t="shared" si="26"/>
        <v>2.4748737341529163</v>
      </c>
      <c r="U42" s="111">
        <f>AVERAGE(
    _xlfn.XLOOKUP(TextureCal[[#This Row],[Texture]], SoilSpec[Texture], SoilSpec[Sand_Min]),
    _xlfn.XLOOKUP(TextureCal[[#This Row],[Texture]], SoilSpec[Texture], SoilSpec[Sand_Max])
)</f>
        <v>37.5</v>
      </c>
      <c r="V42" s="98" cm="1">
        <f t="array" ref="V42">IFERROR(_xlfn.STDEV.S(_xlfn._xlws.FILTER(Soil_Samples[Sand], Soil_Samples[Texture]=TextureCal[[#This Row],[Texture]])),0)</f>
        <v>19.425572137078817</v>
      </c>
      <c r="W42" s="98">
        <f>AVERAGE(
    _xlfn.XLOOKUP(TextureCal[[#This Row],[Texture]], SoilSpec[Texture], SoilSpec[Silt_Min]),
    _xlfn.XLOOKUP(TextureCal[[#This Row],[Texture]], SoilSpec[Texture], SoilSpec[Silt_Max])
)</f>
        <v>39</v>
      </c>
      <c r="X42" s="98" cm="1">
        <f t="array" ref="X42">IFERROR(_xlfn.STDEV.S(_xlfn._xlws.FILTER(Soil_Samples[Silt], Soil_Samples[Texture]=TextureCal[[#This Row],[Texture]])),0)</f>
        <v>20.186815189809103</v>
      </c>
      <c r="Y42" s="98">
        <f>AVERAGE(
    _xlfn.XLOOKUP(TextureCal[[#This Row],[Texture]], SoilSpec[Texture], SoilSpec[Clay_Min]),
    _xlfn.XLOOKUP(TextureCal[[#This Row],[Texture]], SoilSpec[Texture], SoilSpec[Clay_Max])
)</f>
        <v>17</v>
      </c>
      <c r="Z42" s="52" cm="1">
        <f t="array" ref="Z42">IFERROR(_xlfn.STDEV.S(_xlfn._xlws.FILTER(Soil_Samples[Clay], Soil_Samples[Texture]=TextureCal[[#This Row],[Texture]])),0)</f>
        <v>10.328228178022467</v>
      </c>
      <c r="AA42" s="6" cm="1">
        <f t="array" ref="AA42">_xlfn.LET(
    _xlpm.vals, _xlfn.HSTACK(
        $C$72,
        $C$73,
        $C$74,
        $C$80,
        pH,
        $C$76,
        $C$75,
        $C$79,
        $C$77
    ),
    _xlpm.means, _xlfn.HSTACK(
        TextureCal[[#This Row],[N_Mean]],
        TextureCal[[#This Row],[P_Mean]],
        TextureCal[[#This Row],[K_Mean]],
        TextureCal[[#This Row],[EC_Mean]],
        TextureCal[[#This Row],[pH_Mean]],
        TextureCal[[#This Row],[Moisture_Mean]],
        TextureCal[[#This Row],[Temp_Mean]],
        TextureCal[[#This Row],[TF_Center]],
        TextureCal[[#This Row],[OM_Mean]]
    ),
    _xlpm.stds, _xlfn.HSTACK(
        TextureCal[[#This Row],[N_StdDev]],
        TextureCal[[#This Row],[P_StdDev]],
        TextureCal[[#This Row],[K_StdDev]],
        TextureCal[[#This Row],[EC_StdDev]],
        TextureCal[[#This Row],[pH_StdDev]],
        TextureCal[[#This Row],[Moisture_StdDev]],
        TextureCal[[#This Row],[Temp_StdDev]],
        TextureCal[[#This Row],[TF_StdDev]],
        TextureCal[[#This Row],[OM_StdDev]]
    ),
    SQRT(SUM(((_xlpm.vals - _xlpm.means) / _xlpm.stds)^2))
)</f>
        <v>16.572822020093838</v>
      </c>
      <c r="AB42" s="114">
        <f xml:space="preserve"> 1
  -
  (
    TextureCal[[#This Row],[Euclidean Distance]]
    - MIN(TextureCal[Euclidean Distance])
  )
  /
  (
    MAX(TextureCal[Euclidean Distance])
    - MIN(TextureCal[Euclidean Distance])
  )</f>
        <v>0.72341220904119863</v>
      </c>
      <c r="AC42" s="5" cm="1">
        <f t="array" ref="AC42">_xlfn.LET(
    _xlpm.vals, _xlfn.HSTACK($C$72,$C$73,$C$74,$C$80,$C$81,$C$76,$C$77,$C$79,$C$75),
    _xlpm.mins, _xlfn.HSTACK(SoilSpec[N_Min],SoilSpec[P_Min],SoilSpec[K_Min],
                 SoilSpec[EC_Min],SoilSpec[pH_Min],SoilSpec[Moisture_Min],
                 SoilSpec[OM_Min],SoilSpec[TF_Min],SoilSpec[SoilTemp_Min]),
    _xlpm.maxs, _xlfn.HSTACK(SoilSpec[N_Max],SoilSpec[P_Max],SoilSpec[K_Max],
                 SoilSpec[EC_Max],SoilSpec[pH_Max],SoilSpec[Moisture_Max],
                 SoilSpec[OM_Max],SoilSpec[TF_Max],SoilSpec[SoilTemp_Max]),
    _xlpm.idx, ROW()-ROW(TextureCal[#Headers]),
    SUM( (_xlpm.vals &gt;= INDEX(_xlpm.mins, _xlpm.idx)) * (_xlpm.vals &lt;= INDEX(_xlpm.maxs, _xlpm.idx)) )
)</f>
        <v>5</v>
      </c>
      <c r="AD42" s="5">
        <f>1 - ( TextureCal[[#This Row],[Euclidean Distance]] - MIN(TextureCal[Euclidean Distance]) ) /
        ( MAX(TextureCal[Euclidean Distance]) - MIN(TextureCal[Euclidean Distance]) )</f>
        <v>0.72341220904119863</v>
      </c>
      <c r="AE42" s="5">
        <f xml:space="preserve"> (TextureCal[[#This Row],[BandScore]] / 9) * 0.6 + TextureCal[[#This Row],[NormDist]] * 0.4</f>
        <v>0.62269821694981276</v>
      </c>
      <c r="AG42" s="4"/>
      <c r="AH42" s="4"/>
      <c r="AI42" s="4"/>
      <c r="AJ42" s="4"/>
      <c r="AK42" s="4"/>
      <c r="AL42" s="6"/>
      <c r="AM42" s="209"/>
      <c r="AN42" s="209"/>
      <c r="AO42" s="209"/>
    </row>
    <row r="43" spans="2:42" x14ac:dyDescent="0.15">
      <c r="B43" s="69" t="s">
        <v>4</v>
      </c>
      <c r="C43" s="67">
        <f t="shared" si="27"/>
        <v>20</v>
      </c>
      <c r="D43" s="14">
        <f t="shared" si="28"/>
        <v>3.3333333333333335</v>
      </c>
      <c r="E43" s="67">
        <f t="shared" si="29"/>
        <v>18</v>
      </c>
      <c r="F43" s="14">
        <f t="shared" si="30"/>
        <v>4</v>
      </c>
      <c r="G43" s="67">
        <f t="shared" si="31"/>
        <v>185</v>
      </c>
      <c r="H43" s="14">
        <f t="shared" si="32"/>
        <v>38.333333333333336</v>
      </c>
      <c r="I43" s="67">
        <f t="shared" si="33"/>
        <v>1.55</v>
      </c>
      <c r="J43" s="14">
        <f t="shared" si="34"/>
        <v>0.48333333333333334</v>
      </c>
      <c r="K43" s="67">
        <f t="shared" si="35"/>
        <v>6.75</v>
      </c>
      <c r="L43" s="14">
        <f t="shared" si="36"/>
        <v>0.41666666666666669</v>
      </c>
      <c r="M43" s="67">
        <f t="shared" si="37"/>
        <v>27.5</v>
      </c>
      <c r="N43" s="14">
        <f t="shared" si="38"/>
        <v>2.5</v>
      </c>
      <c r="O43" s="67">
        <f t="shared" si="21"/>
        <v>31</v>
      </c>
      <c r="P43" s="5">
        <f t="shared" si="22"/>
        <v>2.3333333333333335</v>
      </c>
      <c r="Q43" s="73">
        <f t="shared" si="23"/>
        <v>0.33999999999999997</v>
      </c>
      <c r="R43" s="14">
        <f t="shared" si="24"/>
        <v>2.0000000000000004E-2</v>
      </c>
      <c r="S43" s="137">
        <f t="shared" si="25"/>
        <v>2.5499999999999998</v>
      </c>
      <c r="T43" s="138">
        <f t="shared" si="26"/>
        <v>2.7577164466275352</v>
      </c>
      <c r="U43" s="111">
        <f>AVERAGE(
    _xlfn.XLOOKUP(TextureCal[[#This Row],[Texture]], SoilSpec[Texture], SoilSpec[Sand_Min]),
    _xlfn.XLOOKUP(TextureCal[[#This Row],[Texture]], SoilSpec[Texture], SoilSpec[Sand_Max])
)</f>
        <v>25</v>
      </c>
      <c r="V43" s="98" cm="1">
        <f t="array" ref="V43">IFERROR(_xlfn.STDEV.S(_xlfn._xlws.FILTER(Soil_Samples[Sand], Soil_Samples[Texture]=TextureCal[[#This Row],[Texture]])),0)</f>
        <v>7.5471999624183317</v>
      </c>
      <c r="W43" s="98">
        <f>AVERAGE(
    _xlfn.XLOOKUP(TextureCal[[#This Row],[Texture]], SoilSpec[Texture], SoilSpec[Silt_Min]),
    _xlfn.XLOOKUP(TextureCal[[#This Row],[Texture]], SoilSpec[Texture], SoilSpec[Silt_Max])
)</f>
        <v>69</v>
      </c>
      <c r="X43" s="98" cm="1">
        <f t="array" ref="X43">IFERROR(_xlfn.STDEV.S(_xlfn._xlws.FILTER(Soil_Samples[Silt], Soil_Samples[Texture]=TextureCal[[#This Row],[Texture]])),0)</f>
        <v>6.2462109726738753</v>
      </c>
      <c r="Y43" s="98">
        <f>AVERAGE(
    _xlfn.XLOOKUP(TextureCal[[#This Row],[Texture]], SoilSpec[Texture], SoilSpec[Clay_Min]),
    _xlfn.XLOOKUP(TextureCal[[#This Row],[Texture]], SoilSpec[Texture], SoilSpec[Clay_Max])
)</f>
        <v>13.5</v>
      </c>
      <c r="Z43" s="52" cm="1">
        <f t="array" ref="Z43">IFERROR(_xlfn.STDEV.S(_xlfn._xlws.FILTER(Soil_Samples[Clay], Soil_Samples[Texture]=TextureCal[[#This Row],[Texture]])),0)</f>
        <v>4.1912155610023047</v>
      </c>
      <c r="AA43" s="6" cm="1">
        <f t="array" ref="AA43">_xlfn.LET(
    _xlpm.vals, _xlfn.HSTACK(
        $C$72,
        $C$73,
        $C$74,
        $C$80,
        pH,
        $C$76,
        $C$75,
        $C$79,
        $C$77
    ),
    _xlpm.means, _xlfn.HSTACK(
        TextureCal[[#This Row],[N_Mean]],
        TextureCal[[#This Row],[P_Mean]],
        TextureCal[[#This Row],[K_Mean]],
        TextureCal[[#This Row],[EC_Mean]],
        TextureCal[[#This Row],[pH_Mean]],
        TextureCal[[#This Row],[Moisture_Mean]],
        TextureCal[[#This Row],[Temp_Mean]],
        TextureCal[[#This Row],[TF_Center]],
        TextureCal[[#This Row],[OM_Mean]]
    ),
    _xlpm.stds, _xlfn.HSTACK(
        TextureCal[[#This Row],[N_StdDev]],
        TextureCal[[#This Row],[P_StdDev]],
        TextureCal[[#This Row],[K_StdDev]],
        TextureCal[[#This Row],[EC_StdDev]],
        TextureCal[[#This Row],[pH_StdDev]],
        TextureCal[[#This Row],[Moisture_StdDev]],
        TextureCal[[#This Row],[Temp_StdDev]],
        TextureCal[[#This Row],[TF_StdDev]],
        TextureCal[[#This Row],[OM_StdDev]]
    ),
    SQRT(SUM(((_xlpm.vals - _xlpm.means) / _xlpm.stds)^2))
)</f>
        <v>17.38966598254866</v>
      </c>
      <c r="AB43" s="114">
        <f xml:space="preserve"> 1
  -
  (
    TextureCal[[#This Row],[Euclidean Distance]]
    - MIN(TextureCal[Euclidean Distance])
  )
  /
  (
    MAX(TextureCal[Euclidean Distance])
    - MIN(TextureCal[Euclidean Distance])
  )</f>
        <v>0.69692815196571689</v>
      </c>
      <c r="AC43" s="5" cm="1">
        <f t="array" ref="AC43">_xlfn.LET(
    _xlpm.vals, _xlfn.HSTACK($C$72,$C$73,$C$74,$C$80,$C$81,$C$76,$C$77,$C$79,$C$75),
    _xlpm.mins, _xlfn.HSTACK(SoilSpec[N_Min],SoilSpec[P_Min],SoilSpec[K_Min],
                 SoilSpec[EC_Min],SoilSpec[pH_Min],SoilSpec[Moisture_Min],
                 SoilSpec[OM_Min],SoilSpec[TF_Min],SoilSpec[SoilTemp_Min]),
    _xlpm.maxs, _xlfn.HSTACK(SoilSpec[N_Max],SoilSpec[P_Max],SoilSpec[K_Max],
                 SoilSpec[EC_Max],SoilSpec[pH_Max],SoilSpec[Moisture_Max],
                 SoilSpec[OM_Max],SoilSpec[TF_Max],SoilSpec[SoilTemp_Max]),
    _xlpm.idx, ROW()-ROW(TextureCal[#Headers]),
    SUM( (_xlpm.vals &gt;= INDEX(_xlpm.mins, _xlpm.idx)) * (_xlpm.vals &lt;= INDEX(_xlpm.maxs, _xlpm.idx)) )
)</f>
        <v>3</v>
      </c>
      <c r="AD43" s="5">
        <f>1 - ( TextureCal[[#This Row],[Euclidean Distance]] - MIN(TextureCal[Euclidean Distance]) ) /
        ( MAX(TextureCal[Euclidean Distance]) - MIN(TextureCal[Euclidean Distance]) )</f>
        <v>0.69692815196571689</v>
      </c>
      <c r="AE43" s="5">
        <f xml:space="preserve"> (TextureCal[[#This Row],[BandScore]] / 9) * 0.6 + TextureCal[[#This Row],[NormDist]] * 0.4</f>
        <v>0.47877126078628673</v>
      </c>
      <c r="AG43" s="4"/>
      <c r="AH43" s="4"/>
      <c r="AI43" s="4"/>
      <c r="AJ43" s="4"/>
      <c r="AK43" s="4"/>
      <c r="AL43" s="6"/>
      <c r="AM43" s="209"/>
      <c r="AN43" s="209"/>
      <c r="AO43" s="209"/>
    </row>
    <row r="44" spans="2:42" x14ac:dyDescent="0.15">
      <c r="B44" s="69" t="s">
        <v>9</v>
      </c>
      <c r="C44" s="67">
        <f t="shared" si="27"/>
        <v>22.5</v>
      </c>
      <c r="D44" s="14">
        <f t="shared" si="28"/>
        <v>4.166666666666667</v>
      </c>
      <c r="E44" s="67">
        <f t="shared" si="29"/>
        <v>20.5</v>
      </c>
      <c r="F44" s="14">
        <f t="shared" si="30"/>
        <v>4.833333333333333</v>
      </c>
      <c r="G44" s="67">
        <f t="shared" si="31"/>
        <v>225</v>
      </c>
      <c r="H44" s="14">
        <f t="shared" si="32"/>
        <v>41.666666666666664</v>
      </c>
      <c r="I44" s="67">
        <f t="shared" si="33"/>
        <v>2.0750000000000002</v>
      </c>
      <c r="J44" s="14">
        <f t="shared" si="34"/>
        <v>0.64166666666666672</v>
      </c>
      <c r="K44" s="67">
        <f t="shared" si="35"/>
        <v>6.75</v>
      </c>
      <c r="L44" s="14">
        <f t="shared" si="36"/>
        <v>0.58333333333333337</v>
      </c>
      <c r="M44" s="67">
        <f t="shared" si="37"/>
        <v>30</v>
      </c>
      <c r="N44" s="14">
        <f t="shared" si="38"/>
        <v>3.3333333333333335</v>
      </c>
      <c r="O44" s="67">
        <f t="shared" si="21"/>
        <v>29.5</v>
      </c>
      <c r="P44" s="5">
        <f t="shared" si="22"/>
        <v>2.1666666666666665</v>
      </c>
      <c r="Q44" s="73">
        <f t="shared" si="23"/>
        <v>0.41500000000000004</v>
      </c>
      <c r="R44" s="14">
        <f t="shared" si="24"/>
        <v>1.7500000000000002E-2</v>
      </c>
      <c r="S44" s="137">
        <f t="shared" si="25"/>
        <v>2.9</v>
      </c>
      <c r="T44" s="138">
        <f t="shared" si="26"/>
        <v>2.9698484809834995</v>
      </c>
      <c r="U44" s="111">
        <f>AVERAGE(
    _xlfn.XLOOKUP(TextureCal[[#This Row],[Texture]], SoilSpec[Texture], SoilSpec[Sand_Min]),
    _xlfn.XLOOKUP(TextureCal[[#This Row],[Texture]], SoilSpec[Texture], SoilSpec[Sand_Max])
)</f>
        <v>36</v>
      </c>
      <c r="V44" s="98" cm="1">
        <f t="array" ref="V44">IFERROR(_xlfn.STDEV.S(_xlfn._xlws.FILTER(Soil_Samples[Sand], Soil_Samples[Texture]=TextureCal[[#This Row],[Texture]])),0)</f>
        <v>0</v>
      </c>
      <c r="W44" s="98">
        <f>AVERAGE(
    _xlfn.XLOOKUP(TextureCal[[#This Row],[Texture]], SoilSpec[Texture], SoilSpec[Silt_Min]),
    _xlfn.XLOOKUP(TextureCal[[#This Row],[Texture]], SoilSpec[Texture], SoilSpec[Silt_Max])
)</f>
        <v>36</v>
      </c>
      <c r="X44" s="98" cm="1">
        <f t="array" ref="X44">IFERROR(_xlfn.STDEV.S(_xlfn._xlws.FILTER(Soil_Samples[Silt], Soil_Samples[Texture]=TextureCal[[#This Row],[Texture]])),0)</f>
        <v>0</v>
      </c>
      <c r="Y44" s="98">
        <f>AVERAGE(
    _xlfn.XLOOKUP(TextureCal[[#This Row],[Texture]], SoilSpec[Texture], SoilSpec[Clay_Min]),
    _xlfn.XLOOKUP(TextureCal[[#This Row],[Texture]], SoilSpec[Texture], SoilSpec[Clay_Max])
)</f>
        <v>29</v>
      </c>
      <c r="Z44" s="52" cm="1">
        <f t="array" ref="Z44">IFERROR(_xlfn.STDEV.S(_xlfn._xlws.FILTER(Soil_Samples[Clay], Soil_Samples[Texture]=TextureCal[[#This Row],[Texture]])),0)</f>
        <v>0</v>
      </c>
      <c r="AA44" s="6" cm="1">
        <f t="array" ref="AA44">_xlfn.LET(
    _xlpm.vals, _xlfn.HSTACK(
        $C$72,
        $C$73,
        $C$74,
        $C$80,
        pH,
        $C$76,
        $C$75,
        $C$79,
        $C$77
    ),
    _xlpm.means, _xlfn.HSTACK(
        TextureCal[[#This Row],[N_Mean]],
        TextureCal[[#This Row],[P_Mean]],
        TextureCal[[#This Row],[K_Mean]],
        TextureCal[[#This Row],[EC_Mean]],
        TextureCal[[#This Row],[pH_Mean]],
        TextureCal[[#This Row],[Moisture_Mean]],
        TextureCal[[#This Row],[Temp_Mean]],
        TextureCal[[#This Row],[TF_Center]],
        TextureCal[[#This Row],[OM_Mean]]
    ),
    _xlpm.stds, _xlfn.HSTACK(
        TextureCal[[#This Row],[N_StdDev]],
        TextureCal[[#This Row],[P_StdDev]],
        TextureCal[[#This Row],[K_StdDev]],
        TextureCal[[#This Row],[EC_StdDev]],
        TextureCal[[#This Row],[pH_StdDev]],
        TextureCal[[#This Row],[Moisture_StdDev]],
        TextureCal[[#This Row],[Temp_StdDev]],
        TextureCal[[#This Row],[TF_StdDev]],
        TextureCal[[#This Row],[OM_StdDev]]
    ),
    SQRT(SUM(((_xlpm.vals - _xlpm.means) / _xlpm.stds)^2))
)</f>
        <v>22.292075657493541</v>
      </c>
      <c r="AB44" s="114">
        <f xml:space="preserve"> 1
  -
  (
    TextureCal[[#This Row],[Euclidean Distance]]
    - MIN(TextureCal[Euclidean Distance])
  )
  /
  (
    MAX(TextureCal[Euclidean Distance])
    - MIN(TextureCal[Euclidean Distance])
  )</f>
        <v>0.5379801721723112</v>
      </c>
      <c r="AC44" s="5" cm="1">
        <f t="array" ref="AC44">_xlfn.LET(
    _xlpm.vals, _xlfn.HSTACK($C$72,$C$73,$C$74,$C$80,$C$81,$C$76,$C$77,$C$79,$C$75),
    _xlpm.mins, _xlfn.HSTACK(SoilSpec[N_Min],SoilSpec[P_Min],SoilSpec[K_Min],
                 SoilSpec[EC_Min],SoilSpec[pH_Min],SoilSpec[Moisture_Min],
                 SoilSpec[OM_Min],SoilSpec[TF_Min],SoilSpec[SoilTemp_Min]),
    _xlpm.maxs, _xlfn.HSTACK(SoilSpec[N_Max],SoilSpec[P_Max],SoilSpec[K_Max],
                 SoilSpec[EC_Max],SoilSpec[pH_Max],SoilSpec[Moisture_Max],
                 SoilSpec[OM_Max],SoilSpec[TF_Max],SoilSpec[SoilTemp_Max]),
    _xlpm.idx, ROW()-ROW(TextureCal[#Headers]),
    SUM( (_xlpm.vals &gt;= INDEX(_xlpm.mins, _xlpm.idx)) * (_xlpm.vals &lt;= INDEX(_xlpm.maxs, _xlpm.idx)) )
)</f>
        <v>2</v>
      </c>
      <c r="AD44" s="5">
        <f>1 - ( TextureCal[[#This Row],[Euclidean Distance]] - MIN(TextureCal[Euclidean Distance]) ) /
        ( MAX(TextureCal[Euclidean Distance]) - MIN(TextureCal[Euclidean Distance]) )</f>
        <v>0.5379801721723112</v>
      </c>
      <c r="AE44" s="5">
        <f xml:space="preserve"> (TextureCal[[#This Row],[BandScore]] / 9) * 0.6 + TextureCal[[#This Row],[NormDist]] * 0.4</f>
        <v>0.34852540220225781</v>
      </c>
      <c r="AG44" s="4"/>
      <c r="AH44" s="4"/>
      <c r="AI44" s="4"/>
      <c r="AJ44" s="4"/>
      <c r="AK44" s="4"/>
      <c r="AL44" s="6"/>
      <c r="AM44" s="209"/>
      <c r="AN44" s="209"/>
      <c r="AO44" s="209"/>
    </row>
    <row r="45" spans="2:42" x14ac:dyDescent="0.15">
      <c r="B45" s="69" t="s">
        <v>5</v>
      </c>
      <c r="C45" s="67">
        <f t="shared" si="27"/>
        <v>20</v>
      </c>
      <c r="D45" s="14">
        <f t="shared" si="28"/>
        <v>3.3333333333333335</v>
      </c>
      <c r="E45" s="67">
        <f t="shared" si="29"/>
        <v>18</v>
      </c>
      <c r="F45" s="14">
        <f t="shared" si="30"/>
        <v>4</v>
      </c>
      <c r="G45" s="67">
        <f t="shared" si="31"/>
        <v>155</v>
      </c>
      <c r="H45" s="14">
        <f t="shared" si="32"/>
        <v>31.666666666666668</v>
      </c>
      <c r="I45" s="67">
        <f t="shared" si="33"/>
        <v>1.3</v>
      </c>
      <c r="J45" s="14">
        <f t="shared" si="34"/>
        <v>0.39999999999999997</v>
      </c>
      <c r="K45" s="67">
        <f t="shared" si="35"/>
        <v>6.75</v>
      </c>
      <c r="L45" s="14">
        <f t="shared" si="36"/>
        <v>0.41666666666666669</v>
      </c>
      <c r="M45" s="67">
        <f t="shared" si="37"/>
        <v>27.5</v>
      </c>
      <c r="N45" s="14">
        <f t="shared" si="38"/>
        <v>2.5</v>
      </c>
      <c r="O45" s="67">
        <f t="shared" si="21"/>
        <v>29.5</v>
      </c>
      <c r="P45" s="5">
        <f t="shared" si="22"/>
        <v>2.1666666666666665</v>
      </c>
      <c r="Q45" s="73">
        <f t="shared" si="23"/>
        <v>0.44</v>
      </c>
      <c r="R45" s="14">
        <f t="shared" si="24"/>
        <v>1.999999999999999E-2</v>
      </c>
      <c r="S45" s="137">
        <f t="shared" si="25"/>
        <v>2.2999999999999998</v>
      </c>
      <c r="T45" s="138">
        <f t="shared" si="26"/>
        <v>2.4041630560342617</v>
      </c>
      <c r="U45" s="111">
        <f>AVERAGE(
    _xlfn.XLOOKUP(TextureCal[[#This Row],[Texture]], SoilSpec[Texture], SoilSpec[Sand_Min]),
    _xlfn.XLOOKUP(TextureCal[[#This Row],[Texture]], SoilSpec[Texture], SoilSpec[Sand_Max])
)</f>
        <v>10</v>
      </c>
      <c r="V45" s="98" cm="1">
        <f t="array" ref="V45">IFERROR(_xlfn.STDEV.S(_xlfn._xlws.FILTER(Soil_Samples[Sand], Soil_Samples[Texture]=TextureCal[[#This Row],[Texture]])),0)</f>
        <v>0</v>
      </c>
      <c r="W45" s="98">
        <f>AVERAGE(
    _xlfn.XLOOKUP(TextureCal[[#This Row],[Texture]], SoilSpec[Texture], SoilSpec[Silt_Min]),
    _xlfn.XLOOKUP(TextureCal[[#This Row],[Texture]], SoilSpec[Texture], SoilSpec[Silt_Max])
)</f>
        <v>90</v>
      </c>
      <c r="X45" s="98" cm="1">
        <f t="array" ref="X45">IFERROR(_xlfn.STDEV.S(_xlfn._xlws.FILTER(Soil_Samples[Silt], Soil_Samples[Texture]=TextureCal[[#This Row],[Texture]])),0)</f>
        <v>0</v>
      </c>
      <c r="Y45" s="98">
        <f>AVERAGE(
    _xlfn.XLOOKUP(TextureCal[[#This Row],[Texture]], SoilSpec[Texture], SoilSpec[Clay_Min]),
    _xlfn.XLOOKUP(TextureCal[[#This Row],[Texture]], SoilSpec[Texture], SoilSpec[Clay_Max])
)</f>
        <v>10</v>
      </c>
      <c r="Z45" s="52" cm="1">
        <f t="array" ref="Z45">IFERROR(_xlfn.STDEV.S(_xlfn._xlws.FILTER(Soil_Samples[Clay], Soil_Samples[Texture]=TextureCal[[#This Row],[Texture]])),0)</f>
        <v>0</v>
      </c>
      <c r="AA45" s="6" cm="1">
        <f t="array" ref="AA45">_xlfn.LET(
    _xlpm.vals, _xlfn.HSTACK(
        $C$72,
        $C$73,
        $C$74,
        $C$80,
        pH,
        $C$76,
        $C$75,
        $C$79,
        $C$77
    ),
    _xlpm.means, _xlfn.HSTACK(
        TextureCal[[#This Row],[N_Mean]],
        TextureCal[[#This Row],[P_Mean]],
        TextureCal[[#This Row],[K_Mean]],
        TextureCal[[#This Row],[EC_Mean]],
        TextureCal[[#This Row],[pH_Mean]],
        TextureCal[[#This Row],[Moisture_Mean]],
        TextureCal[[#This Row],[Temp_Mean]],
        TextureCal[[#This Row],[TF_Center]],
        TextureCal[[#This Row],[OM_Mean]]
    ),
    _xlpm.stds, _xlfn.HSTACK(
        TextureCal[[#This Row],[N_StdDev]],
        TextureCal[[#This Row],[P_StdDev]],
        TextureCal[[#This Row],[K_StdDev]],
        TextureCal[[#This Row],[EC_StdDev]],
        TextureCal[[#This Row],[pH_StdDev]],
        TextureCal[[#This Row],[Moisture_StdDev]],
        TextureCal[[#This Row],[Temp_StdDev]],
        TextureCal[[#This Row],[TF_StdDev]],
        TextureCal[[#This Row],[OM_StdDev]]
    ),
    SQRT(SUM(((_xlpm.vals - _xlpm.means) / _xlpm.stds)^2))
)</f>
        <v>21.339332571578428</v>
      </c>
      <c r="AB45" s="114">
        <f xml:space="preserve"> 1
  -
  (
    TextureCal[[#This Row],[Euclidean Distance]]
    - MIN(TextureCal[Euclidean Distance])
  )
  /
  (
    MAX(TextureCal[Euclidean Distance])
    - MIN(TextureCal[Euclidean Distance])
  )</f>
        <v>0.56887040754825313</v>
      </c>
      <c r="AC45" s="5" cm="1">
        <f t="array" ref="AC45">_xlfn.LET(
    _xlpm.vals, _xlfn.HSTACK($C$72,$C$73,$C$74,$C$80,$C$81,$C$76,$C$77,$C$79,$C$75),
    _xlpm.mins, _xlfn.HSTACK(SoilSpec[N_Min],SoilSpec[P_Min],SoilSpec[K_Min],
                 SoilSpec[EC_Min],SoilSpec[pH_Min],SoilSpec[Moisture_Min],
                 SoilSpec[OM_Min],SoilSpec[TF_Min],SoilSpec[SoilTemp_Min]),
    _xlpm.maxs, _xlfn.HSTACK(SoilSpec[N_Max],SoilSpec[P_Max],SoilSpec[K_Max],
                 SoilSpec[EC_Max],SoilSpec[pH_Max],SoilSpec[Moisture_Max],
                 SoilSpec[OM_Max],SoilSpec[TF_Max],SoilSpec[SoilTemp_Max]),
    _xlpm.idx, ROW()-ROW(TextureCal[#Headers]),
    SUM( (_xlpm.vals &gt;= INDEX(_xlpm.mins, _xlpm.idx)) * (_xlpm.vals &lt;= INDEX(_xlpm.maxs, _xlpm.idx)) )
)</f>
        <v>3</v>
      </c>
      <c r="AD45" s="5">
        <f>1 - ( TextureCal[[#This Row],[Euclidean Distance]] - MIN(TextureCal[Euclidean Distance]) ) /
        ( MAX(TextureCal[Euclidean Distance]) - MIN(TextureCal[Euclidean Distance]) )</f>
        <v>0.56887040754825313</v>
      </c>
      <c r="AE45" s="5">
        <f xml:space="preserve"> (TextureCal[[#This Row],[BandScore]] / 9) * 0.6 + TextureCal[[#This Row],[NormDist]] * 0.4</f>
        <v>0.42754816301930121</v>
      </c>
      <c r="AG45" s="4"/>
      <c r="AH45" s="4"/>
      <c r="AI45" s="4"/>
      <c r="AJ45" s="4"/>
      <c r="AK45" s="4"/>
      <c r="AL45" s="6"/>
      <c r="AM45" s="209"/>
      <c r="AN45" s="209"/>
      <c r="AO45" s="209"/>
    </row>
    <row r="46" spans="2:42" x14ac:dyDescent="0.15">
      <c r="B46" s="69" t="s">
        <v>7</v>
      </c>
      <c r="C46" s="67">
        <f t="shared" si="27"/>
        <v>16.5</v>
      </c>
      <c r="D46" s="14">
        <f t="shared" si="28"/>
        <v>2.8333333333333335</v>
      </c>
      <c r="E46" s="67">
        <f t="shared" si="29"/>
        <v>15</v>
      </c>
      <c r="F46" s="14">
        <f t="shared" si="30"/>
        <v>3.3333333333333335</v>
      </c>
      <c r="G46" s="67">
        <f t="shared" si="31"/>
        <v>190</v>
      </c>
      <c r="H46" s="14">
        <f t="shared" si="32"/>
        <v>36.666666666666664</v>
      </c>
      <c r="I46" s="67">
        <f t="shared" si="33"/>
        <v>1.55</v>
      </c>
      <c r="J46" s="14">
        <f t="shared" si="34"/>
        <v>0.48333333333333334</v>
      </c>
      <c r="K46" s="67">
        <f t="shared" si="35"/>
        <v>7</v>
      </c>
      <c r="L46" s="14">
        <f t="shared" si="36"/>
        <v>0.5</v>
      </c>
      <c r="M46" s="67">
        <f t="shared" si="37"/>
        <v>22.5</v>
      </c>
      <c r="N46" s="14">
        <f t="shared" si="38"/>
        <v>2.5</v>
      </c>
      <c r="O46" s="67">
        <f t="shared" si="21"/>
        <v>31</v>
      </c>
      <c r="P46" s="5">
        <f t="shared" si="22"/>
        <v>2.3333333333333335</v>
      </c>
      <c r="Q46" s="73">
        <f t="shared" si="23"/>
        <v>0.54</v>
      </c>
      <c r="R46" s="14">
        <f t="shared" si="24"/>
        <v>1.999999999999999E-2</v>
      </c>
      <c r="S46" s="137">
        <f t="shared" si="25"/>
        <v>2</v>
      </c>
      <c r="T46" s="138">
        <f t="shared" si="26"/>
        <v>2.1213203435596424</v>
      </c>
      <c r="U46" s="111">
        <f>AVERAGE(
    _xlfn.XLOOKUP(TextureCal[[#This Row],[Texture]], SoilSpec[Texture], SoilSpec[Sand_Min]),
    _xlfn.XLOOKUP(TextureCal[[#This Row],[Texture]], SoilSpec[Texture], SoilSpec[Sand_Max])
)</f>
        <v>65</v>
      </c>
      <c r="V46" s="98" cm="1">
        <f t="array" ref="V46">IFERROR(_xlfn.STDEV.S(_xlfn._xlws.FILTER(Soil_Samples[Sand], Soil_Samples[Texture]=TextureCal[[#This Row],[Texture]])),0)</f>
        <v>0</v>
      </c>
      <c r="W46" s="98">
        <f>AVERAGE(
    _xlfn.XLOOKUP(TextureCal[[#This Row],[Texture]], SoilSpec[Texture], SoilSpec[Silt_Min]),
    _xlfn.XLOOKUP(TextureCal[[#This Row],[Texture]], SoilSpec[Texture], SoilSpec[Silt_Max])
)</f>
        <v>10</v>
      </c>
      <c r="X46" s="98" cm="1">
        <f t="array" ref="X46">IFERROR(_xlfn.STDEV.S(_xlfn._xlws.FILTER(Soil_Samples[Silt], Soil_Samples[Texture]=TextureCal[[#This Row],[Texture]])),0)</f>
        <v>0</v>
      </c>
      <c r="Y46" s="98">
        <f>AVERAGE(
    _xlfn.XLOOKUP(TextureCal[[#This Row],[Texture]], SoilSpec[Texture], SoilSpec[Clay_Min]),
    _xlfn.XLOOKUP(TextureCal[[#This Row],[Texture]], SoilSpec[Texture], SoilSpec[Clay_Max])
)</f>
        <v>30</v>
      </c>
      <c r="Z46" s="52" cm="1">
        <f t="array" ref="Z46">IFERROR(_xlfn.STDEV.S(_xlfn._xlws.FILTER(Soil_Samples[Clay], Soil_Samples[Texture]=TextureCal[[#This Row],[Texture]])),0)</f>
        <v>0</v>
      </c>
      <c r="AA46" s="6" cm="1">
        <f t="array" ref="AA46">_xlfn.LET(
    _xlpm.vals, _xlfn.HSTACK(
        $C$72,
        $C$73,
        $C$74,
        $C$80,
        pH,
        $C$76,
        $C$75,
        $C$79,
        $C$77
    ),
    _xlpm.means, _xlfn.HSTACK(
        TextureCal[[#This Row],[N_Mean]],
        TextureCal[[#This Row],[P_Mean]],
        TextureCal[[#This Row],[K_Mean]],
        TextureCal[[#This Row],[EC_Mean]],
        TextureCal[[#This Row],[pH_Mean]],
        TextureCal[[#This Row],[Moisture_Mean]],
        TextureCal[[#This Row],[Temp_Mean]],
        TextureCal[[#This Row],[TF_Center]],
        TextureCal[[#This Row],[OM_Mean]]
    ),
    _xlpm.stds, _xlfn.HSTACK(
        TextureCal[[#This Row],[N_StdDev]],
        TextureCal[[#This Row],[P_StdDev]],
        TextureCal[[#This Row],[K_StdDev]],
        TextureCal[[#This Row],[EC_StdDev]],
        TextureCal[[#This Row],[pH_StdDev]],
        TextureCal[[#This Row],[Moisture_StdDev]],
        TextureCal[[#This Row],[Temp_StdDev]],
        TextureCal[[#This Row],[TF_StdDev]],
        TextureCal[[#This Row],[OM_StdDev]]
    ),
    SQRT(SUM(((_xlpm.vals - _xlpm.means) / _xlpm.stds)^2))
)</f>
        <v>25.4407830323646</v>
      </c>
      <c r="AB46" s="114">
        <f xml:space="preserve"> 1
  -
  (
    TextureCal[[#This Row],[Euclidean Distance]]
    - MIN(TextureCal[Euclidean Distance])
  )
  /
  (
    MAX(TextureCal[Euclidean Distance])
    - MIN(TextureCal[Euclidean Distance])
  )</f>
        <v>0.43589146286794656</v>
      </c>
      <c r="AC46" s="5" cm="1">
        <f t="array" ref="AC46">_xlfn.LET(
    _xlpm.vals, _xlfn.HSTACK($C$72,$C$73,$C$74,$C$80,$C$81,$C$76,$C$77,$C$79,$C$75),
    _xlpm.mins, _xlfn.HSTACK(SoilSpec[N_Min],SoilSpec[P_Min],SoilSpec[K_Min],
                 SoilSpec[EC_Min],SoilSpec[pH_Min],SoilSpec[Moisture_Min],
                 SoilSpec[OM_Min],SoilSpec[TF_Min],SoilSpec[SoilTemp_Min]),
    _xlpm.maxs, _xlfn.HSTACK(SoilSpec[N_Max],SoilSpec[P_Max],SoilSpec[K_Max],
                 SoilSpec[EC_Max],SoilSpec[pH_Max],SoilSpec[Moisture_Max],
                 SoilSpec[OM_Max],SoilSpec[TF_Max],SoilSpec[SoilTemp_Max]),
    _xlpm.idx, ROW()-ROW(TextureCal[#Headers]),
    SUM( (_xlpm.vals &gt;= INDEX(_xlpm.mins, _xlpm.idx)) * (_xlpm.vals &lt;= INDEX(_xlpm.maxs, _xlpm.idx)) )
)</f>
        <v>5</v>
      </c>
      <c r="AD46" s="5">
        <f>1 - ( TextureCal[[#This Row],[Euclidean Distance]] - MIN(TextureCal[Euclidean Distance]) ) /
        ( MAX(TextureCal[Euclidean Distance]) - MIN(TextureCal[Euclidean Distance]) )</f>
        <v>0.43589146286794656</v>
      </c>
      <c r="AE46" s="5">
        <f xml:space="preserve"> (TextureCal[[#This Row],[BandScore]] / 9) * 0.6 + TextureCal[[#This Row],[NormDist]] * 0.4</f>
        <v>0.50768991848051193</v>
      </c>
      <c r="AG46" s="4"/>
      <c r="AH46" s="4"/>
      <c r="AI46" s="4"/>
      <c r="AJ46" s="4"/>
      <c r="AK46" s="4"/>
      <c r="AL46" s="6"/>
      <c r="AM46" s="209"/>
      <c r="AN46" s="209"/>
      <c r="AO46" s="209"/>
    </row>
    <row r="47" spans="2:42" x14ac:dyDescent="0.15">
      <c r="B47" s="69" t="s">
        <v>81</v>
      </c>
      <c r="C47" s="67">
        <f t="shared" si="27"/>
        <v>26</v>
      </c>
      <c r="D47" s="14">
        <f t="shared" si="28"/>
        <v>4.666666666666667</v>
      </c>
      <c r="E47" s="67">
        <f t="shared" si="29"/>
        <v>24</v>
      </c>
      <c r="F47" s="14">
        <f t="shared" si="30"/>
        <v>5.333333333333333</v>
      </c>
      <c r="G47" s="67">
        <f t="shared" si="31"/>
        <v>260</v>
      </c>
      <c r="H47" s="14">
        <f t="shared" si="32"/>
        <v>46.666666666666664</v>
      </c>
      <c r="I47" s="67">
        <f t="shared" si="33"/>
        <v>2.1</v>
      </c>
      <c r="J47" s="14">
        <f t="shared" si="34"/>
        <v>0.6333333333333333</v>
      </c>
      <c r="K47" s="67">
        <f t="shared" si="35"/>
        <v>6.75</v>
      </c>
      <c r="L47" s="14">
        <f t="shared" si="36"/>
        <v>0.58333333333333337</v>
      </c>
      <c r="M47" s="67">
        <f t="shared" si="37"/>
        <v>35</v>
      </c>
      <c r="N47" s="14">
        <f t="shared" si="38"/>
        <v>3.3333333333333335</v>
      </c>
      <c r="O47" s="67">
        <f t="shared" si="21"/>
        <v>29.5</v>
      </c>
      <c r="P47" s="5">
        <f t="shared" si="22"/>
        <v>2.1666666666666665</v>
      </c>
      <c r="Q47" s="73">
        <f t="shared" si="23"/>
        <v>0.58499999999999996</v>
      </c>
      <c r="R47" s="14">
        <f t="shared" si="24"/>
        <v>1.7499999999999988E-2</v>
      </c>
      <c r="S47" s="137">
        <f t="shared" si="25"/>
        <v>3</v>
      </c>
      <c r="T47" s="138">
        <f t="shared" si="26"/>
        <v>2.8284271247461903</v>
      </c>
      <c r="U47" s="111">
        <f>AVERAGE(
    _xlfn.XLOOKUP(TextureCal[[#This Row],[Texture]], SoilSpec[Texture], SoilSpec[Sand_Min]),
    _xlfn.XLOOKUP(TextureCal[[#This Row],[Texture]], SoilSpec[Texture], SoilSpec[Sand_Max])
)</f>
        <v>20</v>
      </c>
      <c r="V47" s="98" cm="1">
        <f t="array" ref="V47">IFERROR(_xlfn.STDEV.S(_xlfn._xlws.FILTER(Soil_Samples[Sand], Soil_Samples[Texture]=TextureCal[[#This Row],[Texture]])),0)</f>
        <v>0</v>
      </c>
      <c r="W47" s="98">
        <f>AVERAGE(
    _xlfn.XLOOKUP(TextureCal[[#This Row],[Texture]], SoilSpec[Texture], SoilSpec[Silt_Min]),
    _xlfn.XLOOKUP(TextureCal[[#This Row],[Texture]], SoilSpec[Texture], SoilSpec[Silt_Max])
)</f>
        <v>50</v>
      </c>
      <c r="X47" s="98" cm="1">
        <f t="array" ref="X47">IFERROR(_xlfn.STDEV.S(_xlfn._xlws.FILTER(Soil_Samples[Silt], Soil_Samples[Texture]=TextureCal[[#This Row],[Texture]])),0)</f>
        <v>0</v>
      </c>
      <c r="Y47" s="98">
        <f>AVERAGE(
    _xlfn.XLOOKUP(TextureCal[[#This Row],[Texture]], SoilSpec[Texture], SoilSpec[Clay_Min]),
    _xlfn.XLOOKUP(TextureCal[[#This Row],[Texture]], SoilSpec[Texture], SoilSpec[Clay_Max])
)</f>
        <v>33.5</v>
      </c>
      <c r="Z47" s="52" cm="1">
        <f t="array" ref="Z47">IFERROR(_xlfn.STDEV.S(_xlfn._xlws.FILTER(Soil_Samples[Clay], Soil_Samples[Texture]=TextureCal[[#This Row],[Texture]])),0)</f>
        <v>0</v>
      </c>
      <c r="AA47" s="6" cm="1">
        <f t="array" ref="AA47">_xlfn.LET(
    _xlpm.vals, _xlfn.HSTACK(
        $C$72,
        $C$73,
        $C$74,
        $C$80,
        pH,
        $C$76,
        $C$75,
        $C$79,
        $C$77
    ),
    _xlpm.means, _xlfn.HSTACK(
        TextureCal[[#This Row],[N_Mean]],
        TextureCal[[#This Row],[P_Mean]],
        TextureCal[[#This Row],[K_Mean]],
        TextureCal[[#This Row],[EC_Mean]],
        TextureCal[[#This Row],[pH_Mean]],
        TextureCal[[#This Row],[Moisture_Mean]],
        TextureCal[[#This Row],[Temp_Mean]],
        TextureCal[[#This Row],[TF_Center]],
        TextureCal[[#This Row],[OM_Mean]]
    ),
    _xlpm.stds, _xlfn.HSTACK(
        TextureCal[[#This Row],[N_StdDev]],
        TextureCal[[#This Row],[P_StdDev]],
        TextureCal[[#This Row],[K_StdDev]],
        TextureCal[[#This Row],[EC_StdDev]],
        TextureCal[[#This Row],[pH_StdDev]],
        TextureCal[[#This Row],[Moisture_StdDev]],
        TextureCal[[#This Row],[Temp_StdDev]],
        TextureCal[[#This Row],[TF_StdDev]],
        TextureCal[[#This Row],[OM_StdDev]]
    ),
    SQRT(SUM(((_xlpm.vals - _xlpm.means) / _xlpm.stds)^2))
)</f>
        <v>31.471965572320812</v>
      </c>
      <c r="AB47" s="114">
        <f xml:space="preserve"> 1
  -
  (
    TextureCal[[#This Row],[Euclidean Distance]]
    - MIN(TextureCal[Euclidean Distance])
  )
  /
  (
    MAX(TextureCal[Euclidean Distance])
    - MIN(TextureCal[Euclidean Distance])
  )</f>
        <v>0.24034593647289293</v>
      </c>
      <c r="AC47" s="5" cm="1">
        <f t="array" ref="AC47">_xlfn.LET(
    _xlpm.vals, _xlfn.HSTACK($C$72,$C$73,$C$74,$C$80,$C$81,$C$76,$C$77,$C$79,$C$75),
    _xlpm.mins, _xlfn.HSTACK(SoilSpec[N_Min],SoilSpec[P_Min],SoilSpec[K_Min],
                 SoilSpec[EC_Min],SoilSpec[pH_Min],SoilSpec[Moisture_Min],
                 SoilSpec[OM_Min],SoilSpec[TF_Min],SoilSpec[SoilTemp_Min]),
    _xlpm.maxs, _xlfn.HSTACK(SoilSpec[N_Max],SoilSpec[P_Max],SoilSpec[K_Max],
                 SoilSpec[EC_Max],SoilSpec[pH_Max],SoilSpec[Moisture_Max],
                 SoilSpec[OM_Max],SoilSpec[TF_Max],SoilSpec[SoilTemp_Max]),
    _xlpm.idx, ROW()-ROW(TextureCal[#Headers]),
    SUM( (_xlpm.vals &gt;= INDEX(_xlpm.mins, _xlpm.idx)) * (_xlpm.vals &lt;= INDEX(_xlpm.maxs, _xlpm.idx)) )
)</f>
        <v>2</v>
      </c>
      <c r="AD47" s="5">
        <f>1 - ( TextureCal[[#This Row],[Euclidean Distance]] - MIN(TextureCal[Euclidean Distance]) ) /
        ( MAX(TextureCal[Euclidean Distance]) - MIN(TextureCal[Euclidean Distance]) )</f>
        <v>0.24034593647289293</v>
      </c>
      <c r="AE47" s="5">
        <f xml:space="preserve"> (TextureCal[[#This Row],[BandScore]] / 9) * 0.6 + TextureCal[[#This Row],[NormDist]] * 0.4</f>
        <v>0.2294717079224905</v>
      </c>
      <c r="AG47" s="4"/>
      <c r="AH47" s="4"/>
      <c r="AI47" s="4"/>
      <c r="AJ47" s="4"/>
      <c r="AK47" s="4"/>
      <c r="AL47" s="6"/>
      <c r="AM47" s="209"/>
      <c r="AN47" s="209"/>
      <c r="AO47" s="209"/>
    </row>
    <row r="48" spans="2:42" x14ac:dyDescent="0.15">
      <c r="B48" s="69" t="s">
        <v>38</v>
      </c>
      <c r="C48" s="67">
        <f t="shared" si="27"/>
        <v>30</v>
      </c>
      <c r="D48" s="14">
        <f t="shared" si="28"/>
        <v>5</v>
      </c>
      <c r="E48" s="67">
        <f t="shared" si="29"/>
        <v>27.5</v>
      </c>
      <c r="F48" s="14">
        <f t="shared" si="30"/>
        <v>5.833333333333333</v>
      </c>
      <c r="G48" s="67">
        <f t="shared" si="31"/>
        <v>300</v>
      </c>
      <c r="H48" s="14">
        <f t="shared" si="32"/>
        <v>50</v>
      </c>
      <c r="I48" s="67">
        <f t="shared" si="33"/>
        <v>2.35</v>
      </c>
      <c r="J48" s="14">
        <f t="shared" si="34"/>
        <v>0.71666666666666667</v>
      </c>
      <c r="K48" s="67">
        <f t="shared" si="35"/>
        <v>6.75</v>
      </c>
      <c r="L48" s="14">
        <f t="shared" si="36"/>
        <v>0.58333333333333337</v>
      </c>
      <c r="M48" s="67">
        <f t="shared" si="37"/>
        <v>35</v>
      </c>
      <c r="N48" s="14">
        <f t="shared" si="38"/>
        <v>3.3333333333333335</v>
      </c>
      <c r="O48" s="67">
        <f t="shared" si="21"/>
        <v>29</v>
      </c>
      <c r="P48" s="5">
        <f t="shared" si="22"/>
        <v>2.3333333333333335</v>
      </c>
      <c r="Q48" s="73">
        <f t="shared" si="23"/>
        <v>0.63</v>
      </c>
      <c r="R48" s="14">
        <f t="shared" si="24"/>
        <v>1.5000000000000013E-2</v>
      </c>
      <c r="S48" s="137">
        <f t="shared" si="25"/>
        <v>3</v>
      </c>
      <c r="T48" s="138">
        <f t="shared" si="26"/>
        <v>2.8284271247461903</v>
      </c>
      <c r="U48" s="111">
        <f>AVERAGE(
    _xlfn.XLOOKUP(TextureCal[[#This Row],[Texture]], SoilSpec[Texture], SoilSpec[Sand_Min]),
    _xlfn.XLOOKUP(TextureCal[[#This Row],[Texture]], SoilSpec[Texture], SoilSpec[Sand_Max])
)</f>
        <v>10</v>
      </c>
      <c r="V48" s="98" cm="1">
        <f t="array" ref="V48">IFERROR(_xlfn.STDEV.S(_xlfn._xlws.FILTER(Soil_Samples[Sand], Soil_Samples[Texture]=TextureCal[[#This Row],[Texture]])),0)</f>
        <v>0</v>
      </c>
      <c r="W48" s="98">
        <f>AVERAGE(
    _xlfn.XLOOKUP(TextureCal[[#This Row],[Texture]], SoilSpec[Texture], SoilSpec[Silt_Min]),
    _xlfn.XLOOKUP(TextureCal[[#This Row],[Texture]], SoilSpec[Texture], SoilSpec[Silt_Max])
)</f>
        <v>50</v>
      </c>
      <c r="X48" s="98" cm="1">
        <f t="array" ref="X48">IFERROR(_xlfn.STDEV.S(_xlfn._xlws.FILTER(Soil_Samples[Silt], Soil_Samples[Texture]=TextureCal[[#This Row],[Texture]])),0)</f>
        <v>0</v>
      </c>
      <c r="Y48" s="98">
        <f>AVERAGE(
    _xlfn.XLOOKUP(TextureCal[[#This Row],[Texture]], SoilSpec[Texture], SoilSpec[Clay_Min]),
    _xlfn.XLOOKUP(TextureCal[[#This Row],[Texture]], SoilSpec[Texture], SoilSpec[Clay_Max])
)</f>
        <v>50</v>
      </c>
      <c r="Z48" s="52" cm="1">
        <f t="array" ref="Z48">IFERROR(_xlfn.STDEV.S(_xlfn._xlws.FILTER(Soil_Samples[Clay], Soil_Samples[Texture]=TextureCal[[#This Row],[Texture]])),0)</f>
        <v>0</v>
      </c>
      <c r="AA48" s="6" cm="1">
        <f t="array" ref="AA48">_xlfn.LET(
    _xlpm.vals, _xlfn.HSTACK(
        $C$72,
        $C$73,
        $C$74,
        $C$80,
        pH,
        $C$76,
        $C$75,
        $C$79,
        $C$77
    ),
    _xlpm.means, _xlfn.HSTACK(
        TextureCal[[#This Row],[N_Mean]],
        TextureCal[[#This Row],[P_Mean]],
        TextureCal[[#This Row],[K_Mean]],
        TextureCal[[#This Row],[EC_Mean]],
        TextureCal[[#This Row],[pH_Mean]],
        TextureCal[[#This Row],[Moisture_Mean]],
        TextureCal[[#This Row],[Temp_Mean]],
        TextureCal[[#This Row],[TF_Center]],
        TextureCal[[#This Row],[OM_Mean]]
    ),
    _xlpm.stds, _xlfn.HSTACK(
        TextureCal[[#This Row],[N_StdDev]],
        TextureCal[[#This Row],[P_StdDev]],
        TextureCal[[#This Row],[K_StdDev]],
        TextureCal[[#This Row],[EC_StdDev]],
        TextureCal[[#This Row],[pH_StdDev]],
        TextureCal[[#This Row],[Moisture_StdDev]],
        TextureCal[[#This Row],[Temp_StdDev]],
        TextureCal[[#This Row],[TF_StdDev]],
        TextureCal[[#This Row],[OM_StdDev]]
    ),
    SQRT(SUM(((_xlpm.vals - _xlpm.means) / _xlpm.stds)^2))
)</f>
        <v>38.884920715442938</v>
      </c>
      <c r="AB48" s="114">
        <f xml:space="preserve"> 1
  -
  (
    TextureCal[[#This Row],[Euclidean Distance]]
    - MIN(TextureCal[Euclidean Distance])
  )
  /
  (
    MAX(TextureCal[Euclidean Distance])
    - MIN(TextureCal[Euclidean Distance])
  )</f>
        <v>0</v>
      </c>
      <c r="AC48" s="5" cm="1">
        <f t="array" ref="AC48">_xlfn.LET(
    _xlpm.vals, _xlfn.HSTACK($C$72,$C$73,$C$74,$C$80,$C$81,$C$76,$C$77,$C$79,$C$75),
    _xlpm.mins, _xlfn.HSTACK(SoilSpec[N_Min],SoilSpec[P_Min],SoilSpec[K_Min],
                 SoilSpec[EC_Min],SoilSpec[pH_Min],SoilSpec[Moisture_Min],
                 SoilSpec[OM_Min],SoilSpec[TF_Min],SoilSpec[SoilTemp_Min]),
    _xlpm.maxs, _xlfn.HSTACK(SoilSpec[N_Max],SoilSpec[P_Max],SoilSpec[K_Max],
                 SoilSpec[EC_Max],SoilSpec[pH_Max],SoilSpec[Moisture_Max],
                 SoilSpec[OM_Max],SoilSpec[TF_Max],SoilSpec[SoilTemp_Max]),
    _xlpm.idx, ROW()-ROW(TextureCal[#Headers]),
    SUM( (_xlpm.vals &gt;= INDEX(_xlpm.mins, _xlpm.idx)) * (_xlpm.vals &lt;= INDEX(_xlpm.maxs, _xlpm.idx)) )
)</f>
        <v>2</v>
      </c>
      <c r="AD48" s="5">
        <f>1 - ( TextureCal[[#This Row],[Euclidean Distance]] - MIN(TextureCal[Euclidean Distance]) ) /
        ( MAX(TextureCal[Euclidean Distance]) - MIN(TextureCal[Euclidean Distance]) )</f>
        <v>0</v>
      </c>
      <c r="AE48" s="5">
        <f xml:space="preserve"> (TextureCal[[#This Row],[BandScore]] / 9) * 0.6 + TextureCal[[#This Row],[NormDist]] * 0.4</f>
        <v>0.13333333333333333</v>
      </c>
      <c r="AG48" s="4"/>
      <c r="AH48" s="4"/>
      <c r="AI48" s="4"/>
      <c r="AJ48" s="4"/>
      <c r="AK48" s="4"/>
      <c r="AL48" s="6"/>
      <c r="AM48" s="209"/>
      <c r="AN48" s="209"/>
      <c r="AO48" s="209"/>
    </row>
    <row r="49" spans="2:49" x14ac:dyDescent="0.15">
      <c r="B49" s="69" t="s">
        <v>6</v>
      </c>
      <c r="C49" s="67">
        <f t="shared" si="27"/>
        <v>32.5</v>
      </c>
      <c r="D49" s="14">
        <f t="shared" si="28"/>
        <v>5.833333333333333</v>
      </c>
      <c r="E49" s="67">
        <f t="shared" si="29"/>
        <v>30</v>
      </c>
      <c r="F49" s="14">
        <f t="shared" si="30"/>
        <v>6.666666666666667</v>
      </c>
      <c r="G49" s="67">
        <f t="shared" si="31"/>
        <v>325</v>
      </c>
      <c r="H49" s="14">
        <f t="shared" si="32"/>
        <v>58.333333333333336</v>
      </c>
      <c r="I49" s="67">
        <f t="shared" si="33"/>
        <v>2.6</v>
      </c>
      <c r="J49" s="14">
        <f t="shared" si="34"/>
        <v>0.79999999999999993</v>
      </c>
      <c r="K49" s="67">
        <f t="shared" si="35"/>
        <v>6.75</v>
      </c>
      <c r="L49" s="14">
        <f t="shared" si="36"/>
        <v>0.58333333333333337</v>
      </c>
      <c r="M49" s="67">
        <f t="shared" si="37"/>
        <v>37.5</v>
      </c>
      <c r="N49" s="14">
        <f t="shared" si="38"/>
        <v>4.166666666666667</v>
      </c>
      <c r="O49" s="67">
        <f t="shared" si="21"/>
        <v>27</v>
      </c>
      <c r="P49" s="5">
        <f t="shared" si="22"/>
        <v>2.3333333333333335</v>
      </c>
      <c r="Q49" s="73">
        <f t="shared" si="23"/>
        <v>0.68500000000000005</v>
      </c>
      <c r="R49" s="14">
        <f t="shared" si="24"/>
        <v>1.7499999999999988E-2</v>
      </c>
      <c r="S49" s="137">
        <f t="shared" si="25"/>
        <v>3.5</v>
      </c>
      <c r="T49" s="138">
        <f t="shared" si="26"/>
        <v>3.5355339059327378</v>
      </c>
      <c r="U49" s="111">
        <f>AVERAGE(
    _xlfn.XLOOKUP(TextureCal[[#This Row],[Texture]], SoilSpec[Texture], SoilSpec[Sand_Min]),
    _xlfn.XLOOKUP(TextureCal[[#This Row],[Texture]], SoilSpec[Texture], SoilSpec[Sand_Max])
)</f>
        <v>22.5</v>
      </c>
      <c r="V49" s="98" cm="1">
        <f t="array" ref="V49">IFERROR(_xlfn.STDEV.S(_xlfn._xlws.FILTER(Soil_Samples[Sand], Soil_Samples[Texture]=TextureCal[[#This Row],[Texture]])),0)</f>
        <v>0</v>
      </c>
      <c r="W49" s="98">
        <f>AVERAGE(
    _xlfn.XLOOKUP(TextureCal[[#This Row],[Texture]], SoilSpec[Texture], SoilSpec[Silt_Min]),
    _xlfn.XLOOKUP(TextureCal[[#This Row],[Texture]], SoilSpec[Texture], SoilSpec[Silt_Max])
)</f>
        <v>22.5</v>
      </c>
      <c r="X49" s="98" cm="1">
        <f t="array" ref="X49">IFERROR(_xlfn.STDEV.S(_xlfn._xlws.FILTER(Soil_Samples[Silt], Soil_Samples[Texture]=TextureCal[[#This Row],[Texture]])),0)</f>
        <v>0</v>
      </c>
      <c r="Y49" s="98">
        <f>AVERAGE(
    _xlfn.XLOOKUP(TextureCal[[#This Row],[Texture]], SoilSpec[Texture], SoilSpec[Clay_Min]),
    _xlfn.XLOOKUP(TextureCal[[#This Row],[Texture]], SoilSpec[Texture], SoilSpec[Clay_Max])
)</f>
        <v>70</v>
      </c>
      <c r="Z49" s="52" cm="1">
        <f t="array" ref="Z49">IFERROR(_xlfn.STDEV.S(_xlfn._xlws.FILTER(Soil_Samples[Clay], Soil_Samples[Texture]=TextureCal[[#This Row],[Texture]])),0)</f>
        <v>0</v>
      </c>
      <c r="AA49" s="6" cm="1">
        <f t="array" ref="AA49">_xlfn.LET(
    _xlpm.vals, _xlfn.HSTACK(
        $C$72,
        $C$73,
        $C$74,
        $C$80,
        pH,
        $C$76,
        $C$75,
        $C$79,
        $C$77
    ),
    _xlpm.means, _xlfn.HSTACK(
        TextureCal[[#This Row],[N_Mean]],
        TextureCal[[#This Row],[P_Mean]],
        TextureCal[[#This Row],[K_Mean]],
        TextureCal[[#This Row],[EC_Mean]],
        TextureCal[[#This Row],[pH_Mean]],
        TextureCal[[#This Row],[Moisture_Mean]],
        TextureCal[[#This Row],[Temp_Mean]],
        TextureCal[[#This Row],[TF_Center]],
        TextureCal[[#This Row],[OM_Mean]]
    ),
    _xlpm.stds, _xlfn.HSTACK(
        TextureCal[[#This Row],[N_StdDev]],
        TextureCal[[#This Row],[P_StdDev]],
        TextureCal[[#This Row],[K_StdDev]],
        TextureCal[[#This Row],[EC_StdDev]],
        TextureCal[[#This Row],[pH_StdDev]],
        TextureCal[[#This Row],[Moisture_StdDev]],
        TextureCal[[#This Row],[Temp_StdDev]],
        TextureCal[[#This Row],[TF_StdDev]],
        TextureCal[[#This Row],[OM_StdDev]]
    ),
    SQRT(SUM(((_xlpm.vals - _xlpm.means) / _xlpm.stds)^2))
)</f>
        <v>36.563878158091782</v>
      </c>
      <c r="AB49" s="114">
        <f xml:space="preserve"> 1
  -
  (
    TextureCal[[#This Row],[Euclidean Distance]]
    - MIN(TextureCal[Euclidean Distance])
  )
  /
  (
    MAX(TextureCal[Euclidean Distance])
    - MIN(TextureCal[Euclidean Distance])
  )</f>
        <v>7.5253813933784275E-2</v>
      </c>
      <c r="AC49" s="5" cm="1">
        <f t="array" ref="AC49">_xlfn.LET(
    _xlpm.vals, _xlfn.HSTACK($C$72,$C$73,$C$74,$C$80,$C$81,$C$76,$C$77,$C$79,$C$75),
    _xlpm.mins, _xlfn.HSTACK(SoilSpec[N_Min],SoilSpec[P_Min],SoilSpec[K_Min],
                 SoilSpec[EC_Min],SoilSpec[pH_Min],SoilSpec[Moisture_Min],
                 SoilSpec[OM_Min],SoilSpec[TF_Min],SoilSpec[SoilTemp_Min]),
    _xlpm.maxs, _xlfn.HSTACK(SoilSpec[N_Max],SoilSpec[P_Max],SoilSpec[K_Max],
                 SoilSpec[EC_Max],SoilSpec[pH_Max],SoilSpec[Moisture_Max],
                 SoilSpec[OM_Max],SoilSpec[TF_Max],SoilSpec[SoilTemp_Max]),
    _xlpm.idx, ROW()-ROW(TextureCal[#Headers]),
    SUM( (_xlpm.vals &gt;= INDEX(_xlpm.mins, _xlpm.idx)) * (_xlpm.vals &lt;= INDEX(_xlpm.maxs, _xlpm.idx)) )
)</f>
        <v>2</v>
      </c>
      <c r="AD49" s="5">
        <f>1 - ( TextureCal[[#This Row],[Euclidean Distance]] - MIN(TextureCal[Euclidean Distance]) ) /
        ( MAX(TextureCal[Euclidean Distance]) - MIN(TextureCal[Euclidean Distance]) )</f>
        <v>7.5253813933784275E-2</v>
      </c>
      <c r="AE49" s="5">
        <f xml:space="preserve"> (TextureCal[[#This Row],[BandScore]] / 9) * 0.6 + TextureCal[[#This Row],[NormDist]] * 0.4</f>
        <v>0.16343485890684706</v>
      </c>
      <c r="AG49" s="4"/>
      <c r="AH49" s="4"/>
      <c r="AI49" s="4"/>
      <c r="AJ49" s="4"/>
      <c r="AK49" s="4"/>
      <c r="AL49" s="6"/>
      <c r="AM49" s="209"/>
      <c r="AN49" s="209"/>
      <c r="AO49" s="209"/>
    </row>
    <row r="50" spans="2:49" x14ac:dyDescent="0.15">
      <c r="B50" s="69" t="s">
        <v>8</v>
      </c>
      <c r="C50" s="67">
        <f t="shared" si="27"/>
        <v>25</v>
      </c>
      <c r="D50" s="14">
        <f t="shared" si="28"/>
        <v>2.3333333333333335</v>
      </c>
      <c r="E50" s="67">
        <f t="shared" si="29"/>
        <v>17.5</v>
      </c>
      <c r="F50" s="14">
        <f t="shared" si="30"/>
        <v>2.5</v>
      </c>
      <c r="G50" s="67">
        <f t="shared" si="31"/>
        <v>180</v>
      </c>
      <c r="H50" s="14">
        <f t="shared" si="32"/>
        <v>20</v>
      </c>
      <c r="I50" s="67">
        <f t="shared" si="33"/>
        <v>1.55</v>
      </c>
      <c r="J50" s="14">
        <f t="shared" si="34"/>
        <v>0.48333333333333334</v>
      </c>
      <c r="K50" s="67">
        <f t="shared" si="35"/>
        <v>7</v>
      </c>
      <c r="L50" s="14">
        <f t="shared" si="36"/>
        <v>0.5</v>
      </c>
      <c r="M50" s="67">
        <f t="shared" si="37"/>
        <v>27.5</v>
      </c>
      <c r="N50" s="14">
        <f t="shared" si="38"/>
        <v>2.5</v>
      </c>
      <c r="O50" s="68">
        <f t="shared" si="21"/>
        <v>33</v>
      </c>
      <c r="P50" s="9">
        <f t="shared" si="22"/>
        <v>2.3333333333333335</v>
      </c>
      <c r="Q50" s="74">
        <f t="shared" si="23"/>
        <v>0.62</v>
      </c>
      <c r="R50" s="15">
        <f t="shared" si="24"/>
        <v>2.0000000000000018E-2</v>
      </c>
      <c r="S50" s="139">
        <f t="shared" si="25"/>
        <v>2.5</v>
      </c>
      <c r="T50" s="140">
        <f t="shared" si="26"/>
        <v>2.1213203435596424</v>
      </c>
      <c r="U50" s="183">
        <f>AVERAGE(
    _xlfn.XLOOKUP(TextureCal[[#This Row],[Texture]], SoilSpec[Texture], SoilSpec[Sand_Min]),
    _xlfn.XLOOKUP(TextureCal[[#This Row],[Texture]], SoilSpec[Texture], SoilSpec[Sand_Max])
)</f>
        <v>62.5</v>
      </c>
      <c r="V50" s="184" cm="1">
        <f t="array" ref="V50">IFERROR(_xlfn.STDEV.S(_xlfn._xlws.FILTER(Soil_Samples[Sand], Soil_Samples[Texture]=TextureCal[[#This Row],[Texture]])),0)</f>
        <v>0</v>
      </c>
      <c r="W50" s="184">
        <f>AVERAGE(
    _xlfn.XLOOKUP(TextureCal[[#This Row],[Texture]], SoilSpec[Texture], SoilSpec[Silt_Min]),
    _xlfn.XLOOKUP(TextureCal[[#This Row],[Texture]], SoilSpec[Texture], SoilSpec[Silt_Max])
)</f>
        <v>14</v>
      </c>
      <c r="X50" s="184" cm="1">
        <f t="array" ref="X50">IFERROR(_xlfn.STDEV.S(_xlfn._xlws.FILTER(Soil_Samples[Silt], Soil_Samples[Texture]=TextureCal[[#This Row],[Texture]])),0)</f>
        <v>0</v>
      </c>
      <c r="Y50" s="184">
        <f>AVERAGE(
    _xlfn.XLOOKUP(TextureCal[[#This Row],[Texture]], SoilSpec[Texture], SoilSpec[Clay_Min]),
    _xlfn.XLOOKUP(TextureCal[[#This Row],[Texture]], SoilSpec[Texture], SoilSpec[Clay_Max])
)</f>
        <v>27.5</v>
      </c>
      <c r="Z50" s="185" cm="1">
        <f t="array" ref="Z50">IFERROR(_xlfn.STDEV.S(_xlfn._xlws.FILTER(Soil_Samples[Clay], Soil_Samples[Texture]=TextureCal[[#This Row],[Texture]])),0)</f>
        <v>0</v>
      </c>
      <c r="AA50" s="178" cm="1">
        <f t="array" ref="AA50">_xlfn.LET(
    _xlpm.vals, _xlfn.HSTACK(
        $C$72,
        $C$73,
        $C$74,
        $C$80,
        pH,
        $C$76,
        $C$75,
        $C$79,
        $C$77
    ),
    _xlpm.means, _xlfn.HSTACK(
        TextureCal[[#This Row],[N_Mean]],
        TextureCal[[#This Row],[P_Mean]],
        TextureCal[[#This Row],[K_Mean]],
        TextureCal[[#This Row],[EC_Mean]],
        TextureCal[[#This Row],[pH_Mean]],
        TextureCal[[#This Row],[Moisture_Mean]],
        TextureCal[[#This Row],[Temp_Mean]],
        TextureCal[[#This Row],[TF_Center]],
        TextureCal[[#This Row],[OM_Mean]]
    ),
    _xlpm.stds, _xlfn.HSTACK(
        TextureCal[[#This Row],[N_StdDev]],
        TextureCal[[#This Row],[P_StdDev]],
        TextureCal[[#This Row],[K_StdDev]],
        TextureCal[[#This Row],[EC_StdDev]],
        TextureCal[[#This Row],[pH_StdDev]],
        TextureCal[[#This Row],[Moisture_StdDev]],
        TextureCal[[#This Row],[Temp_StdDev]],
        TextureCal[[#This Row],[TF_StdDev]],
        TextureCal[[#This Row],[OM_StdDev]]
    ),
    SQRT(SUM(((_xlpm.vals - _xlpm.means) / _xlpm.stds)^2))
)</f>
        <v>31.224667175269282</v>
      </c>
      <c r="AB50" s="114">
        <f xml:space="preserve"> 1
  -
  (
    TextureCal[[#This Row],[Euclidean Distance]]
    - MIN(TextureCal[Euclidean Distance])
  )
  /
  (
    MAX(TextureCal[Euclidean Distance])
    - MIN(TextureCal[Euclidean Distance])
  )</f>
        <v>0.24836394867990619</v>
      </c>
      <c r="AC50" s="5" cm="1">
        <f t="array" ref="AC50">_xlfn.LET(
    _xlpm.vals, _xlfn.HSTACK($C$72,$C$73,$C$74,$C$80,$C$81,$C$76,$C$77,$C$79,$C$75),
    _xlpm.mins, _xlfn.HSTACK(SoilSpec[N_Min],SoilSpec[P_Min],SoilSpec[K_Min],
                 SoilSpec[EC_Min],SoilSpec[pH_Min],SoilSpec[Moisture_Min],
                 SoilSpec[OM_Min],SoilSpec[TF_Min],SoilSpec[SoilTemp_Min]),
    _xlpm.maxs, _xlfn.HSTACK(SoilSpec[N_Max],SoilSpec[P_Max],SoilSpec[K_Max],
                 SoilSpec[EC_Max],SoilSpec[pH_Max],SoilSpec[Moisture_Max],
                 SoilSpec[OM_Max],SoilSpec[TF_Max],SoilSpec[SoilTemp_Max]),
    _xlpm.idx, ROW()-ROW(TextureCal[#Headers]),
    SUM( (_xlpm.vals &gt;= INDEX(_xlpm.mins, _xlpm.idx)) * (_xlpm.vals &lt;= INDEX(_xlpm.maxs, _xlpm.idx)) )
)</f>
        <v>2</v>
      </c>
      <c r="AD50" s="5">
        <f>1 - ( TextureCal[[#This Row],[Euclidean Distance]] - MIN(TextureCal[Euclidean Distance]) ) /
        ( MAX(TextureCal[Euclidean Distance]) - MIN(TextureCal[Euclidean Distance]) )</f>
        <v>0.24836394867990619</v>
      </c>
      <c r="AE50" s="5">
        <f xml:space="preserve"> (TextureCal[[#This Row],[BandScore]] / 9) * 0.6 + TextureCal[[#This Row],[NormDist]] * 0.4</f>
        <v>0.23267891280529582</v>
      </c>
    </row>
    <row r="51" spans="2:49" ht="11.25" thickBot="1" x14ac:dyDescent="0.2">
      <c r="B51" s="11"/>
      <c r="C51" s="5"/>
      <c r="D51" s="5"/>
      <c r="E51" s="5"/>
      <c r="W51" s="4"/>
      <c r="X51" s="4"/>
    </row>
    <row r="52" spans="2:49" ht="11.25" thickBot="1" x14ac:dyDescent="0.2">
      <c r="B52" s="11"/>
      <c r="C52" s="5"/>
      <c r="D52" s="5"/>
      <c r="E52" s="5"/>
      <c r="J52" s="275" t="s">
        <v>289</v>
      </c>
      <c r="K52" s="276"/>
      <c r="L52" s="276"/>
      <c r="M52" s="276"/>
      <c r="N52" s="276"/>
      <c r="O52" s="276"/>
      <c r="P52" s="276"/>
      <c r="Q52" s="276"/>
      <c r="R52" s="276"/>
      <c r="S52" s="276"/>
      <c r="T52" s="276"/>
      <c r="U52" s="277"/>
      <c r="X52" s="4"/>
    </row>
    <row r="53" spans="2:49" ht="11.25" thickBot="1" x14ac:dyDescent="0.2">
      <c r="B53" s="266" t="s">
        <v>47</v>
      </c>
      <c r="C53" s="267"/>
      <c r="D53" s="267"/>
      <c r="E53" s="268"/>
      <c r="J53" s="242" t="s">
        <v>303</v>
      </c>
      <c r="K53" s="243" t="s">
        <v>205</v>
      </c>
      <c r="L53" s="243" t="s">
        <v>204</v>
      </c>
      <c r="M53" s="243" t="s">
        <v>306</v>
      </c>
      <c r="N53" s="244" t="s">
        <v>294</v>
      </c>
      <c r="O53" s="244" t="s">
        <v>293</v>
      </c>
      <c r="P53" s="244" t="s">
        <v>292</v>
      </c>
      <c r="Q53" s="244" t="s">
        <v>297</v>
      </c>
      <c r="R53" s="243" t="s">
        <v>291</v>
      </c>
      <c r="S53" s="243" t="s">
        <v>298</v>
      </c>
      <c r="T53" s="243" t="s">
        <v>309</v>
      </c>
      <c r="U53" s="243" t="s">
        <v>310</v>
      </c>
      <c r="V53" s="80"/>
      <c r="Y53" s="224" t="s">
        <v>205</v>
      </c>
      <c r="Z53" s="215" t="s">
        <v>89</v>
      </c>
      <c r="AA53" s="215" t="s">
        <v>85</v>
      </c>
      <c r="AB53" s="215" t="s">
        <v>86</v>
      </c>
      <c r="AC53" s="215" t="s">
        <v>91</v>
      </c>
      <c r="AD53" s="215" t="s">
        <v>87</v>
      </c>
      <c r="AE53" s="225" t="s">
        <v>312</v>
      </c>
      <c r="AF53" s="215" t="s">
        <v>304</v>
      </c>
      <c r="AG53" s="215" t="s">
        <v>305</v>
      </c>
      <c r="AH53" s="215" t="s">
        <v>308</v>
      </c>
      <c r="AI53" s="215" t="s">
        <v>307</v>
      </c>
      <c r="AJ53" s="225" t="s">
        <v>338</v>
      </c>
      <c r="AK53" s="80"/>
      <c r="AL53" s="253"/>
      <c r="AM53" s="80"/>
      <c r="AN53" s="80"/>
      <c r="AO53" s="80"/>
      <c r="AP53" s="80"/>
      <c r="AQ53" s="80"/>
      <c r="AR53" s="80"/>
      <c r="AS53" s="80"/>
      <c r="AT53" s="80"/>
      <c r="AU53" s="80"/>
      <c r="AV53" s="80"/>
      <c r="AW53" s="80"/>
    </row>
    <row r="54" spans="2:49" x14ac:dyDescent="0.15">
      <c r="B54" s="206" t="s">
        <v>236</v>
      </c>
      <c r="C54" s="257" t="s">
        <v>214</v>
      </c>
      <c r="D54" s="4"/>
      <c r="E54" s="40"/>
      <c r="F54" s="50"/>
      <c r="J54" s="188" t="s">
        <v>206</v>
      </c>
      <c r="K54" s="189" t="s">
        <v>39</v>
      </c>
      <c r="L54" s="207">
        <v>8</v>
      </c>
      <c r="M54" s="239">
        <f>_xlfn.LET(
  _xlpm.analyte, SensorLab[[#This Row],[Analyte]],
  _xlpm.raw, N(SensorLab[[#This Row],[Raw_Value]]),
  _xlpm.scaleF, IFERROR(
    _xlfn.XLOOKUP(_xlpm.analyte, CalibrationCoefficients[Analyte], CalibrationCoefficients[ScaleFactor]),
    1
  ),
  IF(AND(_xlpm.analyte&lt;&gt;"", ISNUMBER(_xlpm.raw)), _xlpm.raw * _xlpm.scaleF, "NA")
)</f>
        <v>8</v>
      </c>
      <c r="N54" s="227"/>
      <c r="O54" s="228"/>
      <c r="P54" s="228">
        <v>2.2659654820779007</v>
      </c>
      <c r="Q54" s="207" cm="1">
        <f t="array" ref="Q5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2.2659654820779007</v>
      </c>
      <c r="R54" s="239" cm="1">
        <f t="array" ref="R5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1.56965</v>
      </c>
      <c r="S54" s="241" cm="1">
        <f t="array" ref="S5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3.1230199999999999</v>
      </c>
      <c r="T54" s="241" cm="1">
        <f t="array" ref="T5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-2.8769800000000001</v>
      </c>
      <c r="U54" s="228" t="str" cm="1">
        <f t="array" ref="U5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1.56965 and 1.56965</v>
      </c>
      <c r="V54" s="22"/>
      <c r="Y54" s="223" t="s">
        <v>39</v>
      </c>
      <c r="Z54" s="93">
        <v>1</v>
      </c>
      <c r="AA54" s="128" cm="1">
        <f t="array" ref="AA54">_xlfn.LET(
  _xlpm.an, CalibrationCoefficients[[#This Row],[Analyte]],
  _xlpm.Acol, SensorLab[Analyte],
  _xlpm.SIDs, SensorLab[Sample_ID],
  _xlpm.Xcol, SensorLab[Raw_Factored],
  _xlpm.Ycol, SensorLab[Labs_Result],
  _xlpm.baseMask, (_xlpm.Acol=_xlpm.an) * ISNUMBER(_xlpm.Xcol) * ISNUMBER(_xlpm.Ycol) * (_xlpm.Xcol&lt;&gt;0) * (_xlpm.Ycol&lt;&gt;0),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_xlpm.xArr, IFERROR(_xlfn._xlws.FILTER(_xlpm.Xcol, _xlpm.rowsMask), _xlfn.SEQUENCE(0)),
  _xlpm.yArr, IFERROR(_xlfn._xlws.FILTER(_xlpm.Ycol, _xlpm.rowsMask), _xlfn.SEQUENCE(0)),
  _xlpm.n, MIN(COUNT(_xlpm.xArr), COUNT(_xlpm.yArr)),
  IF(_xlpm.n&lt;2, NA(),
     INDEX(LINEST(_xlpm.yArr, _xlpm.xArr, TRUE, TRUE),1,1)
  )
)</f>
        <v>0.14037755710637914</v>
      </c>
      <c r="AB54" s="128" cm="1">
        <f t="array" ref="AB54">_xlfn.LET(
  _xlpm.an, CalibrationCoefficients[[#This Row],[Analyte]],
  _xlpm.Acol, SensorLab[Analyte],
  _xlpm.SIDs, SensorLab[Sample_ID],
  _xlpm.Xcol, SensorLab[Raw_Factored],
  _xlpm.Ycol, SensorLab[Labs_Result],
  _xlpm.baseMask, (_xlpm.Acol=_xlpm.an) * ISNUMBER(_xlpm.Xcol) * ISNUMBER(_xlpm.Ycol) * (_xlpm.Xcol&lt;&gt;0) * (_xlpm.Ycol&lt;&gt;0),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_xlpm.xArr, IFERROR(_xlfn._xlws.FILTER(_xlpm.Xcol, _xlpm.rowsMask), _xlfn.SEQUENCE(0)),
  _xlpm.yArr, IFERROR(_xlfn._xlws.FILTER(_xlpm.Ycol, _xlpm.rowsMask), _xlfn.SEQUENCE(0)),
  _xlpm.n, MIN(COUNT(_xlpm.xArr), COUNT(_xlpm.yArr)),
  IF(_xlpm.n&lt;2, NA(),
     INDEX(LINEST(_xlpm.yArr, _xlpm.xArr, TRUE, TRUE),1,2)
  )
)</f>
        <v>0.44662543067247995</v>
      </c>
      <c r="AC54" s="5" cm="1">
        <f t="array" ref="AC54">_xlfn.LET(
  _xlpm.an, CalibrationCoefficients[[#This Row],[Analyte]],
  _xlpm.Acol, SensorLab[Analyte],
  _xlpm.SIDs, SensorLab[Sample_ID],
  _xlpm.Ycol, SensorLab[Labs_Result],
  _xlpm.Pcol, SensorLab[Predicted_Base],
  _xlpm.baseMask, (_xlpm.Acol=_xlpm.an) * ISNUMBER(_xlpm.Ycol) * ISNUMBER(_xlpm.Pcol) * (N(_xlpm.Ycol)&lt;&gt;0) * (N(_xlpm.Pcol)&lt;&gt;0),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_xlpm.yArr, IFERROR(N(_xlfn._xlws.FILTER(_xlpm.Ycol, _xlpm.rowsMask)), _xlfn.SEQUENCE(0)),
  _xlpm.pArr, IFERROR(N(_xlfn._xlws.FILTER(_xlpm.Pcol, _xlpm.rowsMask)), _xlfn.SEQUENCE(0)),
  _xlpm.cnt, MIN(COUNT(_xlpm.yArr), COUNT(_xlpm.pArr)),
  _xlpm.residuals, IF(_xlpm.cnt&gt;0, _xlpm.yArr - _xlpm.pArr, _xlfn.SEQUENCE(0)),
  _xlpm.offset, IF(_xlpm.cnt&gt;0, IFERROR(MEDIAN(_xlpm.residuals), NA()), NA()),
  _xlpm.offset
)</f>
        <v>0.6239899999999996</v>
      </c>
      <c r="AD54" s="128" t="s">
        <v>199</v>
      </c>
      <c r="AE54" s="128" cm="1">
        <f t="array" ref="AE54">_xlfn.LET(
  _xlpm.a, CalibrationCoefficients[[#This Row],[Analyte]],
  _xlpm.Acol, SensorLab[Analyte],
  _xlpm.labT, _xlfn._xlws.FILTER(SensorLab[Tarnab_Lab],   _xlpm.Acol=_xlpm.a),
  _xlpm.labB, _xlfn._xlws.FILTER(SensorLab[Bari_Lab],    _xlpm.Acol=_xlpm.a),
  _xlpm.labM, _xlfn._xlws.FILTER(SensorLab[ManuChar_Lab], _xlpm.Acol=_xlpm.a),
  _xlpm.predRaw, _xlfn._xlws.FILTER(SensorLab[Raw_Factored], _xlpm.Acol=_xlpm.a),
  _xlpm.predConv, _xlfn._xlws.FILTER(SensorLab[Labs_Result], _xlpm.Acol=_xlpm.a),
  _xlpm.validMask, (ISNUMBER(_xlpm.predRaw)) * (ISNUMBER(_xlpm.predConv)) * (_xlpm.predRaw&lt;&gt;0) * (_xlpm.predConv&lt;&gt;0),
  _xlpm.cntT, IFERROR(COUNTA(_xlfn._xlws.FILTER(_xlpm.labT, (_xlpm.validMask) * (_xlpm.labT&lt;&gt;""))),0),
  _xlpm.cntB, IFERROR(COUNTA(_xlfn._xlws.FILTER(_xlpm.labB, (_xlpm.validMask) * (_xlpm.labB&lt;&gt;""))),0),
  _xlpm.cntM, IFERROR(COUNTA(_xlfn._xlws.FILTER(_xlpm.labM, (_xlpm.validMask) * (_xlpm.labM&lt;&gt;""))),0),
  _xlpm.cntT + _xlpm.cntB + _xlpm.cntM
)</f>
        <v>17</v>
      </c>
      <c r="AF54" s="236" cm="1">
        <f t="array" ref="AF54">_xlfn.LET(
  _xlpm.an, CalibrationCoefficients[[#This Row],[Analyte]],
  _xlpm.Acol, SensorLab[Analyte],
  _xlpm.SIDs, SensorLab[Sample_ID],
  _xlpm.labsAll,   SensorLab[Labs_Result],
  _xlpm.finalsAll, SensorLab[Predicted_Base],
  _xlpm.baseMask, (_xlpm.Acol=_xlpm.an) * ISNUMBER(_xlpm.labsAll) * ISNUMBER(_xlpm.finalsAll) * (_xlpm.labsAll&lt;&gt;0) * (_xlpm.finalsAll&lt;&gt;0),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_xlpm.labs,   IFERROR(_xlfn._xlws.FILTER(_xlpm.labsAll,   _xlpm.rowsMask), _xlfn.SEQUENCE(0)),
  _xlpm.finals, IFERROR(_xlfn._xlws.FILTER(_xlpm.finalsAll, _xlpm.rowsMask), _xlfn.SEQUENCE(0)),
  _xlpm.residuals, _xlpm.labs - _xlpm.finals,
  IF(COUNT(_xlpm.residuals)&lt;2, NA(), _xlfn.STDEV.P(_xlpm.residuals))
)</f>
        <v>0.82597852934982385</v>
      </c>
      <c r="AG54" s="236" cm="1">
        <f t="array" ref="AG54">_xlfn.LET(
  _xlpm.an, CalibrationCoefficients[[#This Row],[Analyte]],
  _xlpm.Acol, SensorLab[Analyte],
  _xlpm.SIDs, SensorLab[Sample_ID],
  _xlpm.labsAll,   SensorLab[Labs_Result],
  _xlpm.finalsAll, SensorLab[Predicted_Base],
  _xlpm.baseMask, (_xlpm.Acol=_xlpm.an) * ISNUMBER(_xlpm.labsAll) * ISNUMBER(_xlpm.finalsAll) * (_xlpm.labsAll&lt;&gt;0) * (_xlpm.finalsAll&lt;&gt;0),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_xlpm.labs,   IFERROR(_xlfn._xlws.FILTER(_xlpm.labsAll,   _xlpm.rowsMask), _xlfn.SEQUENCE(0)),
  _xlpm.finals, IFERROR(_xlfn._xlws.FILTER(_xlpm.finalsAll, _xlpm.rowsMask), _xlfn.SEQUENCE(0)),
  _xlpm.residuals, _xlpm.labs - _xlpm.finals,
  _xlpm.relErrors, IF(_xlpm.labs&lt;&gt;0, ABS(_xlpm.residuals)/_xlpm.labs, NA()),
  IF(COUNT(_xlpm.relErrors)&lt;1, NA(), AVERAGE(IFERROR(_xlpm.relErrors, NA())))
)</f>
        <v>0.49633866149801481</v>
      </c>
      <c r="AH54" s="236" cm="1">
        <f t="array" ref="AH54">_xlfn.LET(
  _xlpm.an, CalibrationCoefficients[[#This Row],[Analyte]],
  _xlpm.Acol, SensorLab[Analyte],
  _xlpm.SIDs, SensorLab[Sample_ID],
  _xlpm.rawsAll,   SensorLab[Raw_Factored],
  _xlpm.finalsAll, SensorLab[Final_Results],
  _xlpm.baseMask, (_xlpm.Acol=_xlpm.an) * ISNUMBER(_xlpm.rawsAll) * ISNUMBER(_xlpm.finalsAll) * (_xlpm.rawsAll&lt;&gt;0) * (_xlpm.finalsAll&lt;&gt;0),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_xlpm.rawsFactored, IFERROR(_xlfn._xlws.FILTER(_xlpm.rawsAll,   _xlpm.rowsMask), _xlfn.SEQUENCE(0)),
  _xlpm.finals,       IFERROR(_xlfn._xlws.FILTER(_xlpm.finalsAll, _xlpm.rowsMask), _xlfn.SEQUENCE(0)),
  _xlpm.slope,     _xlfn.XLOOKUP(_xlpm.an, CalibrationCoefficients[Analyte], CalibrationCoefficients[Slope]),
  _xlpm.intercept, _xlfn.XLOOKUP(_xlpm.an, CalibrationCoefficients[Analyte], CalibrationCoefficients[Intercept]),
  _xlpm.fitResiduals, _xlpm.finals - (_xlpm.rawsFactored*_xlpm.slope + _xlpm.intercept),
  IF(COUNT(_xlpm.fitResiduals)&lt;2, NA(), ROUND(_xlfn.STDEV.P(_xlpm.fitResiduals),2))
)</f>
        <v>0</v>
      </c>
      <c r="AI54" s="236" cm="1">
        <f t="array" ref="AI54">_xlfn.LET(
  _xlpm.an, CalibrationCoefficients[[#This Row],[Analyte]],
  _xlpm.Acol, SensorLab[Analyte],
  _xlpm.SIDs, SensorLab[Sample_ID],
  _xlpm.rawsAll,   SensorLab[Raw_Factored],
  _xlpm.finalsAll, SensorLab[Final_Results],
  _xlpm.baseMask, (_xlpm.Acol=_xlpm.an) * ISNUMBER(_xlpm.rawsAll) * ISNUMBER(_xlpm.finalsAll) * (_xlpm.rawsAll&lt;&gt;0) * (_xlpm.finalsAll&lt;&gt;0),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_xlpm.rawsFactored, IFERROR(_xlfn._xlws.FILTER(_xlpm.rawsAll,   _xlpm.rowsMask), _xlfn.SEQUENCE(0)),
  _xlpm.finals,       IFERROR(_xlfn._xlws.FILTER(_xlpm.finalsAll, _xlpm.rowsMask), _xlfn.SEQUENCE(0)),
  _xlpm.slope,     _xlfn.XLOOKUP(_xlpm.an, CalibrationCoefficients[Analyte], CalibrationCoefficients[Slope]),
  _xlpm.intercept, _xlfn.XLOOKUP(_xlpm.an, CalibrationCoefficients[Analyte], CalibrationCoefficients[Intercept]),
  _xlpm.residAbs, ABS(_xlpm.finals - (_xlpm.rawsFactored*_xlpm.slope + _xlpm.intercept)),
  IF(COUNT(_xlpm.residAbs)&lt;2, NA(), ROUND(_xlfn.PERCENTILE.INC(_xlpm.residAbs,0.95),2))
)</f>
        <v>1.55</v>
      </c>
      <c r="AJ54" s="5" cm="1">
        <f t="array" ref="AJ54">MEDIAN(IF(SensorLab[Analyte]=CalibrationCoefficients[[#This Row],[Analyte]], SensorLab[Residual_Value]))</f>
        <v>-6</v>
      </c>
      <c r="AK54" s="5"/>
      <c r="AL54" s="5"/>
      <c r="AM54" s="5"/>
      <c r="AN54" s="5"/>
      <c r="AO54" s="5"/>
      <c r="AP54" s="5"/>
      <c r="AQ54" s="5"/>
      <c r="AR54" s="5"/>
      <c r="AS54" s="5"/>
      <c r="AT54" s="5"/>
      <c r="AU54" s="5"/>
      <c r="AV54" s="5"/>
      <c r="AW54" s="5"/>
    </row>
    <row r="55" spans="2:49" x14ac:dyDescent="0.15">
      <c r="B55" s="20" t="s">
        <v>48</v>
      </c>
      <c r="C55" s="258" t="s">
        <v>49</v>
      </c>
      <c r="D55" s="258" t="s">
        <v>313</v>
      </c>
      <c r="E55" s="26" t="s">
        <v>50</v>
      </c>
      <c r="F55" s="50"/>
      <c r="J55" s="190" t="s">
        <v>206</v>
      </c>
      <c r="K55" s="191" t="s">
        <v>40</v>
      </c>
      <c r="L55" s="208">
        <v>66</v>
      </c>
      <c r="M55" s="237">
        <f>_xlfn.LET(
  _xlpm.analyte, SensorLab[[#This Row],[Analyte]],
  _xlpm.raw, N(SensorLab[[#This Row],[Raw_Value]]),
  _xlpm.scaleF, IFERROR(
    _xlfn.XLOOKUP(_xlpm.analyte, CalibrationCoefficients[Analyte], CalibrationCoefficients[ScaleFactor]),
    1
  ),
  IF(AND(_xlpm.analyte&lt;&gt;"", ISNUMBER(_xlpm.raw)), _xlpm.raw * _xlpm.scaleF, "NA")
)</f>
        <v>66</v>
      </c>
      <c r="N55" s="194"/>
      <c r="O55" s="41"/>
      <c r="P55" s="41">
        <v>3</v>
      </c>
      <c r="Q55" s="208" cm="1">
        <f t="array" ref="Q55">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3</v>
      </c>
      <c r="R55" s="237" cm="1">
        <f t="array" ref="R5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6.9653799999999997</v>
      </c>
      <c r="S55" s="238" cm="1">
        <f t="array" ref="S5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5.7753500000000004</v>
      </c>
      <c r="T55" s="238" cm="1">
        <f t="array" ref="T5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-2.77535</v>
      </c>
      <c r="U55" s="41" t="str" cm="1">
        <f t="array" ref="U5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6.60956 and 4.83034</v>
      </c>
      <c r="V55" s="22"/>
      <c r="Y55" s="4" t="s">
        <v>40</v>
      </c>
      <c r="Z55" s="93">
        <v>1</v>
      </c>
      <c r="AA55" s="5" cm="1">
        <f t="array" ref="AA55">_xlfn.LET(
  _xlpm.an, CalibrationCoefficients[[#This Row],[Analyte]],
  _xlpm.Acol, SensorLab[Analyte],
  _xlpm.SIDs, SensorLab[Sample_ID],
  _xlpm.Xcol, SensorLab[Raw_Factored],
  _xlpm.Ycol, SensorLab[Labs_Result],
  _xlpm.baseMask, (_xlpm.Acol=_xlpm.an) * ISNUMBER(_xlpm.Xcol) * ISNUMBER(_xlpm.Ycol) * (_xlpm.Xcol&lt;&gt;0) * (_xlpm.Ycol&lt;&gt;0),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_xlpm.xArr, IFERROR(_xlfn._xlws.FILTER(_xlpm.Xcol, _xlpm.rowsMask), _xlfn.SEQUENCE(0)),
  _xlpm.yArr, IFERROR(_xlfn._xlws.FILTER(_xlpm.Ycol, _xlpm.rowsMask), _xlfn.SEQUENCE(0)),
  _xlpm.n, MIN(COUNT(_xlpm.xArr), COUNT(_xlpm.yArr)),
  IF(_xlpm.n&lt;2, NA(),
     INDEX(LINEST(_xlpm.yArr, _xlpm.xArr, TRUE, TRUE),1,1)
  )
)</f>
        <v>1.3639660115432491E-2</v>
      </c>
      <c r="AB55" s="5" cm="1">
        <f t="array" ref="AB55">_xlfn.LET(
  _xlpm.an, CalibrationCoefficients[[#This Row],[Analyte]],
  _xlpm.Acol, SensorLab[Analyte],
  _xlpm.SIDs, SensorLab[Sample_ID],
  _xlpm.Xcol, SensorLab[Raw_Factored],
  _xlpm.Ycol, SensorLab[Labs_Result],
  _xlpm.baseMask, (_xlpm.Acol=_xlpm.an) * ISNUMBER(_xlpm.Xcol) * ISNUMBER(_xlpm.Ycol) * (_xlpm.Xcol&lt;&gt;0) * (_xlpm.Ycol&lt;&gt;0),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_xlpm.xArr, IFERROR(_xlfn._xlws.FILTER(_xlpm.Xcol, _xlpm.rowsMask), _xlfn.SEQUENCE(0)),
  _xlpm.yArr, IFERROR(_xlfn._xlws.FILTER(_xlpm.Ycol, _xlpm.rowsMask), _xlfn.SEQUENCE(0)),
  _xlpm.n, MIN(COUNT(_xlpm.xArr), COUNT(_xlpm.yArr)),
  IF(_xlpm.n&lt;2, NA(),
     INDEX(LINEST(_xlpm.yArr, _xlpm.xArr, TRUE, TRUE),1,2)
  )
)</f>
        <v>6.2693446093779484</v>
      </c>
      <c r="AC55" s="5" cm="1">
        <f t="array" ref="AC55">_xlfn.LET(
  _xlpm.an, CalibrationCoefficients[[#This Row],[Analyte]],
  _xlpm.Acol, SensorLab[Analyte],
  _xlpm.SIDs, SensorLab[Sample_ID],
  _xlpm.Ycol, SensorLab[Labs_Result],
  _xlpm.Pcol, SensorLab[Predicted_Base],
  _xlpm.baseMask, (_xlpm.Acol=_xlpm.an) * ISNUMBER(_xlpm.Ycol) * ISNUMBER(_xlpm.Pcol) * (N(_xlpm.Ycol)&lt;&gt;0) * (N(_xlpm.Pcol)&lt;&gt;0),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_xlpm.yArr, IFERROR(N(_xlfn._xlws.FILTER(_xlpm.Ycol, _xlpm.rowsMask)), _xlfn.SEQUENCE(0)),
  _xlpm.pArr, IFERROR(N(_xlfn._xlws.FILTER(_xlpm.Pcol, _xlpm.rowsMask)), _xlfn.SEQUENCE(0)),
  _xlpm.cnt, MIN(COUNT(_xlpm.yArr), COUNT(_xlpm.pArr)),
  _xlpm.residuals, IF(_xlpm.cnt&gt;0, _xlpm.yArr - _xlpm.pArr, _xlfn.SEQUENCE(0)),
  _xlpm.offset, IF(_xlpm.cnt&gt;0, IFERROR(MEDIAN(_xlpm.residuals), NA()), NA()),
  _xlpm.offset
)</f>
        <v>-1.1946500000000002</v>
      </c>
      <c r="AD55" s="5" t="s">
        <v>199</v>
      </c>
      <c r="AE55" s="5" cm="1">
        <f t="array" ref="AE55">_xlfn.LET(
  _xlpm.a, CalibrationCoefficients[[#This Row],[Analyte]],
  _xlpm.Acol, SensorLab[Analyte],
  _xlpm.labT, _xlfn._xlws.FILTER(SensorLab[Tarnab_Lab],   _xlpm.Acol=_xlpm.a),
  _xlpm.labB, _xlfn._xlws.FILTER(SensorLab[Bari_Lab],    _xlpm.Acol=_xlpm.a),
  _xlpm.labM, _xlfn._xlws.FILTER(SensorLab[ManuChar_Lab], _xlpm.Acol=_xlpm.a),
  _xlpm.predRaw, _xlfn._xlws.FILTER(SensorLab[Raw_Factored], _xlpm.Acol=_xlpm.a),
  _xlpm.predConv, _xlfn._xlws.FILTER(SensorLab[Labs_Result], _xlpm.Acol=_xlpm.a),
  _xlpm.validMask, (ISNUMBER(_xlpm.predRaw)) * (ISNUMBER(_xlpm.predConv)) * (_xlpm.predRaw&lt;&gt;0) * (_xlpm.predConv&lt;&gt;0),
  _xlpm.cntT, IFERROR(COUNTA(_xlfn._xlws.FILTER(_xlpm.labT, (_xlpm.validMask) * (_xlpm.labT&lt;&gt;""))),0),
  _xlpm.cntB, IFERROR(COUNTA(_xlfn._xlws.FILTER(_xlpm.labB, (_xlpm.validMask) * (_xlpm.labB&lt;&gt;""))),0),
  _xlpm.cntM, IFERROR(COUNTA(_xlfn._xlws.FILTER(_xlpm.labM, (_xlpm.validMask) * (_xlpm.labM&lt;&gt;""))),0),
  _xlpm.cntT + _xlpm.cntB + _xlpm.cntM
)</f>
        <v>37</v>
      </c>
      <c r="AF55" s="236" cm="1">
        <f t="array" ref="AF55">_xlfn.LET(
  _xlpm.an, CalibrationCoefficients[[#This Row],[Analyte]],
  _xlpm.Acol, SensorLab[Analyte],
  _xlpm.SIDs, SensorLab[Sample_ID],
  _xlpm.labsAll,   SensorLab[Labs_Result],
  _xlpm.finalsAll, SensorLab[Predicted_Base],
  _xlpm.baseMask, (_xlpm.Acol=_xlpm.an) * ISNUMBER(_xlpm.labsAll) * ISNUMBER(_xlpm.finalsAll) * (_xlpm.labsAll&lt;&gt;0) * (_xlpm.finalsAll&lt;&gt;0),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_xlpm.labs,   IFERROR(_xlfn._xlws.FILTER(_xlpm.labsAll,   _xlpm.rowsMask), _xlfn.SEQUENCE(0)),
  _xlpm.finals, IFERROR(_xlfn._xlws.FILTER(_xlpm.finalsAll, _xlpm.rowsMask), _xlfn.SEQUENCE(0)),
  _xlpm.residuals, _xlpm.labs - _xlpm.finals,
  IF(COUNT(_xlpm.residuals)&lt;2, NA(), _xlfn.STDEV.P(_xlpm.residuals))
)</f>
        <v>5.3510104591665559</v>
      </c>
      <c r="AG55" s="236" cm="1">
        <f t="array" ref="AG55">_xlfn.LET(
  _xlpm.an, CalibrationCoefficients[[#This Row],[Analyte]],
  _xlpm.Acol, SensorLab[Analyte],
  _xlpm.SIDs, SensorLab[Sample_ID],
  _xlpm.labsAll,   SensorLab[Labs_Result],
  _xlpm.finalsAll, SensorLab[Predicted_Base],
  _xlpm.baseMask, (_xlpm.Acol=_xlpm.an) * ISNUMBER(_xlpm.labsAll) * ISNUMBER(_xlpm.finalsAll) * (_xlpm.labsAll&lt;&gt;0) * (_xlpm.finalsAll&lt;&gt;0),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_xlpm.labs,   IFERROR(_xlfn._xlws.FILTER(_xlpm.labsAll,   _xlpm.rowsMask), _xlfn.SEQUENCE(0)),
  _xlpm.finals, IFERROR(_xlfn._xlws.FILTER(_xlpm.finalsAll, _xlpm.rowsMask), _xlfn.SEQUENCE(0)),
  _xlpm.residuals, _xlpm.labs - _xlpm.finals,
  _xlpm.relErrors, IF(_xlpm.labs&lt;&gt;0, ABS(_xlpm.residuals)/_xlpm.labs, NA()),
  IF(COUNT(_xlpm.relErrors)&lt;1, NA(), AVERAGE(IFERROR(_xlpm.relErrors, NA())))
)</f>
        <v>0.61011428881175533</v>
      </c>
      <c r="AH55" s="236" cm="1">
        <f t="array" ref="AH55">_xlfn.LET(
  _xlpm.an, CalibrationCoefficients[[#This Row],[Analyte]],
  _xlpm.Acol, SensorLab[Analyte],
  _xlpm.SIDs, SensorLab[Sample_ID],
  _xlpm.rawsAll,   SensorLab[Raw_Factored],
  _xlpm.finalsAll, SensorLab[Final_Results],
  _xlpm.baseMask, (_xlpm.Acol=_xlpm.an) * ISNUMBER(_xlpm.rawsAll) * ISNUMBER(_xlpm.finalsAll) * (_xlpm.rawsAll&lt;&gt;0) * (_xlpm.finalsAll&lt;&gt;0),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_xlpm.rawsFactored, IFERROR(_xlfn._xlws.FILTER(_xlpm.rawsAll,   _xlpm.rowsMask), _xlfn.SEQUENCE(0)),
  _xlpm.finals,       IFERROR(_xlfn._xlws.FILTER(_xlpm.finalsAll, _xlpm.rowsMask), _xlfn.SEQUENCE(0)),
  _xlpm.slope,     _xlfn.XLOOKUP(_xlpm.an, CalibrationCoefficients[Analyte], CalibrationCoefficients[Slope]),
  _xlpm.intercept, _xlfn.XLOOKUP(_xlpm.an, CalibrationCoefficients[Analyte], CalibrationCoefficients[Intercept]),
  _xlpm.fitResiduals, _xlpm.finals - (_xlpm.rawsFactored*_xlpm.slope + _xlpm.intercept),
  IF(COUNT(_xlpm.fitResiduals)&lt;2, NA(), ROUND(_xlfn.STDEV.P(_xlpm.fitResiduals),2))
)</f>
        <v>0.56000000000000005</v>
      </c>
      <c r="AI55" s="236" cm="1">
        <f t="array" ref="AI55">_xlfn.LET(
  _xlpm.an, CalibrationCoefficients[[#This Row],[Analyte]],
  _xlpm.Acol, SensorLab[Analyte],
  _xlpm.SIDs, SensorLab[Sample_ID],
  _xlpm.rawsAll,   SensorLab[Raw_Factored],
  _xlpm.finalsAll, SensorLab[Final_Results],
  _xlpm.baseMask, (_xlpm.Acol=_xlpm.an) * ISNUMBER(_xlpm.rawsAll) * ISNUMBER(_xlpm.finalsAll) * (_xlpm.rawsAll&lt;&gt;0) * (_xlpm.finalsAll&lt;&gt;0),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_xlpm.rawsFactored, IFERROR(_xlfn._xlws.FILTER(_xlpm.rawsAll,   _xlpm.rowsMask), _xlfn.SEQUENCE(0)),
  _xlpm.finals,       IFERROR(_xlfn._xlws.FILTER(_xlpm.finalsAll, _xlpm.rowsMask), _xlfn.SEQUENCE(0)),
  _xlpm.slope,     _xlfn.XLOOKUP(_xlpm.an, CalibrationCoefficients[Analyte], CalibrationCoefficients[Slope]),
  _xlpm.intercept, _xlfn.XLOOKUP(_xlpm.an, CalibrationCoefficients[Analyte], CalibrationCoefficients[Intercept]),
  _xlpm.residAbs, ABS(_xlpm.finals - (_xlpm.rawsFactored*_xlpm.slope + _xlpm.intercept)),
  IF(COUNT(_xlpm.residAbs)&lt;2, NA(), ROUND(_xlfn.PERCENTILE.INC(_xlpm.residAbs,0.95),2))
)</f>
        <v>2.0099999999999998</v>
      </c>
      <c r="AJ55" s="5" cm="1">
        <f t="array" ref="AJ55">MEDIAN(IF(SensorLab[Analyte]=CalibrationCoefficients[[#This Row],[Analyte]], SensorLab[Residual_Value]))</f>
        <v>-0.87598999999999982</v>
      </c>
      <c r="AK55" s="5"/>
      <c r="AL55" s="5"/>
      <c r="AM55" s="5"/>
      <c r="AN55" s="5"/>
      <c r="AO55" s="5"/>
      <c r="AP55" s="5"/>
      <c r="AQ55" s="5"/>
      <c r="AR55" s="5"/>
      <c r="AS55" s="5"/>
      <c r="AT55" s="5"/>
      <c r="AU55" s="5"/>
      <c r="AV55" s="5"/>
      <c r="AW55" s="5"/>
    </row>
    <row r="56" spans="2:49" x14ac:dyDescent="0.15">
      <c r="B56" s="21" t="s">
        <v>90</v>
      </c>
      <c r="C56" s="22" cm="1">
        <f t="array" ref="C56" xml:space="preserve"> _xlfn.XLOOKUP(
    1,
    (SensorLab[Sample_ID]=$C$54) * (SensorLab[Analyte]=B56),
    SensorLab[Raw_Value]
)</f>
        <v>139</v>
      </c>
      <c r="D56" s="208">
        <f>_xlfn.LET(
  _xlpm.analyte, B56,
  _xlpm.raw, C56,
  _xlpm.scaleF, IFERROR(
    _xlfn.XLOOKUP(_xlpm.analyte, ScaleFactors[Analyte], ScaleFactors[ScaleFactor]),
    1
  ),
  IF(AND(_xlpm.analyte&lt;&gt;"", ISNUMBER(_xlpm.raw)), _xlpm.raw * _xlpm.scaleF, "NA")
)</f>
        <v>13.9</v>
      </c>
      <c r="E56" s="27" t="s">
        <v>51</v>
      </c>
      <c r="F56" s="50"/>
      <c r="J56" s="190" t="s">
        <v>206</v>
      </c>
      <c r="K56" s="191" t="s">
        <v>41</v>
      </c>
      <c r="L56" s="208">
        <v>59</v>
      </c>
      <c r="M56" s="237">
        <f>_xlfn.LET(
  _xlpm.analyte, SensorLab[[#This Row],[Analyte]],
  _xlpm.raw, N(SensorLab[[#This Row],[Raw_Value]]),
  _xlpm.scaleF, IFERROR(
    _xlfn.XLOOKUP(_xlpm.analyte, CalibrationCoefficients[Analyte], CalibrationCoefficients[ScaleFactor]),
    1
  ),
  IF(AND(_xlpm.analyte&lt;&gt;"", ISNUMBER(_xlpm.raw)), _xlpm.raw * _xlpm.scaleF, "NA")
)</f>
        <v>59</v>
      </c>
      <c r="N56" s="194"/>
      <c r="O56" s="41"/>
      <c r="P56" s="41">
        <v>125</v>
      </c>
      <c r="Q56" s="208" cm="1">
        <f t="array" ref="Q5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125</v>
      </c>
      <c r="R56" s="237" cm="1">
        <f t="array" ref="R5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130.04122000000001</v>
      </c>
      <c r="S56" s="238" cm="1">
        <f t="array" ref="S5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116.34125</v>
      </c>
      <c r="T56" s="238" cm="1">
        <f t="array" ref="T5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8.6587499999999995</v>
      </c>
      <c r="U56" s="41" t="str" cm="1">
        <f t="array" ref="U5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128.02798 and 131.00798</v>
      </c>
      <c r="V56" s="22"/>
      <c r="Y56" s="4" t="s">
        <v>41</v>
      </c>
      <c r="Z56" s="93">
        <v>1</v>
      </c>
      <c r="AA56" s="5" cm="1">
        <f t="array" ref="AA56">_xlfn.LET(
  _xlpm.an, CalibrationCoefficients[[#This Row],[Analyte]],
  _xlpm.Acol, SensorLab[Analyte],
  _xlpm.SIDs, SensorLab[Sample_ID],
  _xlpm.Xcol, SensorLab[Raw_Factored],
  _xlpm.Ycol, SensorLab[Labs_Result],
  _xlpm.baseMask, (_xlpm.Acol=_xlpm.an) * ISNUMBER(_xlpm.Xcol) * ISNUMBER(_xlpm.Ycol) * (_xlpm.Xcol&lt;&gt;0) * (_xlpm.Ycol&lt;&gt;0),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_xlpm.xArr, IFERROR(_xlfn._xlws.FILTER(_xlpm.Xcol, _xlpm.rowsMask), _xlfn.SEQUENCE(0)),
  _xlpm.yArr, IFERROR(_xlfn._xlws.FILTER(_xlpm.Ycol, _xlpm.rowsMask), _xlfn.SEQUENCE(0)),
  _xlpm.n, MIN(COUNT(_xlpm.xArr), COUNT(_xlpm.yArr)),
  IF(_xlpm.n&lt;2, NA(),
     INDEX(LINEST(_xlpm.yArr, _xlpm.xArr, TRUE, TRUE),1,1)
  )
)</f>
        <v>0.34436328993331211</v>
      </c>
      <c r="AB56" s="5" cm="1">
        <f t="array" ref="AB56">_xlfn.LET(
  _xlpm.an, CalibrationCoefficients[[#This Row],[Analyte]],
  _xlpm.Acol, SensorLab[Analyte],
  _xlpm.SIDs, SensorLab[Sample_ID],
  _xlpm.Xcol, SensorLab[Raw_Factored],
  _xlpm.Ycol, SensorLab[Labs_Result],
  _xlpm.baseMask, (_xlpm.Acol=_xlpm.an) * ISNUMBER(_xlpm.Xcol) * ISNUMBER(_xlpm.Ycol) * (_xlpm.Xcol&lt;&gt;0) * (_xlpm.Ycol&lt;&gt;0),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_xlpm.xArr, IFERROR(_xlfn._xlws.FILTER(_xlpm.Xcol, _xlpm.rowsMask), _xlfn.SEQUENCE(0)),
  _xlpm.yArr, IFERROR(_xlfn._xlws.FILTER(_xlpm.Ycol, _xlpm.rowsMask), _xlfn.SEQUENCE(0)),
  _xlpm.n, MIN(COUNT(_xlpm.xArr), COUNT(_xlpm.yArr)),
  IF(_xlpm.n&lt;2, NA(),
     INDEX(LINEST(_xlpm.yArr, _xlpm.xArr, TRUE, TRUE),1,2)
  )
)</f>
        <v>109.2005433823789</v>
      </c>
      <c r="AC56" s="5" cm="1">
        <f t="array" ref="AC56">_xlfn.LET(
  _xlpm.an, CalibrationCoefficients[[#This Row],[Analyte]],
  _xlpm.Acol, SensorLab[Analyte],
  _xlpm.SIDs, SensorLab[Sample_ID],
  _xlpm.Ycol, SensorLab[Labs_Result],
  _xlpm.Pcol, SensorLab[Predicted_Base],
  _xlpm.baseMask, (_xlpm.Acol=_xlpm.an) * ISNUMBER(_xlpm.Ycol) * ISNUMBER(_xlpm.Pcol) * (N(_xlpm.Ycol)&lt;&gt;0) * (N(_xlpm.Pcol)&lt;&gt;0),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_xlpm.yArr, IFERROR(N(_xlfn._xlws.FILTER(_xlpm.Ycol, _xlpm.rowsMask)), _xlfn.SEQUENCE(0)),
  _xlpm.pArr, IFERROR(N(_xlfn._xlws.FILTER(_xlpm.Pcol, _xlpm.rowsMask)), _xlfn.SEQUENCE(0)),
  _xlpm.cnt, MIN(COUNT(_xlpm.yArr), COUNT(_xlpm.pArr)),
  _xlpm.residuals, IF(_xlpm.cnt&gt;0, _xlpm.yArr - _xlpm.pArr, _xlfn.SEQUENCE(0)),
  _xlpm.offset, IF(_xlpm.cnt&gt;0, IFERROR(MEDIAN(_xlpm.residuals), NA()), NA()),
  _xlpm.offset
)</f>
        <v>-14.443200000000004</v>
      </c>
      <c r="AD56" s="5" t="s">
        <v>199</v>
      </c>
      <c r="AE56" s="5" cm="1">
        <f t="array" ref="AE56">_xlfn.LET(
  _xlpm.a, CalibrationCoefficients[[#This Row],[Analyte]],
  _xlpm.Acol, SensorLab[Analyte],
  _xlpm.labT, _xlfn._xlws.FILTER(SensorLab[Tarnab_Lab],   _xlpm.Acol=_xlpm.a),
  _xlpm.labB, _xlfn._xlws.FILTER(SensorLab[Bari_Lab],    _xlpm.Acol=_xlpm.a),
  _xlpm.labM, _xlfn._xlws.FILTER(SensorLab[ManuChar_Lab], _xlpm.Acol=_xlpm.a),
  _xlpm.predRaw, _xlfn._xlws.FILTER(SensorLab[Raw_Factored], _xlpm.Acol=_xlpm.a),
  _xlpm.predConv, _xlfn._xlws.FILTER(SensorLab[Labs_Result], _xlpm.Acol=_xlpm.a),
  _xlpm.validMask, (ISNUMBER(_xlpm.predRaw)) * (ISNUMBER(_xlpm.predConv)) * (_xlpm.predRaw&lt;&gt;0) * (_xlpm.predConv&lt;&gt;0),
  _xlpm.cntT, IFERROR(COUNTA(_xlfn._xlws.FILTER(_xlpm.labT, (_xlpm.validMask) * (_xlpm.labT&lt;&gt;""))),0),
  _xlpm.cntB, IFERROR(COUNTA(_xlfn._xlws.FILTER(_xlpm.labB, (_xlpm.validMask) * (_xlpm.labB&lt;&gt;""))),0),
  _xlpm.cntM, IFERROR(COUNTA(_xlfn._xlws.FILTER(_xlpm.labM, (_xlpm.validMask) * (_xlpm.labM&lt;&gt;""))),0),
  _xlpm.cntT + _xlpm.cntB + _xlpm.cntM
)</f>
        <v>32</v>
      </c>
      <c r="AF56" s="236" cm="1">
        <f t="array" ref="AF56">_xlfn.LET(
  _xlpm.an, CalibrationCoefficients[[#This Row],[Analyte]],
  _xlpm.Acol, SensorLab[Analyte],
  _xlpm.SIDs, SensorLab[Sample_ID],
  _xlpm.labsAll,   SensorLab[Labs_Result],
  _xlpm.finalsAll, SensorLab[Predicted_Base],
  _xlpm.baseMask, (_xlpm.Acol=_xlpm.an) * ISNUMBER(_xlpm.labsAll) * ISNUMBER(_xlpm.finalsAll) * (_xlpm.labsAll&lt;&gt;0) * (_xlpm.finalsAll&lt;&gt;0),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_xlpm.labs,   IFERROR(_xlfn._xlws.FILTER(_xlpm.labsAll,   _xlpm.rowsMask), _xlfn.SEQUENCE(0)),
  _xlpm.finals, IFERROR(_xlfn._xlws.FILTER(_xlpm.finalsAll, _xlpm.rowsMask), _xlfn.SEQUENCE(0)),
  _xlpm.residuals, _xlpm.labs - _xlpm.finals,
  IF(COUNT(_xlpm.residuals)&lt;2, NA(), _xlfn.STDEV.P(_xlpm.residuals))
)</f>
        <v>60.080412304816953</v>
      </c>
      <c r="AG56" s="236" cm="1">
        <f t="array" ref="AG56">_xlfn.LET(
  _xlpm.an, CalibrationCoefficients[[#This Row],[Analyte]],
  _xlpm.Acol, SensorLab[Analyte],
  _xlpm.SIDs, SensorLab[Sample_ID],
  _xlpm.labsAll,   SensorLab[Labs_Result],
  _xlpm.finalsAll, SensorLab[Predicted_Base],
  _xlpm.baseMask, (_xlpm.Acol=_xlpm.an) * ISNUMBER(_xlpm.labsAll) * ISNUMBER(_xlpm.finalsAll) * (_xlpm.labsAll&lt;&gt;0) * (_xlpm.finalsAll&lt;&gt;0),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_xlpm.labs,   IFERROR(_xlfn._xlws.FILTER(_xlpm.labsAll,   _xlpm.rowsMask), _xlfn.SEQUENCE(0)),
  _xlpm.finals, IFERROR(_xlfn._xlws.FILTER(_xlpm.finalsAll, _xlpm.rowsMask), _xlfn.SEQUENCE(0)),
  _xlpm.residuals, _xlpm.labs - _xlpm.finals,
  _xlpm.relErrors, IF(_xlpm.labs&lt;&gt;0, ABS(_xlpm.residuals)/_xlpm.labs, NA()),
  IF(COUNT(_xlpm.relErrors)&lt;1, NA(), AVERAGE(IFERROR(_xlpm.relErrors, NA())))
)</f>
        <v>0.33395180790494944</v>
      </c>
      <c r="AH56" s="236" cm="1">
        <f t="array" ref="AH56">_xlfn.LET(
  _xlpm.an, CalibrationCoefficients[[#This Row],[Analyte]],
  _xlpm.Acol, SensorLab[Analyte],
  _xlpm.SIDs, SensorLab[Sample_ID],
  _xlpm.rawsAll,   SensorLab[Raw_Factored],
  _xlpm.finalsAll, SensorLab[Final_Results],
  _xlpm.baseMask, (_xlpm.Acol=_xlpm.an) * ISNUMBER(_xlpm.rawsAll) * ISNUMBER(_xlpm.finalsAll) * (_xlpm.rawsAll&lt;&gt;0) * (_xlpm.finalsAll&lt;&gt;0),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_xlpm.rawsFactored, IFERROR(_xlfn._xlws.FILTER(_xlpm.rawsAll,   _xlpm.rowsMask), _xlfn.SEQUENCE(0)),
  _xlpm.finals,       IFERROR(_xlfn._xlws.FILTER(_xlpm.finalsAll, _xlpm.rowsMask), _xlfn.SEQUENCE(0)),
  _xlpm.slope,     _xlfn.XLOOKUP(_xlpm.an, CalibrationCoefficients[Analyte], CalibrationCoefficients[Slope]),
  _xlpm.intercept, _xlfn.XLOOKUP(_xlpm.an, CalibrationCoefficients[Analyte], CalibrationCoefficients[Intercept]),
  _xlpm.fitResiduals, _xlpm.finals - (_xlpm.rawsFactored*_xlpm.slope + _xlpm.intercept),
  IF(COUNT(_xlpm.fitResiduals)&lt;2, NA(), ROUND(_xlfn.STDEV.P(_xlpm.fitResiduals),2))
)</f>
        <v>1.49</v>
      </c>
      <c r="AI56" s="236" cm="1">
        <f t="array" ref="AI56">_xlfn.LET(
  _xlpm.an, CalibrationCoefficients[[#This Row],[Analyte]],
  _xlpm.Acol, SensorLab[Analyte],
  _xlpm.SIDs, SensorLab[Sample_ID],
  _xlpm.rawsAll,   SensorLab[Raw_Factored],
  _xlpm.finalsAll, SensorLab[Final_Results],
  _xlpm.baseMask, (_xlpm.Acol=_xlpm.an) * ISNUMBER(_xlpm.rawsAll) * ISNUMBER(_xlpm.finalsAll) * (_xlpm.rawsAll&lt;&gt;0) * (_xlpm.finalsAll&lt;&gt;0),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_xlpm.rawsFactored, IFERROR(_xlfn._xlws.FILTER(_xlpm.rawsAll,   _xlpm.rowsMask), _xlfn.SEQUENCE(0)),
  _xlpm.finals,       IFERROR(_xlfn._xlws.FILTER(_xlpm.finalsAll, _xlpm.rowsMask), _xlfn.SEQUENCE(0)),
  _xlpm.slope,     _xlfn.XLOOKUP(_xlpm.an, CalibrationCoefficients[Analyte], CalibrationCoefficients[Slope]),
  _xlpm.intercept, _xlfn.XLOOKUP(_xlpm.an, CalibrationCoefficients[Analyte], CalibrationCoefficients[Intercept]),
  _xlpm.residAbs, ABS(_xlpm.finals - (_xlpm.rawsFactored*_xlpm.slope + _xlpm.intercept)),
  IF(COUNT(_xlpm.residAbs)&lt;2, NA(), ROUND(_xlfn.PERCENTILE.INC(_xlpm.residAbs,0.95),2))
)</f>
        <v>15.21</v>
      </c>
      <c r="AJ56" s="5" cm="1">
        <f t="array" ref="AJ56">MEDIAN(IF(SensorLab[Analyte]=CalibrationCoefficients[[#This Row],[Analyte]], SensorLab[Residual_Value]))</f>
        <v>-13.93928</v>
      </c>
      <c r="AK56" s="5"/>
      <c r="AL56" s="5"/>
      <c r="AM56" s="5"/>
      <c r="AN56" s="5"/>
      <c r="AO56" s="5"/>
      <c r="AP56" s="5"/>
      <c r="AQ56" s="5"/>
      <c r="AR56" s="5"/>
      <c r="AS56" s="5"/>
      <c r="AT56" s="5"/>
      <c r="AU56" s="5"/>
      <c r="AV56" s="5"/>
      <c r="AW56" s="5"/>
    </row>
    <row r="57" spans="2:49" x14ac:dyDescent="0.15">
      <c r="B57" s="21" t="s">
        <v>43</v>
      </c>
      <c r="C57" s="22" cm="1">
        <f t="array" ref="C57" xml:space="preserve"> _xlfn.XLOOKUP(
    1,
    (SensorLab[Sample_ID]=$C$54) * (SensorLab[Analyte]=B57),
    SensorLab[Raw_Value]
)</f>
        <v>170</v>
      </c>
      <c r="D57" s="208">
        <f>_xlfn.LET(
  _xlpm.analyte, B57,
  _xlpm.raw, C57,
  _xlpm.scaleF, IFERROR(
    _xlfn.XLOOKUP(_xlpm.analyte, ScaleFactors[Analyte], ScaleFactors[ScaleFactor]),
    1
  ),
  IF(AND(_xlpm.analyte&lt;&gt;"", ISNUMBER(_xlpm.raw)), _xlpm.raw * _xlpm.scaleF, "NA")
)</f>
        <v>17</v>
      </c>
      <c r="E57" s="27" t="s">
        <v>66</v>
      </c>
      <c r="F57" s="250"/>
      <c r="J57" s="190" t="s">
        <v>206</v>
      </c>
      <c r="K57" s="127" t="s">
        <v>52</v>
      </c>
      <c r="L57" s="208">
        <v>226</v>
      </c>
      <c r="M57" s="237">
        <f>_xlfn.LET(
  _xlpm.analyte, SensorLab[[#This Row],[Analyte]],
  _xlpm.raw, N(SensorLab[[#This Row],[Raw_Value]]),
  _xlpm.scaleF, IFERROR(
    _xlfn.XLOOKUP(_xlpm.analyte, CalibrationCoefficients[Analyte], CalibrationCoefficients[ScaleFactor]),
    1
  ),
  IF(AND(_xlpm.analyte&lt;&gt;"", ISNUMBER(_xlpm.raw)), _xlpm.raw * _xlpm.scaleF, "NA")
)</f>
        <v>0.22600000000000001</v>
      </c>
      <c r="N57" s="194"/>
      <c r="O57" s="41"/>
      <c r="P57" s="41">
        <v>0.85</v>
      </c>
      <c r="Q57" s="208" cm="1">
        <f t="array" ref="Q57">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0.85</v>
      </c>
      <c r="R57" s="237" cm="1">
        <f t="array" ref="R5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1.0638399999999999</v>
      </c>
      <c r="S57" s="238" cm="1">
        <f t="array" ref="S5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1.0316099999999999</v>
      </c>
      <c r="T57" s="238" cm="1">
        <f t="array" ref="T5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-0.18160999999999999</v>
      </c>
      <c r="U57" s="41" t="str" cm="1">
        <f t="array" ref="U5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-0.18161)</v>
      </c>
      <c r="V57" s="22"/>
      <c r="Y57" s="4" t="s">
        <v>52</v>
      </c>
      <c r="Z57" s="93">
        <v>1E-3</v>
      </c>
      <c r="AA57" s="5" cm="1">
        <f t="array" ref="AA57">_xlfn.LET(
  _xlpm.an, CalibrationCoefficients[[#This Row],[Analyte]],
  _xlpm.Acol, SensorLab[Analyte],
  _xlpm.SIDs, SensorLab[Sample_ID],
  _xlpm.Xcol, SensorLab[Raw_Factored],
  _xlpm.Ycol, SensorLab[Labs_Result],
  _xlpm.baseMask, (_xlpm.Acol=_xlpm.an) * ISNUMBER(_xlpm.Xcol) * ISNUMBER(_xlpm.Ycol) * (_xlpm.Xcol&lt;&gt;0) * (_xlpm.Ycol&lt;&gt;0),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_xlpm.xArr, IFERROR(_xlfn._xlws.FILTER(_xlpm.Xcol, _xlpm.rowsMask), _xlfn.SEQUENCE(0)),
  _xlpm.yArr, IFERROR(_xlfn._xlws.FILTER(_xlpm.Ycol, _xlpm.rowsMask), _xlfn.SEQUENCE(0)),
  _xlpm.n, MIN(COUNT(_xlpm.xArr), COUNT(_xlpm.yArr)),
  IF(_xlpm.n&lt;2, NA(),
     INDEX(LINEST(_xlpm.yArr, _xlpm.xArr, TRUE, TRUE),1,1)
  )
)</f>
        <v>0.21604927432658713</v>
      </c>
      <c r="AB57" s="5" cm="1">
        <f t="array" ref="AB57">_xlfn.LET(
  _xlpm.an, CalibrationCoefficients[[#This Row],[Analyte]],
  _xlpm.Acol, SensorLab[Analyte],
  _xlpm.SIDs, SensorLab[Sample_ID],
  _xlpm.Xcol, SensorLab[Raw_Factored],
  _xlpm.Ycol, SensorLab[Labs_Result],
  _xlpm.baseMask, (_xlpm.Acol=_xlpm.an) * ISNUMBER(_xlpm.Xcol) * ISNUMBER(_xlpm.Ycol) * (_xlpm.Xcol&lt;&gt;0) * (_xlpm.Ycol&lt;&gt;0),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_xlpm.xArr, IFERROR(_xlfn._xlws.FILTER(_xlpm.Xcol, _xlpm.rowsMask), _xlfn.SEQUENCE(0)),
  _xlpm.yArr, IFERROR(_xlfn._xlws.FILTER(_xlpm.Ycol, _xlpm.rowsMask), _xlfn.SEQUENCE(0)),
  _xlpm.n, MIN(COUNT(_xlpm.xArr), COUNT(_xlpm.yArr)),
  IF(_xlpm.n&lt;2, NA(),
     INDEX(LINEST(_xlpm.yArr, _xlpm.xArr, TRUE, TRUE),1,2)
  )
)</f>
        <v>1.023072606410298</v>
      </c>
      <c r="AC57" s="5" cm="1">
        <f t="array" ref="AC57">_xlfn.LET(
  _xlpm.an, CalibrationCoefficients[[#This Row],[Analyte]],
  _xlpm.Acol, SensorLab[Analyte],
  _xlpm.SIDs, SensorLab[Sample_ID],
  _xlpm.Ycol, SensorLab[Labs_Result],
  _xlpm.Pcol, SensorLab[Predicted_Base],
  _xlpm.baseMask, (_xlpm.Acol=_xlpm.an) * ISNUMBER(_xlpm.Ycol) * ISNUMBER(_xlpm.Pcol) * (N(_xlpm.Ycol)&lt;&gt;0) * (N(_xlpm.Pcol)&lt;&gt;0),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_xlpm.yArr, IFERROR(N(_xlfn._xlws.FILTER(_xlpm.Ycol, _xlpm.rowsMask)), _xlfn.SEQUENCE(0)),
  _xlpm.pArr, IFERROR(N(_xlfn._xlws.FILTER(_xlpm.Pcol, _xlpm.rowsMask)), _xlfn.SEQUENCE(0)),
  _xlpm.cnt, MIN(COUNT(_xlpm.yArr), COUNT(_xlpm.pArr)),
  _xlpm.residuals, IF(_xlpm.cnt&gt;0, _xlpm.yArr - _xlpm.pArr, _xlfn.SEQUENCE(0)),
  _xlpm.offset, IF(_xlpm.cnt&gt;0, IFERROR(MEDIAN(_xlpm.residuals), NA()), NA()),
  _xlpm.offset
)</f>
        <v>1.9249999999999989E-2</v>
      </c>
      <c r="AD57" s="5" t="s">
        <v>53</v>
      </c>
      <c r="AE57" s="5" cm="1">
        <f t="array" ref="AE57">_xlfn.LET(
  _xlpm.a, CalibrationCoefficients[[#This Row],[Analyte]],
  _xlpm.Acol, SensorLab[Analyte],
  _xlpm.labT, _xlfn._xlws.FILTER(SensorLab[Tarnab_Lab],   _xlpm.Acol=_xlpm.a),
  _xlpm.labB, _xlfn._xlws.FILTER(SensorLab[Bari_Lab],    _xlpm.Acol=_xlpm.a),
  _xlpm.labM, _xlfn._xlws.FILTER(SensorLab[ManuChar_Lab], _xlpm.Acol=_xlpm.a),
  _xlpm.predRaw, _xlfn._xlws.FILTER(SensorLab[Raw_Factored], _xlpm.Acol=_xlpm.a),
  _xlpm.predConv, _xlfn._xlws.FILTER(SensorLab[Labs_Result], _xlpm.Acol=_xlpm.a),
  _xlpm.validMask, (ISNUMBER(_xlpm.predRaw)) * (ISNUMBER(_xlpm.predConv)) * (_xlpm.predRaw&lt;&gt;0) * (_xlpm.predConv&lt;&gt;0),
  _xlpm.cntT, IFERROR(COUNTA(_xlfn._xlws.FILTER(_xlpm.labT, (_xlpm.validMask) * (_xlpm.labT&lt;&gt;""))),0),
  _xlpm.cntB, IFERROR(COUNTA(_xlfn._xlws.FILTER(_xlpm.labB, (_xlpm.validMask) * (_xlpm.labB&lt;&gt;""))),0),
  _xlpm.cntM, IFERROR(COUNTA(_xlfn._xlws.FILTER(_xlpm.labM, (_xlpm.validMask) * (_xlpm.labM&lt;&gt;""))),0),
  _xlpm.cntT + _xlpm.cntB + _xlpm.cntM
)</f>
        <v>45</v>
      </c>
      <c r="AF57" s="236" cm="1">
        <f t="array" ref="AF57">_xlfn.LET(
  _xlpm.an, CalibrationCoefficients[[#This Row],[Analyte]],
  _xlpm.Acol, SensorLab[Analyte],
  _xlpm.SIDs, SensorLab[Sample_ID],
  _xlpm.labsAll,   SensorLab[Labs_Result],
  _xlpm.finalsAll, SensorLab[Predicted_Base],
  _xlpm.baseMask, (_xlpm.Acol=_xlpm.an) * ISNUMBER(_xlpm.labsAll) * ISNUMBER(_xlpm.finalsAll) * (_xlpm.labsAll&lt;&gt;0) * (_xlpm.finalsAll&lt;&gt;0),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_xlpm.labs,   IFERROR(_xlfn._xlws.FILTER(_xlpm.labsAll,   _xlpm.rowsMask), _xlfn.SEQUENCE(0)),
  _xlpm.finals, IFERROR(_xlfn._xlws.FILTER(_xlpm.finalsAll, _xlpm.rowsMask), _xlfn.SEQUENCE(0)),
  _xlpm.residuals, _xlpm.labs - _xlpm.finals,
  IF(COUNT(_xlpm.residuals)&lt;2, NA(), _xlfn.STDEV.P(_xlpm.residuals))
)</f>
        <v>0.27113634407829335</v>
      </c>
      <c r="AG57" s="236" cm="1">
        <f t="array" ref="AG57">_xlfn.LET(
  _xlpm.an, CalibrationCoefficients[[#This Row],[Analyte]],
  _xlpm.Acol, SensorLab[Analyte],
  _xlpm.SIDs, SensorLab[Sample_ID],
  _xlpm.labsAll,   SensorLab[Labs_Result],
  _xlpm.finalsAll, SensorLab[Predicted_Base],
  _xlpm.baseMask, (_xlpm.Acol=_xlpm.an) * ISNUMBER(_xlpm.labsAll) * ISNUMBER(_xlpm.finalsAll) * (_xlpm.labsAll&lt;&gt;0) * (_xlpm.finalsAll&lt;&gt;0),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_xlpm.labs,   IFERROR(_xlfn._xlws.FILTER(_xlpm.labsAll,   _xlpm.rowsMask), _xlfn.SEQUENCE(0)),
  _xlpm.finals, IFERROR(_xlfn._xlws.FILTER(_xlpm.finalsAll, _xlpm.rowsMask), _xlfn.SEQUENCE(0)),
  _xlpm.residuals, _xlpm.labs - _xlpm.finals,
  _xlpm.relErrors, IF(_xlpm.labs&lt;&gt;0, ABS(_xlpm.residuals)/_xlpm.labs, NA()),
  IF(COUNT(_xlpm.relErrors)&lt;1, NA(), AVERAGE(IFERROR(_xlpm.relErrors, NA())))
)</f>
        <v>0.2300012739729273</v>
      </c>
      <c r="AH57" s="236" cm="1">
        <f t="array" ref="AH57">_xlfn.LET(
  _xlpm.an, CalibrationCoefficients[[#This Row],[Analyte]],
  _xlpm.Acol, SensorLab[Analyte],
  _xlpm.SIDs, SensorLab[Sample_ID],
  _xlpm.rawsAll,   SensorLab[Raw_Factored],
  _xlpm.finalsAll, SensorLab[Final_Results],
  _xlpm.baseMask, (_xlpm.Acol=_xlpm.an) * ISNUMBER(_xlpm.rawsAll) * ISNUMBER(_xlpm.finalsAll) * (_xlpm.rawsAll&lt;&gt;0) * (_xlpm.finalsAll&lt;&gt;0),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_xlpm.rawsFactored, IFERROR(_xlfn._xlws.FILTER(_xlpm.rawsAll,   _xlpm.rowsMask), _xlfn.SEQUENCE(0)),
  _xlpm.finals,       IFERROR(_xlfn._xlws.FILTER(_xlpm.finalsAll, _xlpm.rowsMask), _xlfn.SEQUENCE(0)),
  _xlpm.slope,     _xlfn.XLOOKUP(_xlpm.an, CalibrationCoefficients[Analyte], CalibrationCoefficients[Slope]),
  _xlpm.intercept, _xlfn.XLOOKUP(_xlpm.an, CalibrationCoefficients[Analyte], CalibrationCoefficients[Intercept]),
  _xlpm.fitResiduals, _xlpm.finals - (_xlpm.rawsFactored*_xlpm.slope + _xlpm.intercept),
  IF(COUNT(_xlpm.fitResiduals)&lt;2, NA(), ROUND(_xlfn.STDEV.P(_xlpm.fitResiduals),2))
)</f>
        <v>0.05</v>
      </c>
      <c r="AI57" s="236" cm="1">
        <f t="array" ref="AI57">_xlfn.LET(
  _xlpm.an, CalibrationCoefficients[[#This Row],[Analyte]],
  _xlpm.Acol, SensorLab[Analyte],
  _xlpm.SIDs, SensorLab[Sample_ID],
  _xlpm.rawsAll,   SensorLab[Raw_Factored],
  _xlpm.finalsAll, SensorLab[Final_Results],
  _xlpm.baseMask, (_xlpm.Acol=_xlpm.an) * ISNUMBER(_xlpm.rawsAll) * ISNUMBER(_xlpm.finalsAll) * (_xlpm.rawsAll&lt;&gt;0) * (_xlpm.finalsAll&lt;&gt;0),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_xlpm.rawsFactored, IFERROR(_xlfn._xlws.FILTER(_xlpm.rawsAll,   _xlpm.rowsMask), _xlfn.SEQUENCE(0)),
  _xlpm.finals,       IFERROR(_xlfn._xlws.FILTER(_xlpm.finalsAll, _xlpm.rowsMask), _xlfn.SEQUENCE(0)),
  _xlpm.slope,     _xlfn.XLOOKUP(_xlpm.an, CalibrationCoefficients[Analyte], CalibrationCoefficients[Slope]),
  _xlpm.intercept, _xlfn.XLOOKUP(_xlpm.an, CalibrationCoefficients[Analyte], CalibrationCoefficients[Intercept]),
  _xlpm.residAbs, ABS(_xlpm.finals - (_xlpm.rawsFactored*_xlpm.slope + _xlpm.intercept)),
  IF(COUNT(_xlpm.residAbs)&lt;2, NA(), ROUND(_xlfn.PERCENTILE.INC(_xlpm.residAbs,0.95),2))
)</f>
        <v>0.11</v>
      </c>
      <c r="AJ57" s="5" cm="1">
        <f t="array" ref="AJ57">MEDIAN(IF(SensorLab[Analyte]=CalibrationCoefficients[[#This Row],[Analyte]], SensorLab[Residual_Value]))</f>
        <v>-0.16044</v>
      </c>
      <c r="AK57" s="5"/>
      <c r="AL57" s="5"/>
      <c r="AM57" s="5"/>
      <c r="AN57" s="5"/>
      <c r="AO57" s="5"/>
      <c r="AP57" s="5"/>
      <c r="AQ57" s="5"/>
      <c r="AR57" s="5"/>
      <c r="AS57" s="5"/>
      <c r="AT57" s="5"/>
      <c r="AU57" s="5"/>
      <c r="AV57" s="5"/>
      <c r="AW57" s="5"/>
    </row>
    <row r="58" spans="2:49" x14ac:dyDescent="0.15">
      <c r="B58" s="21" t="s">
        <v>52</v>
      </c>
      <c r="C58" s="22" cm="1">
        <f t="array" ref="C58" xml:space="preserve"> _xlfn.XLOOKUP(
    1,
    (SensorLab[Sample_ID]=$C$54) * (SensorLab[Analyte]=B58),
    SensorLab[Raw_Value]
)</f>
        <v>101</v>
      </c>
      <c r="D58" s="208">
        <f>_xlfn.LET(
  _xlpm.analyte, B58,
  _xlpm.raw, C58,
  _xlpm.scaleF, IFERROR(
    _xlfn.XLOOKUP(_xlpm.analyte, ScaleFactors[Analyte], ScaleFactors[ScaleFactor]),
    1
  ),
  IF(AND(_xlpm.analyte&lt;&gt;"", ISNUMBER(_xlpm.raw)), _xlpm.raw * _xlpm.scaleF, "NA")
)</f>
        <v>0.10100000000000001</v>
      </c>
      <c r="E58" s="40" t="s">
        <v>53</v>
      </c>
      <c r="F58" s="50"/>
      <c r="J58" s="190" t="s">
        <v>206</v>
      </c>
      <c r="K58" s="127" t="s">
        <v>34</v>
      </c>
      <c r="L58" s="208">
        <v>73</v>
      </c>
      <c r="M58" s="237">
        <f>_xlfn.LET(
  _xlpm.analyte, SensorLab[[#This Row],[Analyte]],
  _xlpm.raw, N(SensorLab[[#This Row],[Raw_Value]]),
  _xlpm.scaleF, IFERROR(
    _xlfn.XLOOKUP(_xlpm.analyte, CalibrationCoefficients[Analyte], CalibrationCoefficients[ScaleFactor]),
    1
  ),
  IF(AND(_xlpm.analyte&lt;&gt;"", ISNUMBER(_xlpm.raw)), _xlpm.raw * _xlpm.scaleF, "NA")
)</f>
        <v>7.3000000000000007</v>
      </c>
      <c r="N58" s="194"/>
      <c r="O58" s="41"/>
      <c r="P58" s="41">
        <v>8.1999999999999993</v>
      </c>
      <c r="Q58" s="208" cm="1">
        <f t="array" ref="Q5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8.1999999999999993</v>
      </c>
      <c r="R58" s="237" cm="1">
        <f t="array" ref="R5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7.8900600000000001</v>
      </c>
      <c r="S58" s="238" cm="1">
        <f t="array" ref="S5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7.8571499999999999</v>
      </c>
      <c r="T58" s="238" cm="1">
        <f t="array" ref="T5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0.34284999999999999</v>
      </c>
      <c r="U58" s="41" t="str" cm="1">
        <f t="array" ref="U5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7.88230 and 8.00301</v>
      </c>
      <c r="V58" s="22"/>
      <c r="Y58" s="4" t="s">
        <v>34</v>
      </c>
      <c r="Z58" s="93">
        <v>0.1</v>
      </c>
      <c r="AA58" s="5" cm="1">
        <f t="array" ref="AA58">_xlfn.LET(
  _xlpm.an, CalibrationCoefficients[[#This Row],[Analyte]],
  _xlpm.Acol, SensorLab[Analyte],
  _xlpm.SIDs, SensorLab[Sample_ID],
  _xlpm.Xcol, SensorLab[Raw_Factored],
  _xlpm.Ycol, SensorLab[Labs_Result],
  _xlpm.baseMask, (_xlpm.Acol=_xlpm.an) * ISNUMBER(_xlpm.Xcol) * ISNUMBER(_xlpm.Ycol) * (_xlpm.Xcol&lt;&gt;0) * (_xlpm.Ycol&lt;&gt;0),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_xlpm.xArr, IFERROR(_xlfn._xlws.FILTER(_xlpm.Xcol, _xlpm.rowsMask), _xlfn.SEQUENCE(0)),
  _xlpm.yArr, IFERROR(_xlfn._xlws.FILTER(_xlpm.Ycol, _xlpm.rowsMask), _xlfn.SEQUENCE(0)),
  _xlpm.n, MIN(COUNT(_xlpm.xArr), COUNT(_xlpm.yArr)),
  IF(_xlpm.n&lt;2, NA(),
     INDEX(LINEST(_xlpm.yArr, _xlpm.xArr, TRUE, TRUE),1,1)
  )
)</f>
        <v>-5.1456180378472695E-2</v>
      </c>
      <c r="AB58" s="5" cm="1">
        <f t="array" ref="AB58">_xlfn.LET(
  _xlpm.an, CalibrationCoefficients[[#This Row],[Analyte]],
  _xlpm.Acol, SensorLab[Analyte],
  _xlpm.SIDs, SensorLab[Sample_ID],
  _xlpm.Xcol, SensorLab[Raw_Factored],
  _xlpm.Ycol, SensorLab[Labs_Result],
  _xlpm.baseMask, (_xlpm.Acol=_xlpm.an) * ISNUMBER(_xlpm.Xcol) * ISNUMBER(_xlpm.Ycol) * (_xlpm.Xcol&lt;&gt;0) * (_xlpm.Ycol&lt;&gt;0),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_xlpm.xArr, IFERROR(_xlfn._xlws.FILTER(_xlpm.Xcol, _xlpm.rowsMask), _xlfn.SEQUENCE(0)),
  _xlpm.yArr, IFERROR(_xlfn._xlws.FILTER(_xlpm.Ycol, _xlpm.rowsMask), _xlfn.SEQUENCE(0)),
  _xlpm.n, MIN(COUNT(_xlpm.xArr), COUNT(_xlpm.yArr)),
  IF(_xlpm.n&lt;2, NA(),
     INDEX(LINEST(_xlpm.yArr, _xlpm.xArr, TRUE, TRUE),1,2)
  )
)</f>
        <v>8.278643135149645</v>
      </c>
      <c r="AC58" s="5" cm="1">
        <f t="array" ref="AC58">_xlfn.LET(
  _xlpm.an, CalibrationCoefficients[[#This Row],[Analyte]],
  _xlpm.Acol, SensorLab[Analyte],
  _xlpm.SIDs, SensorLab[Sample_ID],
  _xlpm.Ycol, SensorLab[Labs_Result],
  _xlpm.Pcol, SensorLab[Predicted_Base],
  _xlpm.baseMask, (_xlpm.Acol=_xlpm.an) * ISNUMBER(_xlpm.Ycol) * ISNUMBER(_xlpm.Pcol) * (N(_xlpm.Ycol)&lt;&gt;0) * (N(_xlpm.Pcol)&lt;&gt;0),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_xlpm.yArr, IFERROR(N(_xlfn._xlws.FILTER(_xlpm.Ycol, _xlpm.rowsMask)), _xlfn.SEQUENCE(0)),
  _xlpm.pArr, IFERROR(N(_xlfn._xlws.FILTER(_xlpm.Pcol, _xlpm.rowsMask)), _xlfn.SEQUENCE(0)),
  _xlpm.cnt, MIN(COUNT(_xlpm.yArr), COUNT(_xlpm.pArr)),
  _xlpm.residuals, IF(_xlpm.cnt&gt;0, _xlpm.yArr - _xlpm.pArr, _xlfn.SEQUENCE(0)),
  _xlpm.offset, IF(_xlpm.cnt&gt;0, IFERROR(MEDIAN(_xlpm.residuals), NA()), NA()),
  _xlpm.offset
)</f>
        <v>-0.15091999999999928</v>
      </c>
      <c r="AD58" s="5"/>
      <c r="AE58" s="5" cm="1">
        <f t="array" ref="AE58">_xlfn.LET(
  _xlpm.a, CalibrationCoefficients[[#This Row],[Analyte]],
  _xlpm.Acol, SensorLab[Analyte],
  _xlpm.labT, _xlfn._xlws.FILTER(SensorLab[Tarnab_Lab],   _xlpm.Acol=_xlpm.a),
  _xlpm.labB, _xlfn._xlws.FILTER(SensorLab[Bari_Lab],    _xlpm.Acol=_xlpm.a),
  _xlpm.labM, _xlfn._xlws.FILTER(SensorLab[ManuChar_Lab], _xlpm.Acol=_xlpm.a),
  _xlpm.predRaw, _xlfn._xlws.FILTER(SensorLab[Raw_Factored], _xlpm.Acol=_xlpm.a),
  _xlpm.predConv, _xlfn._xlws.FILTER(SensorLab[Labs_Result], _xlpm.Acol=_xlpm.a),
  _xlpm.validMask, (ISNUMBER(_xlpm.predRaw)) * (ISNUMBER(_xlpm.predConv)) * (_xlpm.predRaw&lt;&gt;0) * (_xlpm.predConv&lt;&gt;0),
  _xlpm.cntT, IFERROR(COUNTA(_xlfn._xlws.FILTER(_xlpm.labT, (_xlpm.validMask) * (_xlpm.labT&lt;&gt;""))),0),
  _xlpm.cntB, IFERROR(COUNTA(_xlfn._xlws.FILTER(_xlpm.labB, (_xlpm.validMask) * (_xlpm.labB&lt;&gt;""))),0),
  _xlpm.cntM, IFERROR(COUNTA(_xlfn._xlws.FILTER(_xlpm.labM, (_xlpm.validMask) * (_xlpm.labM&lt;&gt;""))),0),
  _xlpm.cntT + _xlpm.cntB + _xlpm.cntM
)</f>
        <v>46</v>
      </c>
      <c r="AF58" s="236" cm="1">
        <f t="array" ref="AF58">_xlfn.LET(
  _xlpm.an, CalibrationCoefficients[[#This Row],[Analyte]],
  _xlpm.Acol, SensorLab[Analyte],
  _xlpm.SIDs, SensorLab[Sample_ID],
  _xlpm.labsAll,   SensorLab[Labs_Result],
  _xlpm.finalsAll, SensorLab[Predicted_Base],
  _xlpm.baseMask, (_xlpm.Acol=_xlpm.an) * ISNUMBER(_xlpm.labsAll) * ISNUMBER(_xlpm.finalsAll) * (_xlpm.labsAll&lt;&gt;0) * (_xlpm.finalsAll&lt;&gt;0),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_xlpm.labs,   IFERROR(_xlfn._xlws.FILTER(_xlpm.labsAll,   _xlpm.rowsMask), _xlfn.SEQUENCE(0)),
  _xlpm.finals, IFERROR(_xlfn._xlws.FILTER(_xlpm.finalsAll, _xlpm.rowsMask), _xlfn.SEQUENCE(0)),
  _xlpm.residuals, _xlpm.labs - _xlpm.finals,
  IF(COUNT(_xlpm.residuals)&lt;2, NA(), _xlfn.STDEV.P(_xlpm.residuals))
)</f>
        <v>0.46014392048813152</v>
      </c>
      <c r="AG58" s="236" cm="1">
        <f t="array" ref="AG58">_xlfn.LET(
  _xlpm.an, CalibrationCoefficients[[#This Row],[Analyte]],
  _xlpm.Acol, SensorLab[Analyte],
  _xlpm.SIDs, SensorLab[Sample_ID],
  _xlpm.labsAll,   SensorLab[Labs_Result],
  _xlpm.finalsAll, SensorLab[Predicted_Base],
  _xlpm.baseMask, (_xlpm.Acol=_xlpm.an) * ISNUMBER(_xlpm.labsAll) * ISNUMBER(_xlpm.finalsAll) * (_xlpm.labsAll&lt;&gt;0) * (_xlpm.finalsAll&lt;&gt;0),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_xlpm.labs,   IFERROR(_xlfn._xlws.FILTER(_xlpm.labsAll,   _xlpm.rowsMask), _xlfn.SEQUENCE(0)),
  _xlpm.finals, IFERROR(_xlfn._xlws.FILTER(_xlpm.finalsAll, _xlpm.rowsMask), _xlfn.SEQUENCE(0)),
  _xlpm.residuals, _xlpm.labs - _xlpm.finals,
  _xlpm.relErrors, IF(_xlpm.labs&lt;&gt;0, ABS(_xlpm.residuals)/_xlpm.labs, NA()),
  IF(COUNT(_xlpm.relErrors)&lt;1, NA(), AVERAGE(IFERROR(_xlpm.relErrors, NA())))
)</f>
        <v>3.8744467118968166E-2</v>
      </c>
      <c r="AH58" s="236" cm="1">
        <f t="array" ref="AH58">_xlfn.LET(
  _xlpm.an, CalibrationCoefficients[[#This Row],[Analyte]],
  _xlpm.Acol, SensorLab[Analyte],
  _xlpm.SIDs, SensorLab[Sample_ID],
  _xlpm.rawsAll,   SensorLab[Raw_Factored],
  _xlpm.finalsAll, SensorLab[Final_Results],
  _xlpm.baseMask, (_xlpm.Acol=_xlpm.an) * ISNUMBER(_xlpm.rawsAll) * ISNUMBER(_xlpm.finalsAll) * (_xlpm.rawsAll&lt;&gt;0) * (_xlpm.finalsAll&lt;&gt;0),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_xlpm.rawsFactored, IFERROR(_xlfn._xlws.FILTER(_xlpm.rawsAll,   _xlpm.rowsMask), _xlfn.SEQUENCE(0)),
  _xlpm.finals,       IFERROR(_xlfn._xlws.FILTER(_xlpm.finalsAll, _xlpm.rowsMask), _xlfn.SEQUENCE(0)),
  _xlpm.slope,     _xlfn.XLOOKUP(_xlpm.an, CalibrationCoefficients[Analyte], CalibrationCoefficients[Slope]),
  _xlpm.intercept, _xlfn.XLOOKUP(_xlpm.an, CalibrationCoefficients[Analyte], CalibrationCoefficients[Intercept]),
  _xlpm.fitResiduals, _xlpm.finals - (_xlpm.rawsFactored*_xlpm.slope + _xlpm.intercept),
  IF(COUNT(_xlpm.fitResiduals)&lt;2, NA(), ROUND(_xlfn.STDEV.P(_xlpm.fitResiduals),2))
)</f>
        <v>0.1</v>
      </c>
      <c r="AI58" s="236" cm="1">
        <f t="array" ref="AI58">_xlfn.LET(
  _xlpm.an, CalibrationCoefficients[[#This Row],[Analyte]],
  _xlpm.Acol, SensorLab[Analyte],
  _xlpm.SIDs, SensorLab[Sample_ID],
  _xlpm.rawsAll,   SensorLab[Raw_Factored],
  _xlpm.finalsAll, SensorLab[Final_Results],
  _xlpm.baseMask, (_xlpm.Acol=_xlpm.an) * ISNUMBER(_xlpm.rawsAll) * ISNUMBER(_xlpm.finalsAll) * (_xlpm.rawsAll&lt;&gt;0) * (_xlpm.finalsAll&lt;&gt;0),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_xlpm.rawsFactored, IFERROR(_xlfn._xlws.FILTER(_xlpm.rawsAll,   _xlpm.rowsMask), _xlfn.SEQUENCE(0)),
  _xlpm.finals,       IFERROR(_xlfn._xlws.FILTER(_xlpm.finalsAll, _xlpm.rowsMask), _xlfn.SEQUENCE(0)),
  _xlpm.slope,     _xlfn.XLOOKUP(_xlpm.an, CalibrationCoefficients[Analyte], CalibrationCoefficients[Slope]),
  _xlpm.intercept, _xlfn.XLOOKUP(_xlpm.an, CalibrationCoefficients[Analyte], CalibrationCoefficients[Intercept]),
  _xlpm.residAbs, ABS(_xlpm.finals - (_xlpm.rawsFactored*_xlpm.slope + _xlpm.intercept)),
  IF(COUNT(_xlpm.residAbs)&lt;2, NA(), ROUND(_xlfn.PERCENTILE.INC(_xlpm.residAbs,0.95),2))
)</f>
        <v>0.28999999999999998</v>
      </c>
      <c r="AJ58" s="5" cm="1">
        <f t="array" ref="AJ58">MEDIAN(IF(SensorLab[Analyte]=CalibrationCoefficients[[#This Row],[Analyte]], SensorLab[Residual_Value]))</f>
        <v>-0.18836999999999993</v>
      </c>
      <c r="AK58" s="5"/>
      <c r="AL58" s="5"/>
      <c r="AM58" s="5"/>
      <c r="AN58" s="5"/>
      <c r="AO58" s="5"/>
      <c r="AP58" s="5"/>
      <c r="AQ58" s="5"/>
      <c r="AR58" s="5"/>
      <c r="AS58" s="5"/>
      <c r="AT58" s="5"/>
      <c r="AU58" s="5"/>
      <c r="AV58" s="5"/>
      <c r="AW58" s="5"/>
    </row>
    <row r="59" spans="2:49" x14ac:dyDescent="0.15">
      <c r="B59" s="21" t="s">
        <v>34</v>
      </c>
      <c r="C59" s="22" cm="1">
        <f t="array" ref="C59" xml:space="preserve"> _xlfn.XLOOKUP(
    1,
    (SensorLab[Sample_ID]=$C$54) * (SensorLab[Analyte]=B59),
    SensorLab[Raw_Value]
)</f>
        <v>75</v>
      </c>
      <c r="D59" s="208">
        <f>_xlfn.LET(
  _xlpm.analyte, B59,
  _xlpm.raw, C59,
  _xlpm.scaleF, IFERROR(
    _xlfn.XLOOKUP(_xlpm.analyte, ScaleFactors[Analyte], ScaleFactors[ScaleFactor]),
    1
  ),
  IF(AND(_xlpm.analyte&lt;&gt;"", ISNUMBER(_xlpm.raw)), _xlpm.raw * _xlpm.scaleF, "NA")
)</f>
        <v>7.5</v>
      </c>
      <c r="E59" s="27" t="s">
        <v>34</v>
      </c>
      <c r="F59" s="50"/>
      <c r="J59" s="190" t="s">
        <v>206</v>
      </c>
      <c r="K59" s="127" t="s">
        <v>90</v>
      </c>
      <c r="L59" s="208">
        <v>155</v>
      </c>
      <c r="M59" s="237">
        <f>_xlfn.LET(
  _xlpm.analyte, SensorLab[[#This Row],[Analyte]],
  _xlpm.raw, N(SensorLab[[#This Row],[Raw_Value]]),
  _xlpm.scaleF, IFERROR(
    _xlfn.XLOOKUP(_xlpm.analyte, CalibrationCoefficients[Analyte], CalibrationCoefficients[ScaleFactor]),
    1
  ),
  IF(AND(_xlpm.analyte&lt;&gt;"", ISNUMBER(_xlpm.raw)), _xlpm.raw * _xlpm.scaleF, "NA")
)</f>
        <v>15.5</v>
      </c>
      <c r="N59" s="194"/>
      <c r="O59" s="41"/>
      <c r="P59" s="41">
        <v>15.5</v>
      </c>
      <c r="Q59" s="208" cm="1">
        <f t="array" ref="Q59">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15.5</v>
      </c>
      <c r="R59" s="237" cm="1">
        <f t="array" ref="R5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15.517989999999999</v>
      </c>
      <c r="S59" s="238" cm="1">
        <f t="array" ref="S5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15.48141</v>
      </c>
      <c r="T59" s="238" cm="1">
        <f t="array" ref="T5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-8.5185899999999997</v>
      </c>
      <c r="U59" s="41" t="str" cm="1">
        <f t="array" ref="U5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0.01859)</v>
      </c>
      <c r="V59" s="22"/>
      <c r="Y59" s="4" t="s">
        <v>90</v>
      </c>
      <c r="Z59" s="93">
        <v>0.1</v>
      </c>
      <c r="AA59" s="5" cm="1">
        <f t="array" ref="AA59">_xlfn.LET(
  _xlpm.an, CalibrationCoefficients[[#This Row],[Analyte]],
  _xlpm.Acol, SensorLab[Analyte],
  _xlpm.SIDs, SensorLab[Sample_ID],
  _xlpm.Xcol, SensorLab[Raw_Factored],
  _xlpm.Ycol, SensorLab[Labs_Result],
  _xlpm.baseMask, (_xlpm.Acol=_xlpm.an) * ISNUMBER(_xlpm.Xcol) * ISNUMBER(_xlpm.Ycol) * (_xlpm.Xcol&lt;&gt;0) * (_xlpm.Ycol&lt;&gt;0),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_xlpm.xArr, IFERROR(_xlfn._xlws.FILTER(_xlpm.Xcol, _xlpm.rowsMask), _xlfn.SEQUENCE(0)),
  _xlpm.yArr, IFERROR(_xlfn._xlws.FILTER(_xlpm.Ycol, _xlpm.rowsMask), _xlfn.SEQUENCE(0)),
  _xlpm.n, MIN(COUNT(_xlpm.xArr), COUNT(_xlpm.yArr)),
  IF(_xlpm.n&lt;2, NA(),
     INDEX(LINEST(_xlpm.yArr, _xlpm.xArr, TRUE, TRUE),1,1)
  )
)</f>
        <v>0.99999999999999989</v>
      </c>
      <c r="AB59" s="5" cm="1">
        <f t="array" ref="AB59">_xlfn.LET(
  _xlpm.an, CalibrationCoefficients[[#This Row],[Analyte]],
  _xlpm.Acol, SensorLab[Analyte],
  _xlpm.SIDs, SensorLab[Sample_ID],
  _xlpm.Xcol, SensorLab[Raw_Factored],
  _xlpm.Ycol, SensorLab[Labs_Result],
  _xlpm.baseMask, (_xlpm.Acol=_xlpm.an) * ISNUMBER(_xlpm.Xcol) * ISNUMBER(_xlpm.Ycol) * (_xlpm.Xcol&lt;&gt;0) * (_xlpm.Ycol&lt;&gt;0),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_xlpm.xArr, IFERROR(_xlfn._xlws.FILTER(_xlpm.Xcol, _xlpm.rowsMask), _xlfn.SEQUENCE(0)),
  _xlpm.yArr, IFERROR(_xlfn._xlws.FILTER(_xlpm.Ycol, _xlpm.rowsMask), _xlfn.SEQUENCE(0)),
  _xlpm.n, MIN(COUNT(_xlpm.xArr), COUNT(_xlpm.yArr)),
  IF(_xlpm.n&lt;2, NA(),
     INDEX(LINEST(_xlpm.yArr, _xlpm.xArr, TRUE, TRUE),1,2)
  )
)</f>
        <v>3.5527136788005009E-15</v>
      </c>
      <c r="AC59" s="5" cm="1">
        <f t="array" ref="AC59">_xlfn.LET(
  _xlpm.an, CalibrationCoefficients[[#This Row],[Analyte]],
  _xlpm.Acol, SensorLab[Analyte],
  _xlpm.SIDs, SensorLab[Sample_ID],
  _xlpm.Ycol, SensorLab[Labs_Result],
  _xlpm.Pcol, SensorLab[Predicted_Base],
  _xlpm.baseMask, (_xlpm.Acol=_xlpm.an) * ISNUMBER(_xlpm.Ycol) * ISNUMBER(_xlpm.Pcol) * (N(_xlpm.Ycol)&lt;&gt;0) * (N(_xlpm.Pcol)&lt;&gt;0),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_xlpm.yArr, IFERROR(N(_xlfn._xlws.FILTER(_xlpm.Ycol, _xlpm.rowsMask)), _xlfn.SEQUENCE(0)),
  _xlpm.pArr, IFERROR(N(_xlfn._xlws.FILTER(_xlpm.Pcol, _xlpm.rowsMask)), _xlfn.SEQUENCE(0)),
  _xlpm.cnt, MIN(COUNT(_xlpm.yArr), COUNT(_xlpm.pArr)),
  _xlpm.residuals, IF(_xlpm.cnt&gt;0, _xlpm.yArr - _xlpm.pArr, _xlfn.SEQUENCE(0)),
  _xlpm.offset, IF(_xlpm.cnt&gt;0, IFERROR(MEDIAN(_xlpm.residuals), NA()), NA()),
  _xlpm.offset
)</f>
        <v>-2.6249999999999218E-2</v>
      </c>
      <c r="AD59" s="5" t="s">
        <v>51</v>
      </c>
      <c r="AE59" s="5" cm="1">
        <f t="array" ref="AE59">_xlfn.LET(
  _xlpm.a, CalibrationCoefficients[[#This Row],[Analyte]],
  _xlpm.Acol, SensorLab[Analyte],
  _xlpm.labT, _xlfn._xlws.FILTER(SensorLab[Tarnab_Lab],   _xlpm.Acol=_xlpm.a),
  _xlpm.labB, _xlfn._xlws.FILTER(SensorLab[Bari_Lab],    _xlpm.Acol=_xlpm.a),
  _xlpm.labM, _xlfn._xlws.FILTER(SensorLab[ManuChar_Lab], _xlpm.Acol=_xlpm.a),
  _xlpm.predRaw, _xlfn._xlws.FILTER(SensorLab[Raw_Factored], _xlpm.Acol=_xlpm.a),
  _xlpm.predConv, _xlfn._xlws.FILTER(SensorLab[Labs_Result], _xlpm.Acol=_xlpm.a),
  _xlpm.validMask, (ISNUMBER(_xlpm.predRaw)) * (ISNUMBER(_xlpm.predConv)) * (_xlpm.predRaw&lt;&gt;0) * (_xlpm.predConv&lt;&gt;0),
  _xlpm.cntT, IFERROR(COUNTA(_xlfn._xlws.FILTER(_xlpm.labT, (_xlpm.validMask) * (_xlpm.labT&lt;&gt;""))),0),
  _xlpm.cntB, IFERROR(COUNTA(_xlfn._xlws.FILTER(_xlpm.labB, (_xlpm.validMask) * (_xlpm.labB&lt;&gt;""))),0),
  _xlpm.cntM, IFERROR(COUNTA(_xlfn._xlws.FILTER(_xlpm.labM, (_xlpm.validMask) * (_xlpm.labM&lt;&gt;""))),0),
  _xlpm.cntT + _xlpm.cntB + _xlpm.cntM
)</f>
        <v>46</v>
      </c>
      <c r="AF59" s="236" cm="1">
        <f t="array" ref="AF59">_xlfn.LET(
  _xlpm.an, CalibrationCoefficients[[#This Row],[Analyte]],
  _xlpm.Acol, SensorLab[Analyte],
  _xlpm.SIDs, SensorLab[Sample_ID],
  _xlpm.labsAll,   SensorLab[Labs_Result],
  _xlpm.finalsAll, SensorLab[Predicted_Base],
  _xlpm.baseMask, (_xlpm.Acol=_xlpm.an) * ISNUMBER(_xlpm.labsAll) * ISNUMBER(_xlpm.finalsAll) * (_xlpm.labsAll&lt;&gt;0) * (_xlpm.finalsAll&lt;&gt;0),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_xlpm.labs,   IFERROR(_xlfn._xlws.FILTER(_xlpm.labsAll,   _xlpm.rowsMask), _xlfn.SEQUENCE(0)),
  _xlpm.finals, IFERROR(_xlfn._xlws.FILTER(_xlpm.finalsAll, _xlpm.rowsMask), _xlfn.SEQUENCE(0)),
  _xlpm.residuals, _xlpm.labs - _xlpm.finals,
  IF(COUNT(_xlpm.residuals)&lt;2, NA(), _xlfn.STDEV.P(_xlpm.residuals))
)</f>
        <v>4.7313409097004641E-2</v>
      </c>
      <c r="AG59" s="236" cm="1">
        <f t="array" ref="AG59">_xlfn.LET(
  _xlpm.an, CalibrationCoefficients[[#This Row],[Analyte]],
  _xlpm.Acol, SensorLab[Analyte],
  _xlpm.SIDs, SensorLab[Sample_ID],
  _xlpm.labsAll,   SensorLab[Labs_Result],
  _xlpm.finalsAll, SensorLab[Predicted_Base],
  _xlpm.baseMask, (_xlpm.Acol=_xlpm.an) * ISNUMBER(_xlpm.labsAll) * ISNUMBER(_xlpm.finalsAll) * (_xlpm.labsAll&lt;&gt;0) * (_xlpm.finalsAll&lt;&gt;0),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_xlpm.labs,   IFERROR(_xlfn._xlws.FILTER(_xlpm.labsAll,   _xlpm.rowsMask), _xlfn.SEQUENCE(0)),
  _xlpm.finals, IFERROR(_xlfn._xlws.FILTER(_xlpm.finalsAll, _xlpm.rowsMask), _xlfn.SEQUENCE(0)),
  _xlpm.residuals, _xlpm.labs - _xlpm.finals,
  _xlpm.relErrors, IF(_xlpm.labs&lt;&gt;0, ABS(_xlpm.residuals)/_xlpm.labs, NA()),
  IF(COUNT(_xlpm.relErrors)&lt;1, NA(), AVERAGE(IFERROR(_xlpm.relErrors, NA())))
)</f>
        <v>2.7939573611747855E-3</v>
      </c>
      <c r="AH59" s="236" cm="1">
        <f t="array" ref="AH59">_xlfn.LET(
  _xlpm.an, CalibrationCoefficients[[#This Row],[Analyte]],
  _xlpm.Acol, SensorLab[Analyte],
  _xlpm.SIDs, SensorLab[Sample_ID],
  _xlpm.rawsAll,   SensorLab[Raw_Factored],
  _xlpm.finalsAll, SensorLab[Final_Results],
  _xlpm.baseMask, (_xlpm.Acol=_xlpm.an) * ISNUMBER(_xlpm.rawsAll) * ISNUMBER(_xlpm.finalsAll) * (_xlpm.rawsAll&lt;&gt;0) * (_xlpm.finalsAll&lt;&gt;0),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_xlpm.rawsFactored, IFERROR(_xlfn._xlws.FILTER(_xlpm.rawsAll,   _xlpm.rowsMask), _xlfn.SEQUENCE(0)),
  _xlpm.finals,       IFERROR(_xlfn._xlws.FILTER(_xlpm.finalsAll, _xlpm.rowsMask), _xlfn.SEQUENCE(0)),
  _xlpm.slope,     _xlfn.XLOOKUP(_xlpm.an, CalibrationCoefficients[Analyte], CalibrationCoefficients[Slope]),
  _xlpm.intercept, _xlfn.XLOOKUP(_xlpm.an, CalibrationCoefficients[Analyte], CalibrationCoefficients[Intercept]),
  _xlpm.fitResiduals, _xlpm.finals - (_xlpm.rawsFactored*_xlpm.slope + _xlpm.intercept),
  IF(COUNT(_xlpm.fitResiduals)&lt;2, NA(), ROUND(_xlfn.STDEV.P(_xlpm.fitResiduals),2))
)</f>
        <v>7.0000000000000007E-2</v>
      </c>
      <c r="AI59" s="236" cm="1">
        <f t="array" ref="AI59">_xlfn.LET(
  _xlpm.an, CalibrationCoefficients[[#This Row],[Analyte]],
  _xlpm.Acol, SensorLab[Analyte],
  _xlpm.SIDs, SensorLab[Sample_ID],
  _xlpm.rawsAll,   SensorLab[Raw_Factored],
  _xlpm.finalsAll, SensorLab[Final_Results],
  _xlpm.baseMask, (_xlpm.Acol=_xlpm.an) * ISNUMBER(_xlpm.rawsAll) * ISNUMBER(_xlpm.finalsAll) * (_xlpm.rawsAll&lt;&gt;0) * (_xlpm.finalsAll&lt;&gt;0),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_xlpm.rawsFactored, IFERROR(_xlfn._xlws.FILTER(_xlpm.rawsAll,   _xlpm.rowsMask), _xlfn.SEQUENCE(0)),
  _xlpm.finals,       IFERROR(_xlfn._xlws.FILTER(_xlpm.finalsAll, _xlpm.rowsMask), _xlfn.SEQUENCE(0)),
  _xlpm.slope,     _xlfn.XLOOKUP(_xlpm.an, CalibrationCoefficients[Analyte], CalibrationCoefficients[Slope]),
  _xlpm.intercept, _xlfn.XLOOKUP(_xlpm.an, CalibrationCoefficients[Analyte], CalibrationCoefficients[Intercept]),
  _xlpm.residAbs, ABS(_xlpm.finals - (_xlpm.rawsFactored*_xlpm.slope + _xlpm.intercept)),
  IF(COUNT(_xlpm.residAbs)&lt;2, NA(), ROUND(_xlfn.PERCENTILE.INC(_xlpm.residAbs,0.95),2))
)</f>
        <v>0.19</v>
      </c>
      <c r="AJ59" s="5" cm="1">
        <f t="array" ref="AJ59">MEDIAN(IF(SensorLab[Analyte]=CalibrationCoefficients[[#This Row],[Analyte]], SensorLab[Residual_Value]))</f>
        <v>-7.4979399999999998</v>
      </c>
      <c r="AK59" s="5"/>
      <c r="AL59" s="5"/>
      <c r="AM59" s="5"/>
      <c r="AN59" s="5"/>
      <c r="AO59" s="5"/>
      <c r="AP59" s="5"/>
      <c r="AQ59" s="5"/>
      <c r="AR59" s="5"/>
      <c r="AS59" s="5"/>
      <c r="AT59" s="5"/>
      <c r="AU59" s="5"/>
      <c r="AV59" s="5"/>
      <c r="AW59" s="5"/>
    </row>
    <row r="60" spans="2:49" x14ac:dyDescent="0.15">
      <c r="B60" s="21" t="s">
        <v>39</v>
      </c>
      <c r="C60" s="22" cm="1">
        <f t="array" ref="C60" xml:space="preserve"> _xlfn.XLOOKUP(
    1,
    (SensorLab[Sample_ID]=$C$54) * (SensorLab[Analyte]=B60),
    SensorLab[Raw_Value]
)</f>
        <v>0</v>
      </c>
      <c r="D60" s="208">
        <f>_xlfn.LET(
  _xlpm.analyte, B60,
  _xlpm.raw, C60,
  _xlpm.scaleF, IFERROR(
    _xlfn.XLOOKUP(_xlpm.analyte, ScaleFactors[Analyte], ScaleFactors[ScaleFactor]),
    1
  ),
  IF(AND(_xlpm.analyte&lt;&gt;"", ISNUMBER(_xlpm.raw)), _xlpm.raw * _xlpm.scaleF, "NA")
)</f>
        <v>0</v>
      </c>
      <c r="E60" s="27" t="s">
        <v>92</v>
      </c>
      <c r="F60" s="50"/>
      <c r="J60" s="190" t="s">
        <v>206</v>
      </c>
      <c r="K60" s="191" t="s">
        <v>43</v>
      </c>
      <c r="L60" s="208">
        <v>233</v>
      </c>
      <c r="M60" s="237">
        <f>_xlfn.LET(
  _xlpm.analyte, SensorLab[[#This Row],[Analyte]],
  _xlpm.raw, N(SensorLab[[#This Row],[Raw_Value]]),
  _xlpm.scaleF, IFERROR(
    _xlfn.XLOOKUP(_xlpm.analyte, CalibrationCoefficients[Analyte], CalibrationCoefficients[ScaleFactor]),
    1
  ),
  IF(AND(_xlpm.analyte&lt;&gt;"", ISNUMBER(_xlpm.raw)), _xlpm.raw * _xlpm.scaleF, "NA")
)</f>
        <v>23.3</v>
      </c>
      <c r="N60" s="194"/>
      <c r="O60" s="41"/>
      <c r="P60" s="41">
        <v>23.3</v>
      </c>
      <c r="Q60" s="208" cm="1">
        <f t="array" ref="Q6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23.3</v>
      </c>
      <c r="R60" s="237" cm="1">
        <f t="array" ref="R6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23.286750000000001</v>
      </c>
      <c r="S60" s="238" cm="1">
        <f t="array" ref="S6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23.300160000000002</v>
      </c>
      <c r="T60" s="238" cm="1">
        <f t="array" ref="T6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-1.6000000000000001E-4</v>
      </c>
      <c r="U60" s="41" t="str" cm="1">
        <f t="array" ref="U6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23.30000 and 23.30000</v>
      </c>
      <c r="V60" s="22"/>
      <c r="Y60" s="4" t="s">
        <v>43</v>
      </c>
      <c r="Z60" s="93">
        <v>0.1</v>
      </c>
      <c r="AA60" s="5" cm="1">
        <f t="array" ref="AA60">_xlfn.LET(
  _xlpm.an, CalibrationCoefficients[[#This Row],[Analyte]],
  _xlpm.Acol, SensorLab[Analyte],
  _xlpm.SIDs, SensorLab[Sample_ID],
  _xlpm.Xcol, SensorLab[Raw_Factored],
  _xlpm.Ycol, SensorLab[Labs_Result],
  _xlpm.baseMask, (_xlpm.Acol=_xlpm.an) * ISNUMBER(_xlpm.Xcol) * ISNUMBER(_xlpm.Ycol) * (_xlpm.Xcol&lt;&gt;0) * (_xlpm.Ycol&lt;&gt;0),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_xlpm.xArr, IFERROR(_xlfn._xlws.FILTER(_xlpm.Xcol, _xlpm.rowsMask), _xlfn.SEQUENCE(0)),
  _xlpm.yArr, IFERROR(_xlfn._xlws.FILTER(_xlpm.Ycol, _xlpm.rowsMask), _xlfn.SEQUENCE(0)),
  _xlpm.n, MIN(COUNT(_xlpm.xArr), COUNT(_xlpm.yArr)),
  IF(_xlpm.n&lt;2, NA(),
     INDEX(LINEST(_xlpm.yArr, _xlpm.xArr, TRUE, TRUE),1,1)
  )
)</f>
        <v>1.0000000000000002</v>
      </c>
      <c r="AB60" s="5" cm="1">
        <f t="array" ref="AB60">_xlfn.LET(
  _xlpm.an, CalibrationCoefficients[[#This Row],[Analyte]],
  _xlpm.Acol, SensorLab[Analyte],
  _xlpm.SIDs, SensorLab[Sample_ID],
  _xlpm.Xcol, SensorLab[Raw_Factored],
  _xlpm.Ycol, SensorLab[Labs_Result],
  _xlpm.baseMask, (_xlpm.Acol=_xlpm.an) * ISNUMBER(_xlpm.Xcol) * ISNUMBER(_xlpm.Ycol) * (_xlpm.Xcol&lt;&gt;0) * (_xlpm.Ycol&lt;&gt;0),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_xlpm.xArr, IFERROR(_xlfn._xlws.FILTER(_xlpm.Xcol, _xlpm.rowsMask), _xlfn.SEQUENCE(0)),
  _xlpm.yArr, IFERROR(_xlfn._xlws.FILTER(_xlpm.Ycol, _xlpm.rowsMask), _xlfn.SEQUENCE(0)),
  _xlpm.n, MIN(COUNT(_xlpm.xArr), COUNT(_xlpm.yArr)),
  IF(_xlpm.n&lt;2, NA(),
     INDEX(LINEST(_xlpm.yArr, _xlpm.xArr, TRUE, TRUE),1,2)
  )
)</f>
        <v>-7.1054273576010019E-15</v>
      </c>
      <c r="AC60" s="5" cm="1">
        <f t="array" ref="AC60">_xlfn.LET(
  _xlpm.an, CalibrationCoefficients[[#This Row],[Analyte]],
  _xlpm.Acol, SensorLab[Analyte],
  _xlpm.SIDs, SensorLab[Sample_ID],
  _xlpm.Ycol, SensorLab[Labs_Result],
  _xlpm.Pcol, SensorLab[Predicted_Base],
  _xlpm.baseMask, (_xlpm.Acol=_xlpm.an) * ISNUMBER(_xlpm.Ycol) * ISNUMBER(_xlpm.Pcol) * (N(_xlpm.Ycol)&lt;&gt;0) * (N(_xlpm.Pcol)&lt;&gt;0),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_xlpm.yArr, IFERROR(N(_xlfn._xlws.FILTER(_xlpm.Ycol, _xlpm.rowsMask)), _xlfn.SEQUENCE(0)),
  _xlpm.pArr, IFERROR(N(_xlfn._xlws.FILTER(_xlpm.Pcol, _xlpm.rowsMask)), _xlfn.SEQUENCE(0)),
  _xlpm.cnt, MIN(COUNT(_xlpm.yArr), COUNT(_xlpm.pArr)),
  _xlpm.residuals, IF(_xlpm.cnt&gt;0, _xlpm.yArr - _xlpm.pArr, _xlfn.SEQUENCE(0)),
  _xlpm.offset, IF(_xlpm.cnt&gt;0, IFERROR(MEDIAN(_xlpm.residuals), NA()), NA()),
  _xlpm.offset
)</f>
        <v>1.2800000000002143E-2</v>
      </c>
      <c r="AD60" s="5" t="s">
        <v>66</v>
      </c>
      <c r="AE60" s="5" cm="1">
        <f t="array" ref="AE60">_xlfn.LET(
  _xlpm.a, CalibrationCoefficients[[#This Row],[Analyte]],
  _xlpm.Acol, SensorLab[Analyte],
  _xlpm.labT, _xlfn._xlws.FILTER(SensorLab[Tarnab_Lab],   _xlpm.Acol=_xlpm.a),
  _xlpm.labB, _xlfn._xlws.FILTER(SensorLab[Bari_Lab],    _xlpm.Acol=_xlpm.a),
  _xlpm.labM, _xlfn._xlws.FILTER(SensorLab[ManuChar_Lab], _xlpm.Acol=_xlpm.a),
  _xlpm.predRaw, _xlfn._xlws.FILTER(SensorLab[Raw_Factored], _xlpm.Acol=_xlpm.a),
  _xlpm.predConv, _xlfn._xlws.FILTER(SensorLab[Labs_Result], _xlpm.Acol=_xlpm.a),
  _xlpm.validMask, (ISNUMBER(_xlpm.predRaw)) * (ISNUMBER(_xlpm.predConv)) * (_xlpm.predRaw&lt;&gt;0) * (_xlpm.predConv&lt;&gt;0),
  _xlpm.cntT, IFERROR(COUNTA(_xlfn._xlws.FILTER(_xlpm.labT, (_xlpm.validMask) * (_xlpm.labT&lt;&gt;""))),0),
  _xlpm.cntB, IFERROR(COUNTA(_xlfn._xlws.FILTER(_xlpm.labB, (_xlpm.validMask) * (_xlpm.labB&lt;&gt;""))),0),
  _xlpm.cntM, IFERROR(COUNTA(_xlfn._xlws.FILTER(_xlpm.labM, (_xlpm.validMask) * (_xlpm.labM&lt;&gt;""))),0),
  _xlpm.cntT + _xlpm.cntB + _xlpm.cntM
)</f>
        <v>46</v>
      </c>
      <c r="AF60" s="236" cm="1">
        <f t="array" ref="AF60">_xlfn.LET(
  _xlpm.an, CalibrationCoefficients[[#This Row],[Analyte]],
  _xlpm.Acol, SensorLab[Analyte],
  _xlpm.SIDs, SensorLab[Sample_ID],
  _xlpm.labsAll,   SensorLab[Labs_Result],
  _xlpm.finalsAll, SensorLab[Predicted_Base],
  _xlpm.baseMask, (_xlpm.Acol=_xlpm.an) * ISNUMBER(_xlpm.labsAll) * ISNUMBER(_xlpm.finalsAll) * (_xlpm.labsAll&lt;&gt;0) * (_xlpm.finalsAll&lt;&gt;0),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_xlpm.labs,   IFERROR(_xlfn._xlws.FILTER(_xlpm.labsAll,   _xlpm.rowsMask), _xlfn.SEQUENCE(0)),
  _xlpm.finals, IFERROR(_xlfn._xlws.FILTER(_xlpm.finalsAll, _xlpm.rowsMask), _xlfn.SEQUENCE(0)),
  _xlpm.residuals, _xlpm.labs - _xlpm.finals,
  IF(COUNT(_xlpm.residuals)&lt;2, NA(), _xlfn.STDEV.P(_xlpm.residuals))
)</f>
        <v>1.1028206189033886E-3</v>
      </c>
      <c r="AG60" s="236" cm="1">
        <f t="array" ref="AG60">_xlfn.LET(
  _xlpm.an, CalibrationCoefficients[[#This Row],[Analyte]],
  _xlpm.Acol, SensorLab[Analyte],
  _xlpm.SIDs, SensorLab[Sample_ID],
  _xlpm.labsAll,   SensorLab[Labs_Result],
  _xlpm.finalsAll, SensorLab[Predicted_Base],
  _xlpm.baseMask, (_xlpm.Acol=_xlpm.an) * ISNUMBER(_xlpm.labsAll) * ISNUMBER(_xlpm.finalsAll) * (_xlpm.labsAll&lt;&gt;0) * (_xlpm.finalsAll&lt;&gt;0),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_xlpm.labs,   IFERROR(_xlfn._xlws.FILTER(_xlpm.labsAll,   _xlpm.rowsMask), _xlfn.SEQUENCE(0)),
  _xlpm.finals, IFERROR(_xlfn._xlws.FILTER(_xlpm.finalsAll, _xlpm.rowsMask), _xlfn.SEQUENCE(0)),
  _xlpm.residuals, _xlpm.labs - _xlpm.finals,
  _xlpm.relErrors, IF(_xlpm.labs&lt;&gt;0, ABS(_xlpm.residuals)/_xlpm.labs, NA()),
  IF(COUNT(_xlpm.relErrors)&lt;1, NA(), AVERAGE(IFERROR(_xlpm.relErrors, NA())))
)</f>
        <v>5.0056892432353227E-4</v>
      </c>
      <c r="AH60" s="236" cm="1">
        <f t="array" ref="AH60">_xlfn.LET(
  _xlpm.an, CalibrationCoefficients[[#This Row],[Analyte]],
  _xlpm.Acol, SensorLab[Analyte],
  _xlpm.SIDs, SensorLab[Sample_ID],
  _xlpm.rawsAll,   SensorLab[Raw_Factored],
  _xlpm.finalsAll, SensorLab[Final_Results],
  _xlpm.baseMask, (_xlpm.Acol=_xlpm.an) * ISNUMBER(_xlpm.rawsAll) * ISNUMBER(_xlpm.finalsAll) * (_xlpm.rawsAll&lt;&gt;0) * (_xlpm.finalsAll&lt;&gt;0),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_xlpm.rawsFactored, IFERROR(_xlfn._xlws.FILTER(_xlpm.rawsAll,   _xlpm.rowsMask), _xlfn.SEQUENCE(0)),
  _xlpm.finals,       IFERROR(_xlfn._xlws.FILTER(_xlpm.finalsAll, _xlpm.rowsMask), _xlfn.SEQUENCE(0)),
  _xlpm.slope,     _xlfn.XLOOKUP(_xlpm.an, CalibrationCoefficients[Analyte], CalibrationCoefficients[Slope]),
  _xlpm.intercept, _xlfn.XLOOKUP(_xlpm.an, CalibrationCoefficients[Analyte], CalibrationCoefficients[Intercept]),
  _xlpm.fitResiduals, _xlpm.finals - (_xlpm.rawsFactored*_xlpm.slope + _xlpm.intercept),
  IF(COUNT(_xlpm.fitResiduals)&lt;2, NA(), ROUND(_xlfn.STDEV.P(_xlpm.fitResiduals),2))
)</f>
        <v>0</v>
      </c>
      <c r="AI60" s="236" cm="1">
        <f t="array" ref="AI60">_xlfn.LET(
  _xlpm.an, CalibrationCoefficients[[#This Row],[Analyte]],
  _xlpm.Acol, SensorLab[Analyte],
  _xlpm.SIDs, SensorLab[Sample_ID],
  _xlpm.rawsAll,   SensorLab[Raw_Factored],
  _xlpm.finalsAll, SensorLab[Final_Results],
  _xlpm.baseMask, (_xlpm.Acol=_xlpm.an) * ISNUMBER(_xlpm.rawsAll) * ISNUMBER(_xlpm.finalsAll) * (_xlpm.rawsAll&lt;&gt;0) * (_xlpm.finalsAll&lt;&gt;0),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_xlpm.rawsFactored, IFERROR(_xlfn._xlws.FILTER(_xlpm.rawsAll,   _xlpm.rowsMask), _xlfn.SEQUENCE(0)),
  _xlpm.finals,       IFERROR(_xlfn._xlws.FILTER(_xlpm.finalsAll, _xlpm.rowsMask), _xlfn.SEQUENCE(0)),
  _xlpm.slope,     _xlfn.XLOOKUP(_xlpm.an, CalibrationCoefficients[Analyte], CalibrationCoefficients[Slope]),
  _xlpm.intercept, _xlfn.XLOOKUP(_xlpm.an, CalibrationCoefficients[Analyte], CalibrationCoefficients[Intercept]),
  _xlpm.residAbs, ABS(_xlpm.finals - (_xlpm.rawsFactored*_xlpm.slope + _xlpm.intercept)),
  IF(COUNT(_xlpm.residAbs)&lt;2, NA(), ROUND(_xlfn.PERCENTILE.INC(_xlpm.residAbs,0.95),2))
)</f>
        <v>0</v>
      </c>
      <c r="AJ60" s="5" cm="1">
        <f t="array" ref="AJ60">MEDIAN(IF(SensorLab[Analyte]=CalibrationCoefficients[[#This Row],[Analyte]], SensorLab[Residual_Value]))</f>
        <v>-4.0999999999999999E-4</v>
      </c>
      <c r="AK60" s="5"/>
      <c r="AL60" s="5"/>
      <c r="AM60" s="5"/>
      <c r="AN60" s="5"/>
      <c r="AO60" s="5"/>
      <c r="AP60" s="5"/>
      <c r="AQ60" s="5"/>
      <c r="AR60" s="5"/>
      <c r="AS60" s="5"/>
      <c r="AT60" s="5"/>
      <c r="AU60" s="5"/>
      <c r="AV60" s="5"/>
      <c r="AW60" s="5"/>
    </row>
    <row r="61" spans="2:49" x14ac:dyDescent="0.15">
      <c r="B61" s="21" t="s">
        <v>40</v>
      </c>
      <c r="C61" s="22" cm="1">
        <f t="array" ref="C61" xml:space="preserve"> _xlfn.XLOOKUP(
    1,
    (SensorLab[Sample_ID]=$C$54) * (SensorLab[Analyte]=B61),
    SensorLab[Raw_Value]
)</f>
        <v>5</v>
      </c>
      <c r="D61" s="208">
        <f>_xlfn.LET(
  _xlpm.analyte, B61,
  _xlpm.raw, C61,
  _xlpm.scaleF, IFERROR(
    _xlfn.XLOOKUP(_xlpm.analyte, ScaleFactors[Analyte], ScaleFactors[ScaleFactor]),
    1
  ),
  IF(AND(_xlpm.analyte&lt;&gt;"", ISNUMBER(_xlpm.raw)), _xlpm.raw * _xlpm.scaleF, "NA")
)</f>
        <v>5</v>
      </c>
      <c r="E61" s="27" t="s">
        <v>92</v>
      </c>
      <c r="F61" s="50"/>
      <c r="J61" s="190" t="s">
        <v>206</v>
      </c>
      <c r="K61" s="191" t="s">
        <v>45</v>
      </c>
      <c r="L61" s="208">
        <v>1.2099999999999999E-3</v>
      </c>
      <c r="M61" s="237">
        <f>_xlfn.LET(
  _xlpm.analyte, SensorLab[[#This Row],[Analyte]],
  _xlpm.raw, N(SensorLab[[#This Row],[Raw_Value]]),
  _xlpm.scaleF, IFERROR(
    _xlfn.XLOOKUP(_xlpm.analyte, CalibrationCoefficients[Analyte], CalibrationCoefficients[ScaleFactor]),
    1
  ),
  IF(AND(_xlpm.analyte&lt;&gt;"", ISNUMBER(_xlpm.raw)), _xlpm.raw * _xlpm.scaleF, "NA")
)</f>
        <v>1.2099999999999999E-3</v>
      </c>
      <c r="N61" s="194"/>
      <c r="O61" s="41"/>
      <c r="P61" s="41">
        <v>0.6</v>
      </c>
      <c r="Q61" s="208" cm="1">
        <f t="array" ref="Q61">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0.6</v>
      </c>
      <c r="R61" s="237" cm="1">
        <f t="array" ref="R6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0.65856999999999999</v>
      </c>
      <c r="S61" s="238" cm="1">
        <f t="array" ref="S6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0.65447</v>
      </c>
      <c r="T61" s="238" cm="1">
        <f t="array" ref="T6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-5.4469999999999998E-2</v>
      </c>
      <c r="U61" s="41" t="str" cm="1">
        <f t="array" ref="U6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-0.05447)</v>
      </c>
      <c r="V61" s="22"/>
      <c r="Y61" s="4" t="s">
        <v>45</v>
      </c>
      <c r="Z61" s="93">
        <v>1</v>
      </c>
      <c r="AA61" s="5" cm="1">
        <f t="array" ref="AA61">_xlfn.LET(
  _xlpm.an, CalibrationCoefficients[[#This Row],[Analyte]],
  _xlpm.Acol, SensorLab[Analyte],
  _xlpm.SIDs, SensorLab[Sample_ID],
  _xlpm.Xcol, SensorLab[Raw_Factored],
  _xlpm.Ycol, SensorLab[Labs_Result],
  _xlpm.baseMask, (_xlpm.Acol=_xlpm.an) * ISNUMBER(_xlpm.Xcol) * ISNUMBER(_xlpm.Ycol) * (_xlpm.Xcol&lt;&gt;0) * (_xlpm.Ycol&lt;&gt;0),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_xlpm.xArr, IFERROR(_xlfn._xlws.FILTER(_xlpm.Xcol, _xlpm.rowsMask), _xlfn.SEQUENCE(0)),
  _xlpm.yArr, IFERROR(_xlfn._xlws.FILTER(_xlpm.Ycol, _xlpm.rowsMask), _xlfn.SEQUENCE(0)),
  _xlpm.n, MIN(COUNT(_xlpm.xArr), COUNT(_xlpm.yArr)),
  IF(_xlpm.n&lt;2, NA(),
     INDEX(LINEST(_xlpm.yArr, _xlpm.xArr, TRUE, TRUE),1,1)
  )
)</f>
        <v>100.2772606124412</v>
      </c>
      <c r="AB61" s="5" cm="1">
        <f t="array" ref="AB61">_xlfn.LET(
  _xlpm.an, CalibrationCoefficients[[#This Row],[Analyte]],
  _xlpm.Acol, SensorLab[Analyte],
  _xlpm.SIDs, SensorLab[Sample_ID],
  _xlpm.Xcol, SensorLab[Raw_Factored],
  _xlpm.Ycol, SensorLab[Labs_Result],
  _xlpm.baseMask, (_xlpm.Acol=_xlpm.an) * ISNUMBER(_xlpm.Xcol) * ISNUMBER(_xlpm.Ycol) * (_xlpm.Xcol&lt;&gt;0) * (_xlpm.Ycol&lt;&gt;0),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_xlpm.xArr, IFERROR(_xlfn._xlws.FILTER(_xlpm.Xcol, _xlpm.rowsMask), _xlfn.SEQUENCE(0)),
  _xlpm.yArr, IFERROR(_xlfn._xlws.FILTER(_xlpm.Ycol, _xlpm.rowsMask), _xlfn.SEQUENCE(0)),
  _xlpm.n, MIN(COUNT(_xlpm.xArr), COUNT(_xlpm.yArr)),
  IF(_xlpm.n&lt;2, NA(),
     INDEX(LINEST(_xlpm.yArr, _xlpm.xArr, TRUE, TRUE),1,2)
  )
)</f>
        <v>0.50639877757663043</v>
      </c>
      <c r="AC61" s="5" cm="1">
        <f t="array" ref="AC61">_xlfn.LET(
  _xlpm.an, CalibrationCoefficients[[#This Row],[Analyte]],
  _xlpm.Acol, SensorLab[Analyte],
  _xlpm.SIDs, SensorLab[Sample_ID],
  _xlpm.Ycol, SensorLab[Labs_Result],
  _xlpm.Pcol, SensorLab[Predicted_Base],
  _xlpm.baseMask, (_xlpm.Acol=_xlpm.an) * ISNUMBER(_xlpm.Ycol) * ISNUMBER(_xlpm.Pcol) * (N(_xlpm.Ycol)&lt;&gt;0) * (N(_xlpm.Pcol)&lt;&gt;0),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_xlpm.yArr, IFERROR(N(_xlfn._xlws.FILTER(_xlpm.Ycol, _xlpm.rowsMask)), _xlfn.SEQUENCE(0)),
  _xlpm.pArr, IFERROR(N(_xlfn._xlws.FILTER(_xlpm.Pcol, _xlpm.rowsMask)), _xlfn.SEQUENCE(0)),
  _xlpm.cnt, MIN(COUNT(_xlpm.yArr), COUNT(_xlpm.pArr)),
  _xlpm.residuals, IF(_xlpm.cnt&gt;0, _xlpm.yArr - _xlpm.pArr, _xlfn.SEQUENCE(0)),
  _xlpm.offset, IF(_xlpm.cnt&gt;0, IFERROR(MEDIAN(_xlpm.residuals), NA()), NA()),
  _xlpm.offset
)</f>
        <v>-5.8570000000000011E-2</v>
      </c>
      <c r="AD61" s="5" t="s">
        <v>66</v>
      </c>
      <c r="AE61" s="5" cm="1">
        <f t="array" ref="AE61">_xlfn.LET(
  _xlpm.a, CalibrationCoefficients[[#This Row],[Analyte]],
  _xlpm.Acol, SensorLab[Analyte],
  _xlpm.labT, _xlfn._xlws.FILTER(SensorLab[Tarnab_Lab],   _xlpm.Acol=_xlpm.a),
  _xlpm.labB, _xlfn._xlws.FILTER(SensorLab[Bari_Lab],    _xlpm.Acol=_xlpm.a),
  _xlpm.labM, _xlfn._xlws.FILTER(SensorLab[ManuChar_Lab], _xlpm.Acol=_xlpm.a),
  _xlpm.predRaw, _xlfn._xlws.FILTER(SensorLab[Raw_Factored], _xlpm.Acol=_xlpm.a),
  _xlpm.predConv, _xlfn._xlws.FILTER(SensorLab[Labs_Result], _xlpm.Acol=_xlpm.a),
  _xlpm.validMask, (ISNUMBER(_xlpm.predRaw)) * (ISNUMBER(_xlpm.predConv)) * (_xlpm.predRaw&lt;&gt;0) * (_xlpm.predConv&lt;&gt;0),
  _xlpm.cntT, IFERROR(COUNTA(_xlfn._xlws.FILTER(_xlpm.labT, (_xlpm.validMask) * (_xlpm.labT&lt;&gt;""))),0),
  _xlpm.cntB, IFERROR(COUNTA(_xlfn._xlws.FILTER(_xlpm.labB, (_xlpm.validMask) * (_xlpm.labB&lt;&gt;""))),0),
  _xlpm.cntM, IFERROR(COUNTA(_xlfn._xlws.FILTER(_xlpm.labM, (_xlpm.validMask) * (_xlpm.labM&lt;&gt;""))),0),
  _xlpm.cntT + _xlpm.cntB + _xlpm.cntM
)</f>
        <v>46</v>
      </c>
      <c r="AF61" s="236" cm="1">
        <f t="array" ref="AF61">_xlfn.LET(
  _xlpm.an, CalibrationCoefficients[[#This Row],[Analyte]],
  _xlpm.Acol, SensorLab[Analyte],
  _xlpm.SIDs, SensorLab[Sample_ID],
  _xlpm.labsAll,   SensorLab[Labs_Result],
  _xlpm.finalsAll, SensorLab[Predicted_Base],
  _xlpm.baseMask, (_xlpm.Acol=_xlpm.an) * ISNUMBER(_xlpm.labsAll) * ISNUMBER(_xlpm.finalsAll) * (_xlpm.labsAll&lt;&gt;0) * (_xlpm.finalsAll&lt;&gt;0),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_xlpm.labs,   IFERROR(_xlfn._xlws.FILTER(_xlpm.labsAll,   _xlpm.rowsMask), _xlfn.SEQUENCE(0)),
  _xlpm.finals, IFERROR(_xlfn._xlws.FILTER(_xlpm.finalsAll, _xlpm.rowsMask), _xlfn.SEQUENCE(0)),
  _xlpm.residuals, _xlpm.labs - _xlpm.finals,
  IF(COUNT(_xlpm.residuals)&lt;2, NA(), _xlfn.STDEV.P(_xlpm.residuals))
)</f>
        <v>0.26162267915052345</v>
      </c>
      <c r="AG61" s="236" cm="1">
        <f t="array" ref="AG61">_xlfn.LET(
  _xlpm.an, CalibrationCoefficients[[#This Row],[Analyte]],
  _xlpm.Acol, SensorLab[Analyte],
  _xlpm.SIDs, SensorLab[Sample_ID],
  _xlpm.labsAll,   SensorLab[Labs_Result],
  _xlpm.finalsAll, SensorLab[Predicted_Base],
  _xlpm.baseMask, (_xlpm.Acol=_xlpm.an) * ISNUMBER(_xlpm.labsAll) * ISNUMBER(_xlpm.finalsAll) * (_xlpm.labsAll&lt;&gt;0) * (_xlpm.finalsAll&lt;&gt;0),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_xlpm.labs,   IFERROR(_xlfn._xlws.FILTER(_xlpm.labsAll,   _xlpm.rowsMask), _xlfn.SEQUENCE(0)),
  _xlpm.finals, IFERROR(_xlfn._xlws.FILTER(_xlpm.finalsAll, _xlpm.rowsMask), _xlfn.SEQUENCE(0)),
  _xlpm.residuals, _xlpm.labs - _xlpm.finals,
  _xlpm.relErrors, IF(_xlpm.labs&lt;&gt;0, ABS(_xlpm.residuals)/_xlpm.labs, NA()),
  IF(COUNT(_xlpm.relErrors)&lt;1, NA(), AVERAGE(IFERROR(_xlpm.relErrors, NA())))
)</f>
        <v>0.43939315487111796</v>
      </c>
      <c r="AH61" s="236" cm="1">
        <f t="array" ref="AH61">_xlfn.LET(
  _xlpm.an, CalibrationCoefficients[[#This Row],[Analyte]],
  _xlpm.Acol, SensorLab[Analyte],
  _xlpm.SIDs, SensorLab[Sample_ID],
  _xlpm.rawsAll,   SensorLab[Raw_Factored],
  _xlpm.finalsAll, SensorLab[Final_Results],
  _xlpm.baseMask, (_xlpm.Acol=_xlpm.an) * ISNUMBER(_xlpm.rawsAll) * ISNUMBER(_xlpm.finalsAll) * (_xlpm.rawsAll&lt;&gt;0) * (_xlpm.finalsAll&lt;&gt;0),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_xlpm.rawsFactored, IFERROR(_xlfn._xlws.FILTER(_xlpm.rawsAll,   _xlpm.rowsMask), _xlfn.SEQUENCE(0)),
  _xlpm.finals,       IFERROR(_xlfn._xlws.FILTER(_xlpm.finalsAll, _xlpm.rowsMask), _xlfn.SEQUENCE(0)),
  _xlpm.slope,     _xlfn.XLOOKUP(_xlpm.an, CalibrationCoefficients[Analyte], CalibrationCoefficients[Slope]),
  _xlpm.intercept, _xlfn.XLOOKUP(_xlpm.an, CalibrationCoefficients[Analyte], CalibrationCoefficients[Intercept]),
  _xlpm.fitResiduals, _xlpm.finals - (_xlpm.rawsFactored*_xlpm.slope + _xlpm.intercept),
  IF(COUNT(_xlpm.fitResiduals)&lt;2, NA(), ROUND(_xlfn.STDEV.P(_xlpm.fitResiduals),2))
)</f>
        <v>1.84</v>
      </c>
      <c r="AI61" s="236" cm="1">
        <f t="array" ref="AI61">_xlfn.LET(
  _xlpm.an, CalibrationCoefficients[[#This Row],[Analyte]],
  _xlpm.Acol, SensorLab[Analyte],
  _xlpm.SIDs, SensorLab[Sample_ID],
  _xlpm.rawsAll,   SensorLab[Raw_Factored],
  _xlpm.finalsAll, SensorLab[Final_Results],
  _xlpm.baseMask, (_xlpm.Acol=_xlpm.an) * ISNUMBER(_xlpm.rawsAll) * ISNUMBER(_xlpm.finalsAll) * (_xlpm.rawsAll&lt;&gt;0) * (_xlpm.finalsAll&lt;&gt;0),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_xlpm.rawsFactored, IFERROR(_xlfn._xlws.FILTER(_xlpm.rawsAll,   _xlpm.rowsMask), _xlfn.SEQUENCE(0)),
  _xlpm.finals,       IFERROR(_xlfn._xlws.FILTER(_xlpm.finalsAll, _xlpm.rowsMask), _xlfn.SEQUENCE(0)),
  _xlpm.slope,     _xlfn.XLOOKUP(_xlpm.an, CalibrationCoefficients[Analyte], CalibrationCoefficients[Slope]),
  _xlpm.intercept, _xlfn.XLOOKUP(_xlpm.an, CalibrationCoefficients[Analyte], CalibrationCoefficients[Intercept]),
  _xlpm.residAbs, ABS(_xlpm.finals - (_xlpm.rawsFactored*_xlpm.slope + _xlpm.intercept)),
  IF(COUNT(_xlpm.residAbs)&lt;2, NA(), ROUND(_xlfn.PERCENTILE.INC(_xlpm.residAbs,0.95),2))
)</f>
        <v>2.33</v>
      </c>
      <c r="AJ61" s="5" cm="1">
        <f t="array" ref="AJ61">MEDIAN(IF(SensorLab[Analyte]=CalibrationCoefficients[[#This Row],[Analyte]], SensorLab[Residual_Value]))</f>
        <v>-0.14351</v>
      </c>
      <c r="AK61" s="5"/>
      <c r="AL61" s="5"/>
      <c r="AM61" s="5"/>
      <c r="AN61" s="5"/>
      <c r="AO61" s="5"/>
      <c r="AP61" s="5"/>
      <c r="AQ61" s="5"/>
      <c r="AR61" s="5"/>
      <c r="AS61" s="5"/>
      <c r="AT61" s="5"/>
      <c r="AU61" s="5"/>
      <c r="AV61" s="5"/>
      <c r="AW61" s="5"/>
    </row>
    <row r="62" spans="2:49" x14ac:dyDescent="0.15">
      <c r="B62" s="21" t="s">
        <v>41</v>
      </c>
      <c r="C62" s="22" cm="1">
        <f t="array" ref="C62" xml:space="preserve"> _xlfn.XLOOKUP(
    1,
    (SensorLab[Sample_ID]=$C$54) * (SensorLab[Analyte]=B62),
    SensorLab[Raw_Value]
)</f>
        <v>0</v>
      </c>
      <c r="D62" s="208">
        <f>_xlfn.LET(
  _xlpm.analyte, B62,
  _xlpm.raw, C62,
  _xlpm.scaleF, IFERROR(
    _xlfn.XLOOKUP(_xlpm.analyte, ScaleFactors[Analyte], ScaleFactors[ScaleFactor]),
    1
  ),
  IF(AND(_xlpm.analyte&lt;&gt;"", ISNUMBER(_xlpm.raw)), _xlpm.raw * _xlpm.scaleF, "NA")
)</f>
        <v>0</v>
      </c>
      <c r="E62" s="27" t="s">
        <v>92</v>
      </c>
      <c r="F62" s="50"/>
      <c r="J62" s="190" t="s">
        <v>206</v>
      </c>
      <c r="K62" s="127" t="s">
        <v>0</v>
      </c>
      <c r="L62" s="208">
        <v>50.59</v>
      </c>
      <c r="M62" s="237">
        <f>_xlfn.LET(
  _xlpm.analyte, SensorLab[[#This Row],[Analyte]],
  _xlpm.raw, N(SensorLab[[#This Row],[Raw_Value]]),
  _xlpm.scaleF, IFERROR(
    _xlfn.XLOOKUP(_xlpm.analyte, CalibrationCoefficients[Analyte], CalibrationCoefficients[ScaleFactor]),
    1
  ),
  IF(AND(_xlpm.analyte&lt;&gt;"", ISNUMBER(_xlpm.raw)), _xlpm.raw * _xlpm.scaleF, "NA")
)</f>
        <v>50.59</v>
      </c>
      <c r="N62" s="41"/>
      <c r="O62" s="41"/>
      <c r="P62" s="41">
        <v>52</v>
      </c>
      <c r="Q62" s="208" cm="1">
        <f t="array" ref="Q6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52</v>
      </c>
      <c r="R62" s="237" cm="1">
        <f t="array" ref="R6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52</v>
      </c>
      <c r="S62" s="238" cm="1">
        <f t="array" ref="S6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52</v>
      </c>
      <c r="T62" s="238" cm="1">
        <f t="array" ref="T6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62" s="41" t="str" cm="1">
        <f t="array" ref="U6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62" s="22"/>
      <c r="Y62" s="4" t="s">
        <v>0</v>
      </c>
      <c r="Z62" s="93">
        <v>1</v>
      </c>
      <c r="AA62" s="5" cm="1">
        <f t="array" ref="AA62">_xlfn.LET(
  _xlpm.an, CalibrationCoefficients[[#This Row],[Analyte]],
  _xlpm.Acol, SensorLab[Analyte],
  _xlpm.SIDs, SensorLab[Sample_ID],
  _xlpm.Xcol, SensorLab[Raw_Factored],
  _xlpm.Ycol, SensorLab[Labs_Result],
  _xlpm.baseMask, (_xlpm.Acol=_xlpm.an) * ISNUMBER(_xlpm.Xcol) * ISNUMBER(_xlpm.Ycol) * (_xlpm.Xcol&lt;&gt;0) * (_xlpm.Ycol&lt;&gt;0),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_xlpm.xArr, IFERROR(_xlfn._xlws.FILTER(_xlpm.Xcol, _xlpm.rowsMask), _xlfn.SEQUENCE(0)),
  _xlpm.yArr, IFERROR(_xlfn._xlws.FILTER(_xlpm.Ycol, _xlpm.rowsMask), _xlfn.SEQUENCE(0)),
  _xlpm.n, MIN(COUNT(_xlpm.xArr), COUNT(_xlpm.yArr)),
  IF(_xlpm.n&lt;2, NA(),
     INDEX(LINEST(_xlpm.yArr, _xlpm.xArr, TRUE, TRUE),1,1)
  )
)</f>
        <v>-0.19200147868951811</v>
      </c>
      <c r="AB62" s="5" cm="1">
        <f t="array" ref="AB62">_xlfn.LET(
  _xlpm.an, CalibrationCoefficients[[#This Row],[Analyte]],
  _xlpm.Acol, SensorLab[Analyte],
  _xlpm.SIDs, SensorLab[Sample_ID],
  _xlpm.Xcol, SensorLab[Raw_Factored],
  _xlpm.Ycol, SensorLab[Labs_Result],
  _xlpm.baseMask, (_xlpm.Acol=_xlpm.an) * ISNUMBER(_xlpm.Xcol) * ISNUMBER(_xlpm.Ycol) * (_xlpm.Xcol&lt;&gt;0) * (_xlpm.Ycol&lt;&gt;0),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_xlpm.xArr, IFERROR(_xlfn._xlws.FILTER(_xlpm.Xcol, _xlpm.rowsMask), _xlfn.SEQUENCE(0)),
  _xlpm.yArr, IFERROR(_xlfn._xlws.FILTER(_xlpm.Ycol, _xlpm.rowsMask), _xlfn.SEQUENCE(0)),
  _xlpm.n, MIN(COUNT(_xlpm.xArr), COUNT(_xlpm.yArr)),
  IF(_xlpm.n&lt;2, NA(),
     INDEX(LINEST(_xlpm.yArr, _xlpm.xArr, TRUE, TRUE),1,2)
  )
)</f>
        <v>44.127555391919337</v>
      </c>
      <c r="AC62" s="5" cm="1">
        <f t="array" ref="AC62">_xlfn.LET(
  _xlpm.an, CalibrationCoefficients[[#This Row],[Analyte]],
  _xlpm.Acol, SensorLab[Analyte],
  _xlpm.SIDs, SensorLab[Sample_ID],
  _xlpm.Ycol, SensorLab[Labs_Result],
  _xlpm.Pcol, SensorLab[Predicted_Base],
  _xlpm.baseMask, (_xlpm.Acol=_xlpm.an) * ISNUMBER(_xlpm.Ycol) * ISNUMBER(_xlpm.Pcol) * (N(_xlpm.Ycol)&lt;&gt;0) * (N(_xlpm.Pcol)&lt;&gt;0),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_xlpm.yArr, IFERROR(N(_xlfn._xlws.FILTER(_xlpm.Ycol, _xlpm.rowsMask)), _xlfn.SEQUENCE(0)),
  _xlpm.pArr, IFERROR(N(_xlfn._xlws.FILTER(_xlpm.Pcol, _xlpm.rowsMask)), _xlfn.SEQUENCE(0)),
  _xlpm.cnt, MIN(COUNT(_xlpm.yArr), COUNT(_xlpm.pArr)),
  _xlpm.residuals, IF(_xlpm.cnt&gt;0, _xlpm.yArr - _xlpm.pArr, _xlfn.SEQUENCE(0)),
  _xlpm.offset, IF(_xlpm.cnt&gt;0, IFERROR(MEDIAN(_xlpm.residuals), NA()), NA()),
  _xlpm.offset
)</f>
        <v>0</v>
      </c>
      <c r="AD62" s="5" t="s">
        <v>66</v>
      </c>
      <c r="AE62" s="5" cm="1">
        <f t="array" ref="AE62">_xlfn.LET(
  _xlpm.a, CalibrationCoefficients[[#This Row],[Analyte]],
  _xlpm.Acol, SensorLab[Analyte],
  _xlpm.labT, _xlfn._xlws.FILTER(SensorLab[Tarnab_Lab],   _xlpm.Acol=_xlpm.a),
  _xlpm.labB, _xlfn._xlws.FILTER(SensorLab[Bari_Lab],    _xlpm.Acol=_xlpm.a),
  _xlpm.labM, _xlfn._xlws.FILTER(SensorLab[ManuChar_Lab], _xlpm.Acol=_xlpm.a),
  _xlpm.predRaw, _xlfn._xlws.FILTER(SensorLab[Raw_Factored], _xlpm.Acol=_xlpm.a),
  _xlpm.predConv, _xlfn._xlws.FILTER(SensorLab[Labs_Result], _xlpm.Acol=_xlpm.a),
  _xlpm.validMask, (ISNUMBER(_xlpm.predRaw)) * (ISNUMBER(_xlpm.predConv)) * (_xlpm.predRaw&lt;&gt;0) * (_xlpm.predConv&lt;&gt;0),
  _xlpm.cntT, IFERROR(COUNTA(_xlfn._xlws.FILTER(_xlpm.labT, (_xlpm.validMask) * (_xlpm.labT&lt;&gt;""))),0),
  _xlpm.cntB, IFERROR(COUNTA(_xlfn._xlws.FILTER(_xlpm.labB, (_xlpm.validMask) * (_xlpm.labB&lt;&gt;""))),0),
  _xlpm.cntM, IFERROR(COUNTA(_xlfn._xlws.FILTER(_xlpm.labM, (_xlpm.validMask) * (_xlpm.labM&lt;&gt;""))),0),
  _xlpm.cntT + _xlpm.cntB + _xlpm.cntM
)</f>
        <v>46</v>
      </c>
      <c r="AF62" s="236" cm="1">
        <f t="array" ref="AF62">_xlfn.LET(
  _xlpm.an, CalibrationCoefficients[[#This Row],[Analyte]],
  _xlpm.Acol, SensorLab[Analyte],
  _xlpm.SIDs, SensorLab[Sample_ID],
  _xlpm.labsAll,   SensorLab[Labs_Result],
  _xlpm.finalsAll, SensorLab[Predicted_Base],
  _xlpm.baseMask, (_xlpm.Acol=_xlpm.an) * ISNUMBER(_xlpm.labsAll) * ISNUMBER(_xlpm.finalsAll) * (_xlpm.labsAll&lt;&gt;0) * (_xlpm.finalsAll&lt;&gt;0),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_xlpm.labs,   IFERROR(_xlfn._xlws.FILTER(_xlpm.labsAll,   _xlpm.rowsMask), _xlfn.SEQUENCE(0)),
  _xlpm.finals, IFERROR(_xlfn._xlws.FILTER(_xlpm.finalsAll, _xlpm.rowsMask), _xlfn.SEQUENCE(0)),
  _xlpm.residuals, _xlpm.labs - _xlpm.finals,
  IF(COUNT(_xlpm.residuals)&lt;2, NA(), _xlfn.STDEV.P(_xlpm.residuals))
)</f>
        <v>0</v>
      </c>
      <c r="AG62" s="236" cm="1">
        <f t="array" ref="AG62">_xlfn.LET(
  _xlpm.an, CalibrationCoefficients[[#This Row],[Analyte]],
  _xlpm.Acol, SensorLab[Analyte],
  _xlpm.SIDs, SensorLab[Sample_ID],
  _xlpm.labsAll,   SensorLab[Labs_Result],
  _xlpm.finalsAll, SensorLab[Predicted_Base],
  _xlpm.baseMask, (_xlpm.Acol=_xlpm.an) * ISNUMBER(_xlpm.labsAll) * ISNUMBER(_xlpm.finalsAll) * (_xlpm.labsAll&lt;&gt;0) * (_xlpm.finalsAll&lt;&gt;0),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_xlpm.labs,   IFERROR(_xlfn._xlws.FILTER(_xlpm.labsAll,   _xlpm.rowsMask), _xlfn.SEQUENCE(0)),
  _xlpm.finals, IFERROR(_xlfn._xlws.FILTER(_xlpm.finalsAll, _xlpm.rowsMask), _xlfn.SEQUENCE(0)),
  _xlpm.residuals, _xlpm.labs - _xlpm.finals,
  _xlpm.relErrors, IF(_xlpm.labs&lt;&gt;0, ABS(_xlpm.residuals)/_xlpm.labs, NA()),
  IF(COUNT(_xlpm.relErrors)&lt;1, NA(), AVERAGE(IFERROR(_xlpm.relErrors, NA())))
)</f>
        <v>0</v>
      </c>
      <c r="AH62" s="236" cm="1">
        <f t="array" ref="AH62">_xlfn.LET(
  _xlpm.an, CalibrationCoefficients[[#This Row],[Analyte]],
  _xlpm.Acol, SensorLab[Analyte],
  _xlpm.SIDs, SensorLab[Sample_ID],
  _xlpm.rawsAll,   SensorLab[Raw_Factored],
  _xlpm.finalsAll, SensorLab[Final_Results],
  _xlpm.baseMask, (_xlpm.Acol=_xlpm.an) * ISNUMBER(_xlpm.rawsAll) * ISNUMBER(_xlpm.finalsAll) * (_xlpm.rawsAll&lt;&gt;0) * (_xlpm.finalsAll&lt;&gt;0),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_xlpm.rawsFactored, IFERROR(_xlfn._xlws.FILTER(_xlpm.rawsAll,   _xlpm.rowsMask), _xlfn.SEQUENCE(0)),
  _xlpm.finals,       IFERROR(_xlfn._xlws.FILTER(_xlpm.finalsAll, _xlpm.rowsMask), _xlfn.SEQUENCE(0)),
  _xlpm.slope,     _xlfn.XLOOKUP(_xlpm.an, CalibrationCoefficients[Analyte], CalibrationCoefficients[Slope]),
  _xlpm.intercept, _xlfn.XLOOKUP(_xlpm.an, CalibrationCoefficients[Analyte], CalibrationCoefficients[Intercept]),
  _xlpm.fitResiduals, _xlpm.finals - (_xlpm.rawsFactored*_xlpm.slope + _xlpm.intercept),
  IF(COUNT(_xlpm.fitResiduals)&lt;2, NA(), ROUND(_xlfn.STDEV.P(_xlpm.fitResiduals),2))
)</f>
        <v>19.55</v>
      </c>
      <c r="AI62" s="236" cm="1">
        <f t="array" ref="AI62">_xlfn.LET(
  _xlpm.an, CalibrationCoefficients[[#This Row],[Analyte]],
  _xlpm.Acol, SensorLab[Analyte],
  _xlpm.SIDs, SensorLab[Sample_ID],
  _xlpm.rawsAll,   SensorLab[Raw_Factored],
  _xlpm.finalsAll, SensorLab[Final_Results],
  _xlpm.baseMask, (_xlpm.Acol=_xlpm.an) * ISNUMBER(_xlpm.rawsAll) * ISNUMBER(_xlpm.finalsAll) * (_xlpm.rawsAll&lt;&gt;0) * (_xlpm.finalsAll&lt;&gt;0),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_xlpm.rawsFactored, IFERROR(_xlfn._xlws.FILTER(_xlpm.rawsAll,   _xlpm.rowsMask), _xlfn.SEQUENCE(0)),
  _xlpm.finals,       IFERROR(_xlfn._xlws.FILTER(_xlpm.finalsAll, _xlpm.rowsMask), _xlfn.SEQUENCE(0)),
  _xlpm.slope,     _xlfn.XLOOKUP(_xlpm.an, CalibrationCoefficients[Analyte], CalibrationCoefficients[Slope]),
  _xlpm.intercept, _xlfn.XLOOKUP(_xlpm.an, CalibrationCoefficients[Analyte], CalibrationCoefficients[Intercept]),
  _xlpm.residAbs, ABS(_xlpm.finals - (_xlpm.rawsFactored*_xlpm.slope + _xlpm.intercept)),
  IF(COUNT(_xlpm.residAbs)&lt;2, NA(), ROUND(_xlfn.PERCENTILE.INC(_xlpm.residAbs,0.95),2))
)</f>
        <v>29.77</v>
      </c>
      <c r="AJ62" s="5" cm="1">
        <f t="array" ref="AJ62">MEDIAN(IF(SensorLab[Analyte]=CalibrationCoefficients[[#This Row],[Analyte]], SensorLab[Residual_Value]))</f>
        <v>0</v>
      </c>
      <c r="AK62" s="5"/>
      <c r="AL62" s="5"/>
      <c r="AM62" s="5"/>
      <c r="AN62" s="5"/>
      <c r="AO62" s="5"/>
      <c r="AP62" s="5"/>
      <c r="AQ62" s="5"/>
      <c r="AR62" s="5"/>
      <c r="AS62" s="5"/>
      <c r="AT62" s="5"/>
      <c r="AU62" s="5"/>
      <c r="AV62" s="5"/>
      <c r="AW62" s="5"/>
    </row>
    <row r="63" spans="2:49" x14ac:dyDescent="0.15">
      <c r="B63" s="39"/>
      <c r="C63" s="221"/>
      <c r="E63" s="40"/>
      <c r="F63" s="50"/>
      <c r="J63" s="190" t="s">
        <v>206</v>
      </c>
      <c r="K63" s="127" t="s">
        <v>5</v>
      </c>
      <c r="L63" s="208">
        <v>34.19</v>
      </c>
      <c r="M63" s="237">
        <f>_xlfn.LET(
  _xlpm.analyte, SensorLab[[#This Row],[Analyte]],
  _xlpm.raw, N(SensorLab[[#This Row],[Raw_Value]]),
  _xlpm.scaleF, IFERROR(
    _xlfn.XLOOKUP(_xlpm.analyte, CalibrationCoefficients[Analyte], CalibrationCoefficients[ScaleFactor]),
    1
  ),
  IF(AND(_xlpm.analyte&lt;&gt;"", ISNUMBER(_xlpm.raw)), _xlpm.raw * _xlpm.scaleF, "NA")
)</f>
        <v>34.19</v>
      </c>
      <c r="N63" s="41"/>
      <c r="O63" s="41"/>
      <c r="P63" s="41">
        <v>33</v>
      </c>
      <c r="Q63" s="208" cm="1">
        <f t="array" ref="Q63">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33</v>
      </c>
      <c r="R63" s="237" cm="1">
        <f t="array" ref="R6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33</v>
      </c>
      <c r="S63" s="238" cm="1">
        <f t="array" ref="S6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33</v>
      </c>
      <c r="T63" s="238" cm="1">
        <f t="array" ref="T6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63" s="41" t="str" cm="1">
        <f t="array" ref="U6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63" s="22"/>
      <c r="Y63" s="4" t="s">
        <v>5</v>
      </c>
      <c r="Z63" s="93">
        <v>1</v>
      </c>
      <c r="AA63" s="5" cm="1">
        <f t="array" ref="AA63">_xlfn.LET(
  _xlpm.an, CalibrationCoefficients[[#This Row],[Analyte]],
  _xlpm.Acol, SensorLab[Analyte],
  _xlpm.SIDs, SensorLab[Sample_ID],
  _xlpm.Xcol, SensorLab[Raw_Factored],
  _xlpm.Ycol, SensorLab[Labs_Result],
  _xlpm.baseMask, (_xlpm.Acol=_xlpm.an) * ISNUMBER(_xlpm.Xcol) * ISNUMBER(_xlpm.Ycol) * (_xlpm.Xcol&lt;&gt;0) * (_xlpm.Ycol&lt;&gt;0),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_xlpm.xArr, IFERROR(_xlfn._xlws.FILTER(_xlpm.Xcol, _xlpm.rowsMask), _xlfn.SEQUENCE(0)),
  _xlpm.yArr, IFERROR(_xlfn._xlws.FILTER(_xlpm.Ycol, _xlpm.rowsMask), _xlfn.SEQUENCE(0)),
  _xlpm.n, MIN(COUNT(_xlpm.xArr), COUNT(_xlpm.yArr)),
  IF(_xlpm.n&lt;2, NA(),
     INDEX(LINEST(_xlpm.yArr, _xlpm.xArr, TRUE, TRUE),1,1)
  )
)</f>
        <v>-0.19932560537724128</v>
      </c>
      <c r="AB63" s="5" cm="1">
        <f t="array" ref="AB63">_xlfn.LET(
  _xlpm.an, CalibrationCoefficients[[#This Row],[Analyte]],
  _xlpm.Acol, SensorLab[Analyte],
  _xlpm.SIDs, SensorLab[Sample_ID],
  _xlpm.Xcol, SensorLab[Raw_Factored],
  _xlpm.Ycol, SensorLab[Labs_Result],
  _xlpm.baseMask, (_xlpm.Acol=_xlpm.an) * ISNUMBER(_xlpm.Xcol) * ISNUMBER(_xlpm.Ycol) * (_xlpm.Xcol&lt;&gt;0) * (_xlpm.Ycol&lt;&gt;0),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_xlpm.xArr, IFERROR(_xlfn._xlws.FILTER(_xlpm.Xcol, _xlpm.rowsMask), _xlfn.SEQUENCE(0)),
  _xlpm.yArr, IFERROR(_xlfn._xlws.FILTER(_xlpm.Ycol, _xlpm.rowsMask), _xlfn.SEQUENCE(0)),
  _xlpm.n, MIN(COUNT(_xlpm.xArr), COUNT(_xlpm.yArr)),
  IF(_xlpm.n&lt;2, NA(),
     INDEX(LINEST(_xlpm.yArr, _xlpm.xArr, TRUE, TRUE),1,2)
  )
)</f>
        <v>55.906634936243499</v>
      </c>
      <c r="AC63" s="5" cm="1">
        <f t="array" ref="AC63">_xlfn.LET(
  _xlpm.an, CalibrationCoefficients[[#This Row],[Analyte]],
  _xlpm.Acol, SensorLab[Analyte],
  _xlpm.SIDs, SensorLab[Sample_ID],
  _xlpm.Ycol, SensorLab[Labs_Result],
  _xlpm.Pcol, SensorLab[Predicted_Base],
  _xlpm.baseMask, (_xlpm.Acol=_xlpm.an) * ISNUMBER(_xlpm.Ycol) * ISNUMBER(_xlpm.Pcol) * (N(_xlpm.Ycol)&lt;&gt;0) * (N(_xlpm.Pcol)&lt;&gt;0),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_xlpm.yArr, IFERROR(N(_xlfn._xlws.FILTER(_xlpm.Ycol, _xlpm.rowsMask)), _xlfn.SEQUENCE(0)),
  _xlpm.pArr, IFERROR(N(_xlfn._xlws.FILTER(_xlpm.Pcol, _xlpm.rowsMask)), _xlfn.SEQUENCE(0)),
  _xlpm.cnt, MIN(COUNT(_xlpm.yArr), COUNT(_xlpm.pArr)),
  _xlpm.residuals, IF(_xlpm.cnt&gt;0, _xlpm.yArr - _xlpm.pArr, _xlfn.SEQUENCE(0)),
  _xlpm.offset, IF(_xlpm.cnt&gt;0, IFERROR(MEDIAN(_xlpm.residuals), NA()), NA()),
  _xlpm.offset
)</f>
        <v>0</v>
      </c>
      <c r="AD63" s="5" t="s">
        <v>66</v>
      </c>
      <c r="AE63" s="5" cm="1">
        <f t="array" ref="AE63">_xlfn.LET(
  _xlpm.a, CalibrationCoefficients[[#This Row],[Analyte]],
  _xlpm.Acol, SensorLab[Analyte],
  _xlpm.labT, _xlfn._xlws.FILTER(SensorLab[Tarnab_Lab],   _xlpm.Acol=_xlpm.a),
  _xlpm.labB, _xlfn._xlws.FILTER(SensorLab[Bari_Lab],    _xlpm.Acol=_xlpm.a),
  _xlpm.labM, _xlfn._xlws.FILTER(SensorLab[ManuChar_Lab], _xlpm.Acol=_xlpm.a),
  _xlpm.predRaw, _xlfn._xlws.FILTER(SensorLab[Raw_Factored], _xlpm.Acol=_xlpm.a),
  _xlpm.predConv, _xlfn._xlws.FILTER(SensorLab[Labs_Result], _xlpm.Acol=_xlpm.a),
  _xlpm.validMask, (ISNUMBER(_xlpm.predRaw)) * (ISNUMBER(_xlpm.predConv)) * (_xlpm.predRaw&lt;&gt;0) * (_xlpm.predConv&lt;&gt;0),
  _xlpm.cntT, IFERROR(COUNTA(_xlfn._xlws.FILTER(_xlpm.labT, (_xlpm.validMask) * (_xlpm.labT&lt;&gt;""))),0),
  _xlpm.cntB, IFERROR(COUNTA(_xlfn._xlws.FILTER(_xlpm.labB, (_xlpm.validMask) * (_xlpm.labB&lt;&gt;""))),0),
  _xlpm.cntM, IFERROR(COUNTA(_xlfn._xlws.FILTER(_xlpm.labM, (_xlpm.validMask) * (_xlpm.labM&lt;&gt;""))),0),
  _xlpm.cntT + _xlpm.cntB + _xlpm.cntM
)</f>
        <v>46</v>
      </c>
      <c r="AF63" s="236" cm="1">
        <f t="array" ref="AF63">_xlfn.LET(
  _xlpm.an, CalibrationCoefficients[[#This Row],[Analyte]],
  _xlpm.Acol, SensorLab[Analyte],
  _xlpm.SIDs, SensorLab[Sample_ID],
  _xlpm.labsAll,   SensorLab[Labs_Result],
  _xlpm.finalsAll, SensorLab[Predicted_Base],
  _xlpm.baseMask, (_xlpm.Acol=_xlpm.an) * ISNUMBER(_xlpm.labsAll) * ISNUMBER(_xlpm.finalsAll) * (_xlpm.labsAll&lt;&gt;0) * (_xlpm.finalsAll&lt;&gt;0),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_xlpm.labs,   IFERROR(_xlfn._xlws.FILTER(_xlpm.labsAll,   _xlpm.rowsMask), _xlfn.SEQUENCE(0)),
  _xlpm.finals, IFERROR(_xlfn._xlws.FILTER(_xlpm.finalsAll, _xlpm.rowsMask), _xlfn.SEQUENCE(0)),
  _xlpm.residuals, _xlpm.labs - _xlpm.finals,
  IF(COUNT(_xlpm.residuals)&lt;2, NA(), _xlfn.STDEV.P(_xlpm.residuals))
)</f>
        <v>0</v>
      </c>
      <c r="AG63" s="236" cm="1">
        <f t="array" ref="AG63">_xlfn.LET(
  _xlpm.an, CalibrationCoefficients[[#This Row],[Analyte]],
  _xlpm.Acol, SensorLab[Analyte],
  _xlpm.SIDs, SensorLab[Sample_ID],
  _xlpm.labsAll,   SensorLab[Labs_Result],
  _xlpm.finalsAll, SensorLab[Predicted_Base],
  _xlpm.baseMask, (_xlpm.Acol=_xlpm.an) * ISNUMBER(_xlpm.labsAll) * ISNUMBER(_xlpm.finalsAll) * (_xlpm.labsAll&lt;&gt;0) * (_xlpm.finalsAll&lt;&gt;0),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_xlpm.labs,   IFERROR(_xlfn._xlws.FILTER(_xlpm.labsAll,   _xlpm.rowsMask), _xlfn.SEQUENCE(0)),
  _xlpm.finals, IFERROR(_xlfn._xlws.FILTER(_xlpm.finalsAll, _xlpm.rowsMask), _xlfn.SEQUENCE(0)),
  _xlpm.residuals, _xlpm.labs - _xlpm.finals,
  _xlpm.relErrors, IF(_xlpm.labs&lt;&gt;0, ABS(_xlpm.residuals)/_xlpm.labs, NA()),
  IF(COUNT(_xlpm.relErrors)&lt;1, NA(), AVERAGE(IFERROR(_xlpm.relErrors, NA())))
)</f>
        <v>0</v>
      </c>
      <c r="AH63" s="236" cm="1">
        <f t="array" ref="AH63">_xlfn.LET(
  _xlpm.an, CalibrationCoefficients[[#This Row],[Analyte]],
  _xlpm.Acol, SensorLab[Analyte],
  _xlpm.SIDs, SensorLab[Sample_ID],
  _xlpm.rawsAll,   SensorLab[Raw_Factored],
  _xlpm.finalsAll, SensorLab[Final_Results],
  _xlpm.baseMask, (_xlpm.Acol=_xlpm.an) * ISNUMBER(_xlpm.rawsAll) * ISNUMBER(_xlpm.finalsAll) * (_xlpm.rawsAll&lt;&gt;0) * (_xlpm.finalsAll&lt;&gt;0),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_xlpm.rawsFactored, IFERROR(_xlfn._xlws.FILTER(_xlpm.rawsAll,   _xlpm.rowsMask), _xlfn.SEQUENCE(0)),
  _xlpm.finals,       IFERROR(_xlfn._xlws.FILTER(_xlpm.finalsAll, _xlpm.rowsMask), _xlfn.SEQUENCE(0)),
  _xlpm.slope,     _xlfn.XLOOKUP(_xlpm.an, CalibrationCoefficients[Analyte], CalibrationCoefficients[Slope]),
  _xlpm.intercept, _xlfn.XLOOKUP(_xlpm.an, CalibrationCoefficients[Analyte], CalibrationCoefficients[Intercept]),
  _xlpm.fitResiduals, _xlpm.finals - (_xlpm.rawsFactored*_xlpm.slope + _xlpm.intercept),
  IF(COUNT(_xlpm.fitResiduals)&lt;2, NA(), ROUND(_xlfn.STDEV.P(_xlpm.fitResiduals),2))
)</f>
        <v>17.3</v>
      </c>
      <c r="AI63" s="236" cm="1">
        <f t="array" ref="AI63">_xlfn.LET(
  _xlpm.an, CalibrationCoefficients[[#This Row],[Analyte]],
  _xlpm.Acol, SensorLab[Analyte],
  _xlpm.SIDs, SensorLab[Sample_ID],
  _xlpm.rawsAll,   SensorLab[Raw_Factored],
  _xlpm.finalsAll, SensorLab[Final_Results],
  _xlpm.baseMask, (_xlpm.Acol=_xlpm.an) * ISNUMBER(_xlpm.rawsAll) * ISNUMBER(_xlpm.finalsAll) * (_xlpm.rawsAll&lt;&gt;0) * (_xlpm.finalsAll&lt;&gt;0),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_xlpm.rawsFactored, IFERROR(_xlfn._xlws.FILTER(_xlpm.rawsAll,   _xlpm.rowsMask), _xlfn.SEQUENCE(0)),
  _xlpm.finals,       IFERROR(_xlfn._xlws.FILTER(_xlpm.finalsAll, _xlpm.rowsMask), _xlfn.SEQUENCE(0)),
  _xlpm.slope,     _xlfn.XLOOKUP(_xlpm.an, CalibrationCoefficients[Analyte], CalibrationCoefficients[Slope]),
  _xlpm.intercept, _xlfn.XLOOKUP(_xlpm.an, CalibrationCoefficients[Analyte], CalibrationCoefficients[Intercept]),
  _xlpm.residAbs, ABS(_xlpm.finals - (_xlpm.rawsFactored*_xlpm.slope + _xlpm.intercept)),
  IF(COUNT(_xlpm.residAbs)&lt;2, NA(), ROUND(_xlfn.PERCENTILE.INC(_xlpm.residAbs,0.95),2))
)</f>
        <v>27.35</v>
      </c>
      <c r="AJ63" s="5" cm="1">
        <f t="array" ref="AJ63">MEDIAN(IF(SensorLab[Analyte]=CalibrationCoefficients[[#This Row],[Analyte]], SensorLab[Residual_Value]))</f>
        <v>0</v>
      </c>
      <c r="AK63" s="5"/>
      <c r="AL63" s="5"/>
      <c r="AM63" s="5"/>
      <c r="AN63" s="5"/>
      <c r="AO63" s="5"/>
      <c r="AP63" s="5"/>
      <c r="AQ63" s="5"/>
      <c r="AR63" s="5"/>
      <c r="AS63" s="5"/>
      <c r="AT63" s="5"/>
      <c r="AU63" s="5"/>
      <c r="AV63" s="5"/>
      <c r="AW63" s="5"/>
    </row>
    <row r="64" spans="2:49" x14ac:dyDescent="0.15">
      <c r="B64" s="23" t="s">
        <v>166</v>
      </c>
      <c r="C64" s="4" t="s">
        <v>66</v>
      </c>
      <c r="D64" s="257"/>
      <c r="E64" s="82"/>
      <c r="J64" s="190" t="s">
        <v>206</v>
      </c>
      <c r="K64" s="127" t="s">
        <v>6</v>
      </c>
      <c r="L64" s="208">
        <v>15.22</v>
      </c>
      <c r="M64" s="237">
        <f>_xlfn.LET(
  _xlpm.analyte, SensorLab[[#This Row],[Analyte]],
  _xlpm.raw, N(SensorLab[[#This Row],[Raw_Value]]),
  _xlpm.scaleF, IFERROR(
    _xlfn.XLOOKUP(_xlpm.analyte, CalibrationCoefficients[Analyte], CalibrationCoefficients[ScaleFactor]),
    1
  ),
  IF(AND(_xlpm.analyte&lt;&gt;"", ISNUMBER(_xlpm.raw)), _xlpm.raw * _xlpm.scaleF, "NA")
)</f>
        <v>15.22</v>
      </c>
      <c r="N64" s="41"/>
      <c r="O64" s="41"/>
      <c r="P64" s="41">
        <v>15</v>
      </c>
      <c r="Q64" s="208" cm="1">
        <f t="array" ref="Q6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15</v>
      </c>
      <c r="R64" s="237" cm="1">
        <f t="array" ref="R6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15</v>
      </c>
      <c r="S64" s="238" cm="1">
        <f t="array" ref="S6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15</v>
      </c>
      <c r="T64" s="238" cm="1">
        <f t="array" ref="T6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64" s="41" t="str" cm="1">
        <f t="array" ref="U6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64" s="22"/>
      <c r="Y64" s="4" t="s">
        <v>6</v>
      </c>
      <c r="Z64" s="93">
        <v>1</v>
      </c>
      <c r="AA64" s="5" cm="1">
        <f t="array" ref="AA64">_xlfn.LET(
  _xlpm.an, CalibrationCoefficients[[#This Row],[Analyte]],
  _xlpm.Acol, SensorLab[Analyte],
  _xlpm.SIDs, SensorLab[Sample_ID],
  _xlpm.Xcol, SensorLab[Raw_Factored],
  _xlpm.Ycol, SensorLab[Labs_Result],
  _xlpm.baseMask, (_xlpm.Acol=_xlpm.an) * ISNUMBER(_xlpm.Xcol) * ISNUMBER(_xlpm.Ycol) * (_xlpm.Xcol&lt;&gt;0) * (_xlpm.Ycol&lt;&gt;0),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_xlpm.xArr, IFERROR(_xlfn._xlws.FILTER(_xlpm.Xcol, _xlpm.rowsMask), _xlfn.SEQUENCE(0)),
  _xlpm.yArr, IFERROR(_xlfn._xlws.FILTER(_xlpm.Ycol, _xlpm.rowsMask), _xlfn.SEQUENCE(0)),
  _xlpm.n, MIN(COUNT(_xlpm.xArr), COUNT(_xlpm.yArr)),
  IF(_xlpm.n&lt;2, NA(),
     INDEX(LINEST(_xlpm.yArr, _xlpm.xArr, TRUE, TRUE),1,1)
  )
)</f>
        <v>-0.23644617179943714</v>
      </c>
      <c r="AB64" s="5" cm="1">
        <f t="array" ref="AB64">_xlfn.LET(
  _xlpm.an, CalibrationCoefficients[[#This Row],[Analyte]],
  _xlpm.Acol, SensorLab[Analyte],
  _xlpm.SIDs, SensorLab[Sample_ID],
  _xlpm.Xcol, SensorLab[Raw_Factored],
  _xlpm.Ycol, SensorLab[Labs_Result],
  _xlpm.baseMask, (_xlpm.Acol=_xlpm.an) * ISNUMBER(_xlpm.Xcol) * ISNUMBER(_xlpm.Ycol) * (_xlpm.Xcol&lt;&gt;0) * (_xlpm.Ycol&lt;&gt;0),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_xlpm.xArr, IFERROR(_xlfn._xlws.FILTER(_xlpm.Xcol, _xlpm.rowsMask), _xlfn.SEQUENCE(0)),
  _xlpm.yArr, IFERROR(_xlfn._xlws.FILTER(_xlpm.Ycol, _xlpm.rowsMask), _xlfn.SEQUENCE(0)),
  _xlpm.n, MIN(COUNT(_xlpm.xArr), COUNT(_xlpm.yArr)),
  IF(_xlpm.n&lt;2, NA(),
     INDEX(LINEST(_xlpm.yArr, _xlpm.xArr, TRUE, TRUE),1,2)
  )
)</f>
        <v>20.332968530588793</v>
      </c>
      <c r="AC64" s="5" cm="1">
        <f t="array" ref="AC64">_xlfn.LET(
  _xlpm.an, CalibrationCoefficients[[#This Row],[Analyte]],
  _xlpm.Acol, SensorLab[Analyte],
  _xlpm.SIDs, SensorLab[Sample_ID],
  _xlpm.Ycol, SensorLab[Labs_Result],
  _xlpm.Pcol, SensorLab[Predicted_Base],
  _xlpm.baseMask, (_xlpm.Acol=_xlpm.an) * ISNUMBER(_xlpm.Ycol) * ISNUMBER(_xlpm.Pcol) * (N(_xlpm.Ycol)&lt;&gt;0) * (N(_xlpm.Pcol)&lt;&gt;0),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_xlpm.yArr, IFERROR(N(_xlfn._xlws.FILTER(_xlpm.Ycol, _xlpm.rowsMask)), _xlfn.SEQUENCE(0)),
  _xlpm.pArr, IFERROR(N(_xlfn._xlws.FILTER(_xlpm.Pcol, _xlpm.rowsMask)), _xlfn.SEQUENCE(0)),
  _xlpm.cnt, MIN(COUNT(_xlpm.yArr), COUNT(_xlpm.pArr)),
  _xlpm.residuals, IF(_xlpm.cnt&gt;0, _xlpm.yArr - _xlpm.pArr, _xlfn.SEQUENCE(0)),
  _xlpm.offset, IF(_xlpm.cnt&gt;0, IFERROR(MEDIAN(_xlpm.residuals), NA()), NA()),
  _xlpm.offset
)</f>
        <v>0</v>
      </c>
      <c r="AD64" s="5" t="s">
        <v>66</v>
      </c>
      <c r="AE64" s="5" cm="1">
        <f t="array" ref="AE64">_xlfn.LET(
  _xlpm.a, CalibrationCoefficients[[#This Row],[Analyte]],
  _xlpm.Acol, SensorLab[Analyte],
  _xlpm.labT, _xlfn._xlws.FILTER(SensorLab[Tarnab_Lab],   _xlpm.Acol=_xlpm.a),
  _xlpm.labB, _xlfn._xlws.FILTER(SensorLab[Bari_Lab],    _xlpm.Acol=_xlpm.a),
  _xlpm.labM, _xlfn._xlws.FILTER(SensorLab[ManuChar_Lab], _xlpm.Acol=_xlpm.a),
  _xlpm.predRaw, _xlfn._xlws.FILTER(SensorLab[Raw_Factored], _xlpm.Acol=_xlpm.a),
  _xlpm.predConv, _xlfn._xlws.FILTER(SensorLab[Labs_Result], _xlpm.Acol=_xlpm.a),
  _xlpm.validMask, (ISNUMBER(_xlpm.predRaw)) * (ISNUMBER(_xlpm.predConv)) * (_xlpm.predRaw&lt;&gt;0) * (_xlpm.predConv&lt;&gt;0),
  _xlpm.cntT, IFERROR(COUNTA(_xlfn._xlws.FILTER(_xlpm.labT, (_xlpm.validMask) * (_xlpm.labT&lt;&gt;""))),0),
  _xlpm.cntB, IFERROR(COUNTA(_xlfn._xlws.FILTER(_xlpm.labB, (_xlpm.validMask) * (_xlpm.labB&lt;&gt;""))),0),
  _xlpm.cntM, IFERROR(COUNTA(_xlfn._xlws.FILTER(_xlpm.labM, (_xlpm.validMask) * (_xlpm.labM&lt;&gt;""))),0),
  _xlpm.cntT + _xlpm.cntB + _xlpm.cntM
)</f>
        <v>46</v>
      </c>
      <c r="AF64" s="236" cm="1">
        <f t="array" ref="AF64">_xlfn.LET(
  _xlpm.an, CalibrationCoefficients[[#This Row],[Analyte]],
  _xlpm.Acol, SensorLab[Analyte],
  _xlpm.SIDs, SensorLab[Sample_ID],
  _xlpm.labsAll,   SensorLab[Labs_Result],
  _xlpm.finalsAll, SensorLab[Predicted_Base],
  _xlpm.baseMask, (_xlpm.Acol=_xlpm.an) * ISNUMBER(_xlpm.labsAll) * ISNUMBER(_xlpm.finalsAll) * (_xlpm.labsAll&lt;&gt;0) * (_xlpm.finalsAll&lt;&gt;0),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_xlpm.labs,   IFERROR(_xlfn._xlws.FILTER(_xlpm.labsAll,   _xlpm.rowsMask), _xlfn.SEQUENCE(0)),
  _xlpm.finals, IFERROR(_xlfn._xlws.FILTER(_xlpm.finalsAll, _xlpm.rowsMask), _xlfn.SEQUENCE(0)),
  _xlpm.residuals, _xlpm.labs - _xlpm.finals,
  IF(COUNT(_xlpm.residuals)&lt;2, NA(), _xlfn.STDEV.P(_xlpm.residuals))
)</f>
        <v>0</v>
      </c>
      <c r="AG64" s="236" cm="1">
        <f t="array" ref="AG64">_xlfn.LET(
  _xlpm.an, CalibrationCoefficients[[#This Row],[Analyte]],
  _xlpm.Acol, SensorLab[Analyte],
  _xlpm.SIDs, SensorLab[Sample_ID],
  _xlpm.labsAll,   SensorLab[Labs_Result],
  _xlpm.finalsAll, SensorLab[Predicted_Base],
  _xlpm.baseMask, (_xlpm.Acol=_xlpm.an) * ISNUMBER(_xlpm.labsAll) * ISNUMBER(_xlpm.finalsAll) * (_xlpm.labsAll&lt;&gt;0) * (_xlpm.finalsAll&lt;&gt;0),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_xlpm.labs,   IFERROR(_xlfn._xlws.FILTER(_xlpm.labsAll,   _xlpm.rowsMask), _xlfn.SEQUENCE(0)),
  _xlpm.finals, IFERROR(_xlfn._xlws.FILTER(_xlpm.finalsAll, _xlpm.rowsMask), _xlfn.SEQUENCE(0)),
  _xlpm.residuals, _xlpm.labs - _xlpm.finals,
  _xlpm.relErrors, IF(_xlpm.labs&lt;&gt;0, ABS(_xlpm.residuals)/_xlpm.labs, NA()),
  IF(COUNT(_xlpm.relErrors)&lt;1, NA(), AVERAGE(IFERROR(_xlpm.relErrors, NA())))
)</f>
        <v>0</v>
      </c>
      <c r="AH64" s="236" cm="1">
        <f t="array" ref="AH64">_xlfn.LET(
  _xlpm.an, CalibrationCoefficients[[#This Row],[Analyte]],
  _xlpm.Acol, SensorLab[Analyte],
  _xlpm.SIDs, SensorLab[Sample_ID],
  _xlpm.rawsAll,   SensorLab[Raw_Factored],
  _xlpm.finalsAll, SensorLab[Final_Results],
  _xlpm.baseMask, (_xlpm.Acol=_xlpm.an) * ISNUMBER(_xlpm.rawsAll) * ISNUMBER(_xlpm.finalsAll) * (_xlpm.rawsAll&lt;&gt;0) * (_xlpm.finalsAll&lt;&gt;0),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_xlpm.rawsFactored, IFERROR(_xlfn._xlws.FILTER(_xlpm.rawsAll,   _xlpm.rowsMask), _xlfn.SEQUENCE(0)),
  _xlpm.finals,       IFERROR(_xlfn._xlws.FILTER(_xlpm.finalsAll, _xlpm.rowsMask), _xlfn.SEQUENCE(0)),
  _xlpm.slope,     _xlfn.XLOOKUP(_xlpm.an, CalibrationCoefficients[Analyte], CalibrationCoefficients[Slope]),
  _xlpm.intercept, _xlfn.XLOOKUP(_xlpm.an, CalibrationCoefficients[Analyte], CalibrationCoefficients[Intercept]),
  _xlpm.fitResiduals, _xlpm.finals - (_xlpm.rawsFactored*_xlpm.slope + _xlpm.intercept),
  IF(COUNT(_xlpm.fitResiduals)&lt;2, NA(), ROUND(_xlfn.STDEV.P(_xlpm.fitResiduals),2))
)</f>
        <v>4.6500000000000004</v>
      </c>
      <c r="AI64" s="236" cm="1">
        <f t="array" ref="AI64">_xlfn.LET(
  _xlpm.an, CalibrationCoefficients[[#This Row],[Analyte]],
  _xlpm.Acol, SensorLab[Analyte],
  _xlpm.SIDs, SensorLab[Sample_ID],
  _xlpm.rawsAll,   SensorLab[Raw_Factored],
  _xlpm.finalsAll, SensorLab[Final_Results],
  _xlpm.baseMask, (_xlpm.Acol=_xlpm.an) * ISNUMBER(_xlpm.rawsAll) * ISNUMBER(_xlpm.finalsAll) * (_xlpm.rawsAll&lt;&gt;0) * (_xlpm.finalsAll&lt;&gt;0),
  _xlpm.moistVals, _xlfn._xlws.FILTER(SensorLab[Raw_Factored], SensorLab[Analyte]="Moisture"),
  _xlpm.moistIDs,  _xlfn._xlws.FILTER(SensorLab[Sample_ID],   SensorLab[Analyte]="Moisture"),
  _xlpm.Nvals, _xlfn._xlws.FILTER(SensorLab[Raw_Factored], SensorLab[Analyte]="N"),
  _xlpm.Pvals, _xlfn._xlws.FILTER(SensorLab[Raw_Factored], SensorLab[Analyte]="P"),
  _xlpm.Kvals, _xlfn._xlws.FILTER(SensorLab[Raw_Factored], SensorLab[Analyte]="K"),
  _xlpm.validMask, (_xlpm.Kvals&gt;0),
  _xlpm.minValid, MIN(_xlfn._xlws.FILTER(_xlpm.moistVals, _xlpm.validMask)),
  _xlpm.maxInvalid, MAX(_xlfn._xlws.FILTER(_xlpm.moistVals, NOT(_xlpm.validMask))),
  _xlpm.moistThreshold, (_xlpm.minValid + _xlpm.maxInvalid)/2,
  _xlpm.moistFailIDs, IFERROR(_xlfn._xlws.FILTER(_xlpm.moistIDs, _xlpm.moistVals&lt;_xlpm.moistThreshold), {"none"}),
  _xlpm.failMask, IF(ISNUMBER(MATCH(_xlpm.SIDs, _xlpm.moistFailIDs,0)),1,0),
  _xlpm.rowsMask, _xlpm.baseMask * (_xlpm.failMask=0),
  _xlpm.rawsFactored, IFERROR(_xlfn._xlws.FILTER(_xlpm.rawsAll,   _xlpm.rowsMask), _xlfn.SEQUENCE(0)),
  _xlpm.finals,       IFERROR(_xlfn._xlws.FILTER(_xlpm.finalsAll, _xlpm.rowsMask), _xlfn.SEQUENCE(0)),
  _xlpm.slope,     _xlfn.XLOOKUP(_xlpm.an, CalibrationCoefficients[Analyte], CalibrationCoefficients[Slope]),
  _xlpm.intercept, _xlfn.XLOOKUP(_xlpm.an, CalibrationCoefficients[Analyte], CalibrationCoefficients[Intercept]),
  _xlpm.residAbs, ABS(_xlpm.finals - (_xlpm.rawsFactored*_xlpm.slope + _xlpm.intercept)),
  IF(COUNT(_xlpm.residAbs)&lt;2, NA(), ROUND(_xlfn.PERCENTILE.INC(_xlpm.residAbs,0.95),2))
)</f>
        <v>8.5500000000000007</v>
      </c>
      <c r="AJ64" s="5" cm="1">
        <f t="array" ref="AJ64">MEDIAN(IF(SensorLab[Analyte]=CalibrationCoefficients[[#This Row],[Analyte]], SensorLab[Residual_Value]))</f>
        <v>0</v>
      </c>
      <c r="AK64" s="5"/>
      <c r="AL64" s="5"/>
      <c r="AM64" s="5"/>
      <c r="AN64" s="5"/>
      <c r="AO64" s="5"/>
      <c r="AP64" s="5"/>
      <c r="AQ64" s="5"/>
      <c r="AR64" s="5"/>
      <c r="AS64" s="5"/>
      <c r="AT64" s="5"/>
      <c r="AU64" s="5"/>
      <c r="AV64" s="5"/>
      <c r="AW64" s="5"/>
    </row>
    <row r="65" spans="2:39" ht="11.25" thickBot="1" x14ac:dyDescent="0.2">
      <c r="B65" s="122" t="s">
        <v>0</v>
      </c>
      <c r="C65" s="153">
        <f>_xlfn.LET(
  _xlpm.full1, C82,
  _xlpm.full2, C83,
  _xlpm.blnName, C84,
  _xlpm.pri, TRIM(IFERROR(LEFT(_xlpm.full1, FIND(" (", _xlpm.full1)-1), _xlpm.full1)),
  _xlpm.sec, TRIM(IFERROR(LEFT(_xlpm.full2, FIND(" (", _xlpm.full2)-1), _xlpm.full2)),
  _xlpm.textures, USDAClass[Texture],
  _xlpm.sands, USDAClass[Sand (%)],
  _xlpm.silts, USDAClass[Silt (%)],
  _xlpm.clays, USDAClass[Clay (%)],
  _xlpm.sand1, _xlfn.IFNA(INDEX(_xlpm.sands, MATCH(_xlpm.pri, _xlpm.textures, 0)), 0),
  _xlpm.sand2, _xlfn.IFNA(INDEX(_xlpm.sands, MATCH(_xlpm.sec, _xlpm.textures, 0)), 0),
  _xlpm.statSand, _xlpm.sand1*D82 + _xlpm.sand2*D83,
  _xlpm.bSand, _xlfn.IFNA(INDEX(_xlpm.sands, MATCH(_xlpm.blnName, _xlpm.textures, 0)), 0),
  _xlpm.bSilt, _xlfn.IFNA(INDEX(_xlpm.silts, MATCH(_xlpm.blnName, _xlpm.textures, 0)), 0),
  _xlpm.bClay, _xlfn.IFNA(INDEX(_xlpm.clays, MATCH(_xlpm.blnName, _xlpm.textures, 0)), 0),
  _xlpm.bTotal, _xlpm.bSand + _xlpm.bSilt + _xlpm.bClay,
  _xlpm.bSandN, IF(_xlpm.bTotal=0, 0, _xlpm.bSand / _xlpm.bTotal * 100),
  _xlpm.wStat, 0.7,
  _xlpm.wBlend, 0.3,
  _xlpm.statSand*_xlpm.wStat + _xlpm.bSandN*_xlpm.wBlend
)</f>
        <v>84.641587504982994</v>
      </c>
      <c r="D65" s="127" t="s">
        <v>120</v>
      </c>
      <c r="E65" s="82" t="s">
        <v>118</v>
      </c>
      <c r="F65" s="5" cm="1">
        <f t="array" ref="F65" xml:space="preserve"> _xlfn.XLOOKUP(
    1,
    (SensorLab[Sample_ID]=$C$54) * (SensorLab[Analyte]=B65),
    SensorLab[Labs_Result]
)</f>
        <v>52</v>
      </c>
      <c r="G65" s="16"/>
      <c r="J65" s="192" t="s">
        <v>206</v>
      </c>
      <c r="K65" s="193" t="s">
        <v>69</v>
      </c>
      <c r="L65" s="255" t="str" cm="1">
        <f t="array" ref="L65">_xlfn.LET(
  _xlpm.bs,L62, _xlpm.si,L63, _xlpm.c,L64,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M65" s="256" t="str" cm="1">
        <f t="array" ref="M65">_xlfn.LET(
  _xlpm.bs,M62, _xlpm.si,M63, _xlpm.c,M64,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N65" s="245" t="str" cm="1">
        <f t="array" ref="N65">_xlfn.LET(
  _xlpm.bs,N62, _xlpm.si,N63, _xlpm.c,N64,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65" s="245" t="str" cm="1">
        <f t="array" ref="O65">_xlfn.LET(
  _xlpm.bs,O62, _xlpm.si,O63, _xlpm.c,O64,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P65" s="245" t="str" cm="1">
        <f t="array" ref="P65">_xlfn.LET(
  _xlpm.bs,P62, _xlpm.si,P63, _xlpm.c,P64,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Q65" s="255" t="str" cm="1">
        <f t="array" ref="Q65">_xlfn.LET(
  _xlpm.bs,Q62, _xlpm.si,Q63, _xlpm.c,Q64,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R65" s="256" t="str" cm="1">
        <f t="array" ref="R65">_xlfn.LET(
  _xlpm.bs,R62, _xlpm.si,R63, _xlpm.c,R64,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S65" s="256" t="str" cm="1">
        <f t="array" ref="S65">_xlfn.LET(
  _xlpm.bs,S62, _xlpm.si,S63, _xlpm.c,S64,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T65" s="240" cm="1">
        <f t="array" ref="T6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65" s="245" t="str" cm="1">
        <f t="array" ref="U6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(Texture match: Sandy Loam)</v>
      </c>
      <c r="V65" s="75"/>
      <c r="W65" s="4"/>
      <c r="X65" s="4"/>
    </row>
    <row r="66" spans="2:39" x14ac:dyDescent="0.15">
      <c r="B66" s="122" t="s">
        <v>5</v>
      </c>
      <c r="C66" s="153">
        <f>_xlfn.LET(
  _xlpm.full1, C82,
  _xlpm.full2, C83,
  _xlpm.blnName, C84,
  _xlpm.pri, TRIM(IFERROR(LEFT(_xlpm.full1, FIND(" (", _xlpm.full1)-1), _xlpm.full1)),
  _xlpm.sec, TRIM(IFERROR(LEFT(_xlpm.full2, FIND(" (", _xlpm.full2)-1), _xlpm.full2)),
  _xlpm.textures, USDAClass[Texture],
  _xlpm.sands, USDAClass[Sand (%)],
  _xlpm.silts, USDAClass[Silt (%)],
  _xlpm.clays, USDAClass[Clay (%)],
  _xlpm.silt1, _xlfn.IFNA(INDEX(_xlpm.silts, MATCH(_xlpm.pri, _xlpm.textures, 0)), 0),
  _xlpm.silt2, _xlfn.IFNA(INDEX(_xlpm.silts, MATCH(_xlpm.sec, _xlpm.textures, 0)), 0),
  _xlpm.statSilt, _xlpm.silt1*D82 + _xlpm.silt2*D83,
  _xlpm.bSand, _xlfn.IFNA(INDEX(_xlpm.sands, MATCH(_xlpm.blnName, _xlpm.textures, 0)), 0),
  _xlpm.bSilt, _xlfn.IFNA(INDEX(_xlpm.silts, MATCH(_xlpm.blnName, _xlpm.textures, 0)), 0),
  _xlpm.bClay, _xlfn.IFNA(INDEX(_xlpm.clays, MATCH(_xlpm.blnName, _xlpm.textures, 0)), 0),
  _xlpm.bTotal, _xlpm.bSand + _xlpm.bSilt + _xlpm.bClay,
  _xlpm.bSiltN, IF(_xlpm.bTotal=0, 0, _xlpm.bSilt / _xlpm.bTotal * 100),
  _xlpm.wStat, 0.7,
  _xlpm.wBlend, 0.3,
  _xlpm.statSilt*_xlpm.wStat + _xlpm.bSiltN*_xlpm.wBlend
)</f>
        <v>10.643364998006797</v>
      </c>
      <c r="E66" s="40"/>
      <c r="F66" s="5" cm="1">
        <f t="array" ref="F66" xml:space="preserve"> _xlfn.XLOOKUP(
    1,
    (SensorLab[Sample_ID]=$C$54) * (SensorLab[Analyte]=B66),
    SensorLab[Labs_Result]
)</f>
        <v>33</v>
      </c>
      <c r="G66" s="4"/>
      <c r="H66" s="154"/>
      <c r="I66" s="169"/>
      <c r="J66" s="190" t="s">
        <v>211</v>
      </c>
      <c r="K66" s="127" t="s">
        <v>39</v>
      </c>
      <c r="L66" s="208">
        <v>0</v>
      </c>
      <c r="M66"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66" s="194"/>
      <c r="O66" s="41"/>
      <c r="P66" s="41"/>
      <c r="Q66" s="208" t="str">
        <f>_xlfn.LET(
  _xlpm.tRaw, SensorLab[[#This Row],[Tarnab_Lab]],
  _xlpm.bRaw, SensorLab[[#This Row],[Bari_Lab]],
  _xlpm.mRaw, SensorLab[[#This Row],[ManuChar_Lab]],
  _xlpm.tIsNum, ISNUMBER(_xlpm.tRaw),
  _xlpm.bIsNum, ISNUMBER(_xlpm.bRaw),
  _xlpm.mIsNum, ISNUMBER(_xlpm.mRaw),
  _xlpm.t, IF(_xlpm.tIsNum, _xlpm.tRaw, ""),
  _xlpm.b, IF(_xlpm.bIsNum, _xlpm.bRaw, ""),
  _xlpm.m, IF(_xlpm.mIsNum, _xlpm.mRaw, ""),
  _xlpm.c, (--_xlpm.tIsNum) + (--_xlpm.bIsNum) + (--_xlpm.mIsNum),
  _xlpm.sumVals, IF(_xlpm.tIsNum, _xlpm.tRaw, 0) + IF(_xlpm.bIsNum, _xlpm.bRaw, 0) + IF(_xlpm.mIsNum, _xlpm.mRaw, 0),
  _xlpm.result,
    IF(_xlpm.c = 0, "",
      IF(_xlpm.c = 1,
         IF(_xlpm.tIsNum, _xlpm.t, IF(_xlpm.bIsNum, _xlpm.b, _xlpm.m)),
      IF(_xlpm.c = 2,
         _xlpm.sumVals / 2,
         MEDIAN(_xlpm.t, _xlpm.b, _xlpm.m)
      ))),
  _xlpm.result
)</f>
        <v/>
      </c>
      <c r="R66" s="239" cm="1">
        <f t="array" ref="R6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0.44663000000000003</v>
      </c>
      <c r="S66" s="241" cm="1">
        <f t="array" ref="S6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v>
      </c>
      <c r="T66" s="241" cm="1">
        <f t="array" ref="T6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-6</v>
      </c>
      <c r="U66" s="41" t="str" cm="1">
        <f t="array" ref="U6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0.44663 and 0.00000</v>
      </c>
      <c r="V66" s="22"/>
      <c r="X66" s="4"/>
      <c r="Y66" s="38"/>
      <c r="Z66" s="38"/>
      <c r="AA66" s="38"/>
      <c r="AB66" s="38"/>
      <c r="AC66" s="38"/>
      <c r="AD66" s="38"/>
      <c r="AE66" s="38"/>
      <c r="AG66" s="38"/>
      <c r="AH66" s="38"/>
      <c r="AI66" s="38"/>
      <c r="AJ66" s="38"/>
      <c r="AK66" s="38"/>
      <c r="AL66" s="251"/>
      <c r="AM66" s="16"/>
    </row>
    <row r="67" spans="2:39" x14ac:dyDescent="0.15">
      <c r="B67" s="122" t="s">
        <v>6</v>
      </c>
      <c r="C67" s="153">
        <f>_xlfn.LET(
  _xlpm.full1, C82,
  _xlpm.full2, C83,
  _xlpm.blnName, C84,
  _xlpm.pri, TRIM(IFERROR(LEFT(_xlpm.full1, FIND(" (", _xlpm.full1)-1), _xlpm.full1)),
  _xlpm.sec, TRIM(IFERROR(LEFT(_xlpm.full2, FIND(" (", _xlpm.full2)-1), _xlpm.full2)),
  _xlpm.textures, USDAClass[Texture],
  _xlpm.sands, USDAClass[Sand (%)],
  _xlpm.silts, USDAClass[Silt (%)],
  _xlpm.clays, USDAClass[Clay (%)],
  _xlpm.clay1, _xlfn.IFNA(INDEX(_xlpm.clays, MATCH(_xlpm.pri, _xlpm.textures, 0)), 0),
  _xlpm.clay2, _xlfn.IFNA(INDEX(_xlpm.clays, MATCH(_xlpm.sec, _xlpm.textures, 0)), 0),
  _xlpm.statClay, _xlpm.clay1*D82 + _xlpm.clay2*D83,
  _xlpm.bSand, _xlfn.IFNA(INDEX(_xlpm.sands, MATCH(_xlpm.blnName, _xlpm.textures, 0)), 0),
  _xlpm.bSilt, _xlfn.IFNA(INDEX(_xlpm.silts, MATCH(_xlpm.blnName, _xlpm.textures, 0)), 0),
  _xlpm.bClay, _xlfn.IFNA(INDEX(_xlpm.clays, MATCH(_xlpm.blnName, _xlpm.textures, 0)), 0),
  _xlpm.bTotal, _xlpm.bSand + _xlpm.bSilt + _xlpm.bClay,
  _xlpm.bClayN, IF(_xlpm.bTotal=0, 0, _xlpm.bClay / _xlpm.bTotal * 100),
  _xlpm.wStat, 0.7,
  _xlpm.wBlend, 0.3,
  _xlpm.statClay*_xlpm.wStat + _xlpm.bClayN*_xlpm.wBlend
)</f>
        <v>6.5716824990033986</v>
      </c>
      <c r="E67" s="40"/>
      <c r="F67" s="5" cm="1">
        <f t="array" ref="F67" xml:space="preserve"> _xlfn.XLOOKUP(
    1,
    (SensorLab[Sample_ID]=$C$54) * (SensorLab[Analyte]=B67),
    SensorLab[Labs_Result]
)</f>
        <v>15</v>
      </c>
      <c r="G67" s="4"/>
      <c r="H67" s="153"/>
      <c r="J67" s="190" t="s">
        <v>211</v>
      </c>
      <c r="K67" s="191" t="s">
        <v>40</v>
      </c>
      <c r="L67" s="208">
        <v>41</v>
      </c>
      <c r="M67" s="237">
        <f>_xlfn.LET(
  _xlpm.analyte, SensorLab[[#This Row],[Analyte]],
  _xlpm.raw, N(SensorLab[[#This Row],[Raw_Value]]),
  _xlpm.scaleF, IFERROR(
    _xlfn.XLOOKUP(_xlpm.analyte, CalibrationCoefficients[Analyte], CalibrationCoefficients[ScaleFactor]),
    1
  ),
  IF(AND(_xlpm.analyte&lt;&gt;"", ISNUMBER(_xlpm.raw)), _xlpm.raw * _xlpm.scaleF, "NA")
)</f>
        <v>41</v>
      </c>
      <c r="N67" s="194"/>
      <c r="O67" s="41"/>
      <c r="P67" s="41"/>
      <c r="Q67" s="208" t="str">
        <f>_xlfn.LET(
  _xlpm.tRaw, SensorLab[[#This Row],[Tarnab_Lab]],
  _xlpm.bRaw, SensorLab[[#This Row],[Bari_Lab]],
  _xlpm.mRaw, SensorLab[[#This Row],[ManuChar_Lab]],
  _xlpm.tIsNum, ISNUMBER(_xlpm.tRaw),
  _xlpm.bIsNum, ISNUMBER(_xlpm.bRaw),
  _xlpm.mIsNum, ISNUMBER(_xlpm.mRaw),
  _xlpm.t, IF(_xlpm.tIsNum, _xlpm.tRaw, ""),
  _xlpm.b, IF(_xlpm.bIsNum, _xlpm.bRaw, ""),
  _xlpm.m, IF(_xlpm.mIsNum, _xlpm.mRaw, ""),
  _xlpm.c, (--_xlpm.tIsNum) + (--_xlpm.bIsNum) + (--_xlpm.mIsNum),
  _xlpm.sumVals, IF(_xlpm.tIsNum, _xlpm.tRaw, 0) + IF(_xlpm.bIsNum, _xlpm.bRaw, 0) + IF(_xlpm.mIsNum, _xlpm.mRaw, 0),
  _xlpm.result,
    IF(_xlpm.c = 0, "",
      IF(_xlpm.c = 1,
         IF(_xlpm.tIsNum, _xlpm.t, IF(_xlpm.bIsNum, _xlpm.b, _xlpm.m)),
      IF(_xlpm.c = 2,
         _xlpm.sumVals / 2,
         MEDIAN(_xlpm.t, _xlpm.b, _xlpm.m)
      ))),
  _xlpm.result
)</f>
        <v/>
      </c>
      <c r="R67" s="237" cm="1">
        <f t="array" ref="R6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6.3398700000000003</v>
      </c>
      <c r="S67" s="238" cm="1">
        <f t="array" ref="S6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5.1498400000000002</v>
      </c>
      <c r="T67" s="238" cm="1">
        <f t="array" ref="T6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-5.1498400000000002</v>
      </c>
      <c r="U67" s="41" t="str" cm="1">
        <f t="array" ref="U6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6.26857 and 0.00000</v>
      </c>
      <c r="V67" s="213"/>
      <c r="W67" s="222"/>
      <c r="X67" s="16" t="s">
        <v>42</v>
      </c>
      <c r="Y67" s="16" cm="1">
        <f t="array" ref="Y67">_xlfn.LET(
  _xlpm.Acol, SensorLab[Analyte],
  _xlpm.Scol, SensorLab[Sample_ID],
  _xlpm.Mcol, SensorLab[Raw_Factored],
  _xlpm.moistVals, _xlfn._xlws.FILTER(_xlpm.Mcol, _xlpm.Acol="Moisture"),
  _xlpm.Nvals, _xlfn._xlws.FILTER(SensorLab[Raw_Factored], _xlpm.Acol="N"),
  _xlpm.Pvals, _xlfn._xlws.FILTER(SensorLab[Raw_Factored], _xlpm.Acol="P"),
  _xlpm.Kvals, _xlfn._xlws.FILTER(SensorLab[Raw_Factored], _xlpm.Acol="K"),
  _xlpm.validMask, (_xlpm.Kvals&gt;0),
  _xlpm.minValid, MIN(_xlfn._xlws.FILTER(_xlpm.moistVals, _xlpm.validMask)),
  _xlpm.maxInvalid, MAX(_xlfn._xlws.FILTER(_xlpm.moistVals, NOT(_xlpm.validMask))),
  _xlpm.threshold, (_xlpm.minValid + _xlpm.maxInvalid)/2,
  _xlpm.threshold
)</f>
        <v>20.3</v>
      </c>
      <c r="Z67" s="16"/>
      <c r="AA67" s="16"/>
      <c r="AB67" s="16"/>
      <c r="AC67" s="16"/>
      <c r="AD67" s="16"/>
      <c r="AE67" s="16"/>
      <c r="AF67" s="16"/>
      <c r="AG67" s="16"/>
      <c r="AH67" s="16"/>
      <c r="AI67" s="16"/>
      <c r="AJ67" s="16"/>
      <c r="AK67" s="16"/>
      <c r="AL67" s="250"/>
      <c r="AM67" s="16"/>
    </row>
    <row r="68" spans="2:39" x14ac:dyDescent="0.15">
      <c r="B68" s="39"/>
      <c r="C68" s="154">
        <f>SUM(C65:C67)</f>
        <v>101.8566350019932</v>
      </c>
      <c r="E68" s="40"/>
      <c r="F68" s="19">
        <f>SUM(F65:F67)</f>
        <v>100</v>
      </c>
      <c r="G68" s="4"/>
      <c r="H68" s="153"/>
      <c r="J68" s="190" t="s">
        <v>211</v>
      </c>
      <c r="K68" s="191" t="s">
        <v>41</v>
      </c>
      <c r="L68" s="208">
        <v>33</v>
      </c>
      <c r="M68" s="237">
        <f>_xlfn.LET(
  _xlpm.analyte, SensorLab[[#This Row],[Analyte]],
  _xlpm.raw, N(SensorLab[[#This Row],[Raw_Value]]),
  _xlpm.scaleF, IFERROR(
    _xlfn.XLOOKUP(_xlpm.analyte, CalibrationCoefficients[Analyte], CalibrationCoefficients[ScaleFactor]),
    1
  ),
  IF(AND(_xlpm.analyte&lt;&gt;"", ISNUMBER(_xlpm.raw)), _xlpm.raw * _xlpm.scaleF, "NA")
)</f>
        <v>33</v>
      </c>
      <c r="N68" s="194"/>
      <c r="O68" s="41"/>
      <c r="P68" s="41"/>
      <c r="Q68" s="208" t="str">
        <f>_xlfn.LET(
  _xlpm.tRaw, SensorLab[[#This Row],[Tarnab_Lab]],
  _xlpm.bRaw, SensorLab[[#This Row],[Bari_Lab]],
  _xlpm.mRaw, SensorLab[[#This Row],[ManuChar_Lab]],
  _xlpm.tIsNum, ISNUMBER(_xlpm.tRaw),
  _xlpm.bIsNum, ISNUMBER(_xlpm.bRaw),
  _xlpm.mIsNum, ISNUMBER(_xlpm.mRaw),
  _xlpm.t, IF(_xlpm.tIsNum, _xlpm.tRaw, ""),
  _xlpm.b, IF(_xlpm.bIsNum, _xlpm.bRaw, ""),
  _xlpm.m, IF(_xlpm.mIsNum, _xlpm.mRaw, ""),
  _xlpm.c, (--_xlpm.tIsNum) + (--_xlpm.bIsNum) + (--_xlpm.mIsNum),
  _xlpm.sumVals, IF(_xlpm.tIsNum, _xlpm.tRaw, 0) + IF(_xlpm.bIsNum, _xlpm.bRaw, 0) + IF(_xlpm.mIsNum, _xlpm.mRaw, 0),
  _xlpm.result,
    IF(_xlpm.c = 0, "",
      IF(_xlpm.c = 1,
         IF(_xlpm.tIsNum, _xlpm.t, IF(_xlpm.bIsNum, _xlpm.b, _xlpm.m)),
      IF(_xlpm.c = 2,
         _xlpm.sumVals / 2,
         MEDIAN(_xlpm.t, _xlpm.b, _xlpm.m)
      ))),
  _xlpm.result
)</f>
        <v/>
      </c>
      <c r="R68" s="237" cm="1">
        <f t="array" ref="R6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121.87224000000001</v>
      </c>
      <c r="S68" s="238" cm="1">
        <f t="array" ref="S6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108.17227</v>
      </c>
      <c r="T68" s="238" cm="1">
        <f t="array" ref="T6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-108.17227</v>
      </c>
      <c r="U68" s="41" t="str" cm="1">
        <f t="array" ref="U6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119.07453 and 0.00000</v>
      </c>
      <c r="V68" s="213"/>
      <c r="W68" s="226"/>
      <c r="X68" s="16" t="s">
        <v>311</v>
      </c>
      <c r="Y68" s="16" cm="1">
        <f t="array" ref="Y68">_xlfn.LET(
  _xlpm.Acol, SensorLab[Analyte],
  _xlpm.Scol, SensorLab[Sample_ID],
  _xlpm.Mcol, SensorLab[Raw_Factored],
  _xlpm.tempVals, _xlfn._xlws.FILTER(_xlpm.Mcol, _xlpm.Acol="SoilTemp"),
  _xlpm.Nvals, _xlfn._xlws.FILTER(SensorLab[Raw_Factored], _xlpm.Acol="N"),
  _xlpm.Pvals, _xlfn._xlws.FILTER(SensorLab[Raw_Factored], _xlpm.Acol="P"),
  _xlpm.Kvals, _xlfn._xlws.FILTER(SensorLab[Raw_Factored], _xlpm.Acol="K"),
  _xlpm.validMask, (_xlpm.Kvals&gt;0),
  _xlpm.minValid, MIN(_xlfn._xlws.FILTER(_xlpm.tempVals, _xlpm.validMask)),
  _xlpm.maxInvalid, MAX(_xlfn._xlws.FILTER(_xlpm.tempVals, NOT(_xlpm.validMask))),
  _xlpm.threshold, (_xlpm.minValid + _xlpm.maxInvalid)/2,
  _xlpm.threshold
)</f>
        <v>16.5</v>
      </c>
      <c r="Z68" s="209"/>
      <c r="AA68" s="209"/>
      <c r="AB68" s="209"/>
      <c r="AC68" s="209"/>
      <c r="AD68" s="212"/>
      <c r="AE68" s="4"/>
      <c r="AF68" s="209"/>
      <c r="AH68" s="209"/>
      <c r="AI68" s="209"/>
      <c r="AJ68" s="209"/>
      <c r="AK68" s="209"/>
      <c r="AL68" s="252"/>
    </row>
    <row r="69" spans="2:39" x14ac:dyDescent="0.15">
      <c r="B69" s="39"/>
      <c r="C69" s="221"/>
      <c r="E69" s="40"/>
      <c r="H69" s="153"/>
      <c r="J69" s="190" t="s">
        <v>211</v>
      </c>
      <c r="K69" s="127" t="s">
        <v>52</v>
      </c>
      <c r="L69" s="208">
        <v>174</v>
      </c>
      <c r="M69" s="237">
        <f>_xlfn.LET(
  _xlpm.analyte, SensorLab[[#This Row],[Analyte]],
  _xlpm.raw, N(SensorLab[[#This Row],[Raw_Value]]),
  _xlpm.scaleF, IFERROR(
    _xlfn.XLOOKUP(_xlpm.analyte, CalibrationCoefficients[Analyte], CalibrationCoefficients[ScaleFactor]),
    1
  ),
  IF(AND(_xlpm.analyte&lt;&gt;"", ISNUMBER(_xlpm.raw)), _xlpm.raw * _xlpm.scaleF, "NA")
)</f>
        <v>0.17400000000000002</v>
      </c>
      <c r="N69" s="194"/>
      <c r="O69" s="41"/>
      <c r="P69" s="41"/>
      <c r="Q69" s="208" t="str">
        <f>_xlfn.LET(
  _xlpm.tRaw, SensorLab[[#This Row],[Tarnab_Lab]],
  _xlpm.bRaw, SensorLab[[#This Row],[Bari_Lab]],
  _xlpm.mRaw, SensorLab[[#This Row],[ManuChar_Lab]],
  _xlpm.tIsNum, ISNUMBER(_xlpm.tRaw),
  _xlpm.bIsNum, ISNUMBER(_xlpm.bRaw),
  _xlpm.mIsNum, ISNUMBER(_xlpm.mRaw),
  _xlpm.t, IF(_xlpm.tIsNum, _xlpm.tRaw, ""),
  _xlpm.b, IF(_xlpm.bIsNum, _xlpm.bRaw, ""),
  _xlpm.m, IF(_xlpm.mIsNum, _xlpm.mRaw, ""),
  _xlpm.c, (--_xlpm.tIsNum) + (--_xlpm.bIsNum) + (--_xlpm.mIsNum),
  _xlpm.sumVals, IF(_xlpm.tIsNum, _xlpm.tRaw, 0) + IF(_xlpm.bIsNum, _xlpm.bRaw, 0) + IF(_xlpm.mIsNum, _xlpm.mRaw, 0),
  _xlpm.result,
    IF(_xlpm.c = 0, "",
      IF(_xlpm.c = 1,
         IF(_xlpm.tIsNum, _xlpm.t, IF(_xlpm.bIsNum, _xlpm.b, _xlpm.m)),
      IF(_xlpm.c = 2,
         _xlpm.sumVals / 2,
         MEDIAN(_xlpm.t, _xlpm.b, _xlpm.m)
      ))),
  _xlpm.result
)</f>
        <v/>
      </c>
      <c r="R69" s="237" cm="1">
        <f t="array" ref="R6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1.02976</v>
      </c>
      <c r="S69" s="238" cm="1">
        <f t="array" ref="S6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0.99753000000000003</v>
      </c>
      <c r="T69" s="238" cm="1">
        <f t="array" ref="T6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-0.99753000000000003</v>
      </c>
      <c r="U69" s="41" t="str" cm="1">
        <f t="array" ref="U6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1.01067 and 0.00000</v>
      </c>
      <c r="V69" s="213"/>
      <c r="W69" s="211"/>
      <c r="X69" s="4"/>
      <c r="Y69" s="4"/>
      <c r="Z69" s="209"/>
      <c r="AA69" s="209"/>
      <c r="AB69" s="209"/>
      <c r="AC69" s="209"/>
      <c r="AD69" s="212"/>
      <c r="AE69" s="4"/>
      <c r="AF69" s="209"/>
      <c r="AH69" s="209"/>
      <c r="AI69" s="209"/>
      <c r="AJ69" s="209"/>
      <c r="AK69" s="209"/>
      <c r="AL69" s="6"/>
      <c r="AM69" s="11"/>
    </row>
    <row r="70" spans="2:39" x14ac:dyDescent="0.15">
      <c r="B70" s="43"/>
      <c r="C70" s="4"/>
      <c r="D70" s="4"/>
      <c r="E70" s="28"/>
      <c r="F70" s="50"/>
      <c r="J70" s="190" t="s">
        <v>211</v>
      </c>
      <c r="K70" s="127" t="s">
        <v>34</v>
      </c>
      <c r="L70" s="208">
        <v>79</v>
      </c>
      <c r="M70" s="237">
        <f>_xlfn.LET(
  _xlpm.analyte, SensorLab[[#This Row],[Analyte]],
  _xlpm.raw, N(SensorLab[[#This Row],[Raw_Value]]),
  _xlpm.scaleF, IFERROR(
    _xlfn.XLOOKUP(_xlpm.analyte, CalibrationCoefficients[Analyte], CalibrationCoefficients[ScaleFactor]),
    1
  ),
  IF(AND(_xlpm.analyte&lt;&gt;"", ISNUMBER(_xlpm.raw)), _xlpm.raw * _xlpm.scaleF, "NA")
)</f>
        <v>7.9</v>
      </c>
      <c r="N70" s="194"/>
      <c r="O70" s="41"/>
      <c r="P70" s="41"/>
      <c r="Q70" s="208" t="str">
        <f>_xlfn.LET(
  _xlpm.tRaw, SensorLab[[#This Row],[Tarnab_Lab]],
  _xlpm.bRaw, SensorLab[[#This Row],[Bari_Lab]],
  _xlpm.mRaw, SensorLab[[#This Row],[ManuChar_Lab]],
  _xlpm.tIsNum, ISNUMBER(_xlpm.tRaw),
  _xlpm.bIsNum, ISNUMBER(_xlpm.bRaw),
  _xlpm.mIsNum, ISNUMBER(_xlpm.mRaw),
  _xlpm.t, IF(_xlpm.tIsNum, _xlpm.tRaw, ""),
  _xlpm.b, IF(_xlpm.bIsNum, _xlpm.bRaw, ""),
  _xlpm.m, IF(_xlpm.mIsNum, _xlpm.mRaw, ""),
  _xlpm.c, (--_xlpm.tIsNum) + (--_xlpm.bIsNum) + (--_xlpm.mIsNum),
  _xlpm.sumVals, IF(_xlpm.tIsNum, _xlpm.tRaw, 0) + IF(_xlpm.bIsNum, _xlpm.bRaw, 0) + IF(_xlpm.mIsNum, _xlpm.mRaw, 0),
  _xlpm.result,
    IF(_xlpm.c = 0, "",
      IF(_xlpm.c = 1,
         IF(_xlpm.tIsNum, _xlpm.t, IF(_xlpm.bIsNum, _xlpm.b, _xlpm.m)),
      IF(_xlpm.c = 2,
         _xlpm.sumVals / 2,
         MEDIAN(_xlpm.t, _xlpm.b, _xlpm.m)
      ))),
  _xlpm.result
)</f>
        <v/>
      </c>
      <c r="R70" s="237" cm="1">
        <f t="array" ref="R7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7.8626399999999999</v>
      </c>
      <c r="S70" s="238" cm="1">
        <f t="array" ref="S7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7.8297299999999996</v>
      </c>
      <c r="T70" s="238" cm="1">
        <f t="array" ref="T7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-7.8297299999999996</v>
      </c>
      <c r="U70" s="41" t="str" cm="1">
        <f t="array" ref="U7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7.77214 and 0.00000</v>
      </c>
      <c r="V70" s="213"/>
      <c r="W70" s="211"/>
      <c r="X70" s="4"/>
      <c r="Y70" s="4"/>
      <c r="Z70" s="209"/>
      <c r="AA70" s="209"/>
      <c r="AB70" s="209"/>
      <c r="AC70" s="209"/>
      <c r="AD70" s="212"/>
      <c r="AE70" s="4"/>
      <c r="AF70" s="209"/>
      <c r="AG70" s="25"/>
      <c r="AH70" s="4"/>
      <c r="AI70" s="4"/>
      <c r="AJ70" s="4"/>
      <c r="AK70" s="209"/>
      <c r="AL70" s="6"/>
      <c r="AM70" s="11"/>
    </row>
    <row r="71" spans="2:39" x14ac:dyDescent="0.15">
      <c r="B71" s="44" t="s">
        <v>54</v>
      </c>
      <c r="C71" s="16" t="s">
        <v>198</v>
      </c>
      <c r="D71" s="16"/>
      <c r="E71" s="40"/>
      <c r="F71" s="50"/>
      <c r="G71" s="170"/>
      <c r="J71" s="190" t="s">
        <v>211</v>
      </c>
      <c r="K71" s="127" t="s">
        <v>90</v>
      </c>
      <c r="L71" s="208">
        <v>160</v>
      </c>
      <c r="M71" s="237">
        <f>_xlfn.LET(
  _xlpm.analyte, SensorLab[[#This Row],[Analyte]],
  _xlpm.raw, N(SensorLab[[#This Row],[Raw_Value]]),
  _xlpm.scaleF, IFERROR(
    _xlfn.XLOOKUP(_xlpm.analyte, CalibrationCoefficients[Analyte], CalibrationCoefficients[ScaleFactor]),
    1
  ),
  IF(AND(_xlpm.analyte&lt;&gt;"", ISNUMBER(_xlpm.raw)), _xlpm.raw * _xlpm.scaleF, "NA")
)</f>
        <v>16</v>
      </c>
      <c r="N71" s="194"/>
      <c r="O71" s="41"/>
      <c r="P71" s="41"/>
      <c r="Q71" s="208" t="str">
        <f>_xlfn.LET(
  _xlpm.tRaw, SensorLab[[#This Row],[Tarnab_Lab]],
  _xlpm.bRaw, SensorLab[[#This Row],[Bari_Lab]],
  _xlpm.mRaw, SensorLab[[#This Row],[ManuChar_Lab]],
  _xlpm.tIsNum, ISNUMBER(_xlpm.tRaw),
  _xlpm.bIsNum, ISNUMBER(_xlpm.bRaw),
  _xlpm.mIsNum, ISNUMBER(_xlpm.mRaw),
  _xlpm.t, IF(_xlpm.tIsNum, _xlpm.tRaw, ""),
  _xlpm.b, IF(_xlpm.bIsNum, _xlpm.bRaw, ""),
  _xlpm.m, IF(_xlpm.mIsNum, _xlpm.mRaw, ""),
  _xlpm.c, (--_xlpm.tIsNum) + (--_xlpm.bIsNum) + (--_xlpm.mIsNum),
  _xlpm.sumVals, IF(_xlpm.tIsNum, _xlpm.tRaw, 0) + IF(_xlpm.bIsNum, _xlpm.bRaw, 0) + IF(_xlpm.mIsNum, _xlpm.mRaw, 0),
  _xlpm.result,
    IF(_xlpm.c = 0, "",
      IF(_xlpm.c = 1,
         IF(_xlpm.tIsNum, _xlpm.t, IF(_xlpm.bIsNum, _xlpm.b, _xlpm.m)),
      IF(_xlpm.c = 2,
         _xlpm.sumVals / 2,
         MEDIAN(_xlpm.t, _xlpm.b, _xlpm.m)
      ))),
  _xlpm.result
)</f>
        <v/>
      </c>
      <c r="R71" s="237" cm="1">
        <f t="array" ref="R7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16.028320000000001</v>
      </c>
      <c r="S71" s="238" cm="1">
        <f t="array" ref="S7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15.99174</v>
      </c>
      <c r="T71" s="238" cm="1">
        <f t="array" ref="T7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-8.0082599999999999</v>
      </c>
      <c r="U71" s="41" t="str" cm="1">
        <f t="array" ref="U7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15.93000 and 0.00000</v>
      </c>
      <c r="V71" s="213"/>
      <c r="W71" s="211"/>
      <c r="X71" s="4"/>
      <c r="Y71" s="4"/>
      <c r="Z71" s="209"/>
      <c r="AA71" s="209"/>
      <c r="AB71" s="209"/>
      <c r="AC71" s="209"/>
      <c r="AD71" s="212"/>
      <c r="AE71" s="4"/>
      <c r="AF71" s="209"/>
      <c r="AH71" s="4"/>
      <c r="AI71" s="4"/>
      <c r="AJ71" s="4"/>
      <c r="AK71" s="209"/>
      <c r="AL71" s="6"/>
      <c r="AM71" s="11"/>
    </row>
    <row r="72" spans="2:39" x14ac:dyDescent="0.15">
      <c r="B72" s="45" t="s">
        <v>121</v>
      </c>
      <c r="C72" s="194">
        <f>_xlfn.LET(
    _xlpm.rf, D60,
    _xlpm.slope,     IFERROR(_xlfn.XLOOKUP("N", ScaleFactors[Analyte], ScaleFactors[Slope]), 0),
    _xlpm.intercept, IFERROR(_xlfn.XLOOKUP("N", ScaleFactors[Analyte], ScaleFactors[Intercept]), 0),
    _xlpm.offset,    IFERROR(_xlfn.XLOOKUP("N", ScaleFactors[Analyte], ScaleFactors[Offset]), 0),
    _xlpm.pred, _xlpm.rf * _xlpm.slope + _xlpm.intercept,
    _xlpm.final, _xlpm.pred + _xlpm.offset,
    ROUND(_xlpm.final, 5)
)</f>
        <v>2</v>
      </c>
      <c r="D72" s="194" t="s">
        <v>88</v>
      </c>
      <c r="E72" s="40"/>
      <c r="F72" s="194" cm="1">
        <f t="array" ref="F72" xml:space="preserve"> _xlfn.XLOOKUP(
    1,
    (SensorLab[Sample_ID]=$C$54) * (SensorLab[Analyte]="N"),
    SensorLab[Final_Results]
)</f>
        <v>2</v>
      </c>
      <c r="G72" s="16"/>
      <c r="H72" s="170"/>
      <c r="I72" s="170"/>
      <c r="J72" s="190" t="s">
        <v>211</v>
      </c>
      <c r="K72" s="191" t="s">
        <v>43</v>
      </c>
      <c r="L72" s="208">
        <v>203</v>
      </c>
      <c r="M72" s="237">
        <f>_xlfn.LET(
  _xlpm.analyte, SensorLab[[#This Row],[Analyte]],
  _xlpm.raw, N(SensorLab[[#This Row],[Raw_Value]]),
  _xlpm.scaleF, IFERROR(
    _xlfn.XLOOKUP(_xlpm.analyte, CalibrationCoefficients[Analyte], CalibrationCoefficients[ScaleFactor]),
    1
  ),
  IF(AND(_xlpm.analyte&lt;&gt;"", ISNUMBER(_xlpm.raw)), _xlpm.raw * _xlpm.scaleF, "NA")
)</f>
        <v>20.3</v>
      </c>
      <c r="N72" s="194"/>
      <c r="O72" s="41"/>
      <c r="P72" s="41"/>
      <c r="Q72" s="208" t="str">
        <f>_xlfn.LET(
  _xlpm.tRaw, SensorLab[[#This Row],[Tarnab_Lab]],
  _xlpm.bRaw, SensorLab[[#This Row],[Bari_Lab]],
  _xlpm.mRaw, SensorLab[[#This Row],[ManuChar_Lab]],
  _xlpm.tIsNum, ISNUMBER(_xlpm.tRaw),
  _xlpm.bIsNum, ISNUMBER(_xlpm.bRaw),
  _xlpm.mIsNum, ISNUMBER(_xlpm.mRaw),
  _xlpm.t, IF(_xlpm.tIsNum, _xlpm.tRaw, ""),
  _xlpm.b, IF(_xlpm.bIsNum, _xlpm.bRaw, ""),
  _xlpm.m, IF(_xlpm.mIsNum, _xlpm.mRaw, ""),
  _xlpm.c, (--_xlpm.tIsNum) + (--_xlpm.bIsNum) + (--_xlpm.mIsNum),
  _xlpm.sumVals, IF(_xlpm.tIsNum, _xlpm.tRaw, 0) + IF(_xlpm.bIsNum, _xlpm.bRaw, 0) + IF(_xlpm.mIsNum, _xlpm.mRaw, 0),
  _xlpm.result,
    IF(_xlpm.c = 0, "",
      IF(_xlpm.c = 1,
         IF(_xlpm.tIsNum, _xlpm.t, IF(_xlpm.bIsNum, _xlpm.b, _xlpm.m)),
      IF(_xlpm.c = 2,
         _xlpm.sumVals / 2,
         MEDIAN(_xlpm.t, _xlpm.b, _xlpm.m)
      ))),
  _xlpm.result
)</f>
        <v/>
      </c>
      <c r="R72" s="237" cm="1">
        <f t="array" ref="R7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20.285990000000002</v>
      </c>
      <c r="S72" s="238" cm="1">
        <f t="array" ref="S7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20.299399999999999</v>
      </c>
      <c r="T72" s="238" cm="1">
        <f t="array" ref="T7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-20.299399999999999</v>
      </c>
      <c r="U72" s="41" t="str" cm="1">
        <f t="array" ref="U7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20.30000 and 0.00000</v>
      </c>
      <c r="V72" s="213"/>
      <c r="W72" s="211"/>
      <c r="X72" s="4"/>
      <c r="Y72" s="4"/>
      <c r="Z72" s="209"/>
      <c r="AA72" s="209"/>
      <c r="AB72" s="209"/>
      <c r="AC72" s="209"/>
      <c r="AD72" s="212"/>
      <c r="AE72" s="4"/>
      <c r="AF72" s="209"/>
      <c r="AG72" s="4"/>
      <c r="AH72" s="4"/>
      <c r="AI72" s="4"/>
      <c r="AJ72" s="4"/>
      <c r="AK72" s="209"/>
      <c r="AL72" s="6"/>
      <c r="AM72" s="11"/>
    </row>
    <row r="73" spans="2:39" x14ac:dyDescent="0.15">
      <c r="B73" s="45" t="s">
        <v>122</v>
      </c>
      <c r="C73" s="194">
        <f>_xlfn.LET(
    _xlpm.rf, D61,
    _xlpm.slope,     IFERROR(_xlfn.XLOOKUP("P", ScaleFactors[Analyte], ScaleFactors[Slope]), 0),
    _xlpm.intercept, IFERROR(_xlfn.XLOOKUP("P", ScaleFactors[Analyte], ScaleFactors[Intercept]), 0),
    _xlpm.offset,    IFERROR(_xlfn.XLOOKUP("P", ScaleFactors[Analyte], ScaleFactors[Offset]), 0),
    _xlpm.pred, _xlpm.rf * _xlpm.slope + _xlpm.intercept,
    _xlpm.final, _xlpm.pred + _xlpm.offset,
    ROUND(_xlpm.final, 5)
)</f>
        <v>4.2491199999999996</v>
      </c>
      <c r="D73" s="194" t="s">
        <v>88</v>
      </c>
      <c r="E73" s="40"/>
      <c r="F73" s="194" cm="1">
        <f t="array" ref="F73" xml:space="preserve"> _xlfn.XLOOKUP(
    1,
    (SensorLab[Sample_ID]=$C$54) * (SensorLab[Analyte]="P"),
    SensorLab[Final_Results]
)</f>
        <v>4.2491199999999996</v>
      </c>
      <c r="G73" s="4"/>
      <c r="H73" s="16"/>
      <c r="I73" s="169"/>
      <c r="J73" s="190" t="s">
        <v>211</v>
      </c>
      <c r="K73" s="191" t="s">
        <v>45</v>
      </c>
      <c r="L73" s="208">
        <v>5.1999999999999995E-4</v>
      </c>
      <c r="M73" s="237">
        <f>_xlfn.LET(
  _xlpm.analyte, SensorLab[[#This Row],[Analyte]],
  _xlpm.raw, N(SensorLab[[#This Row],[Raw_Value]]),
  _xlpm.scaleF, IFERROR(
    _xlfn.XLOOKUP(_xlpm.analyte, CalibrationCoefficients[Analyte], CalibrationCoefficients[ScaleFactor]),
    1
  ),
  IF(AND(_xlpm.analyte&lt;&gt;"", ISNUMBER(_xlpm.raw)), _xlpm.raw * _xlpm.scaleF, "NA")
)</f>
        <v>5.1999999999999995E-4</v>
      </c>
      <c r="N73" s="194"/>
      <c r="O73" s="41"/>
      <c r="P73" s="41"/>
      <c r="Q73" s="208" t="str">
        <f>_xlfn.LET(
  _xlpm.tRaw, SensorLab[[#This Row],[Tarnab_Lab]],
  _xlpm.bRaw, SensorLab[[#This Row],[Bari_Lab]],
  _xlpm.mRaw, SensorLab[[#This Row],[ManuChar_Lab]],
  _xlpm.tIsNum, ISNUMBER(_xlpm.tRaw),
  _xlpm.bIsNum, ISNUMBER(_xlpm.bRaw),
  _xlpm.mIsNum, ISNUMBER(_xlpm.mRaw),
  _xlpm.t, IF(_xlpm.tIsNum, _xlpm.tRaw, ""),
  _xlpm.b, IF(_xlpm.bIsNum, _xlpm.bRaw, ""),
  _xlpm.m, IF(_xlpm.mIsNum, _xlpm.mRaw, ""),
  _xlpm.c, (--_xlpm.tIsNum) + (--_xlpm.bIsNum) + (--_xlpm.mIsNum),
  _xlpm.sumVals, IF(_xlpm.tIsNum, _xlpm.tRaw, 0) + IF(_xlpm.bIsNum, _xlpm.bRaw, 0) + IF(_xlpm.mIsNum, _xlpm.mRaw, 0),
  _xlpm.result,
    IF(_xlpm.c = 0, "",
      IF(_xlpm.c = 1,
         IF(_xlpm.tIsNum, _xlpm.t, IF(_xlpm.bIsNum, _xlpm.b, _xlpm.m)),
      IF(_xlpm.c = 2,
         _xlpm.sumVals / 2,
         MEDIAN(_xlpm.t, _xlpm.b, _xlpm.m)
      ))),
  _xlpm.result
)</f>
        <v/>
      </c>
      <c r="R73" s="237" cm="1">
        <f t="array" ref="R7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0.60409999999999997</v>
      </c>
      <c r="S73" s="238" cm="1">
        <f t="array" ref="S7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0.6</v>
      </c>
      <c r="T73" s="238" cm="1">
        <f t="array" ref="T7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-0.6</v>
      </c>
      <c r="U73" s="41" t="str" cm="1">
        <f t="array" ref="U7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0.00000 and 0.00000</v>
      </c>
      <c r="V73" s="213"/>
      <c r="W73" s="213"/>
      <c r="X73" s="4"/>
      <c r="Y73" s="4"/>
      <c r="Z73" s="209"/>
      <c r="AA73" s="209"/>
      <c r="AB73" s="209"/>
      <c r="AC73" s="209"/>
      <c r="AD73" s="212"/>
      <c r="AE73" s="4"/>
      <c r="AF73" s="209"/>
      <c r="AG73" s="4"/>
      <c r="AH73" s="4"/>
      <c r="AI73" s="4"/>
      <c r="AJ73" s="4"/>
      <c r="AK73" s="209"/>
      <c r="AL73" s="6"/>
      <c r="AM73" s="11"/>
    </row>
    <row r="74" spans="2:39" x14ac:dyDescent="0.15">
      <c r="B74" s="45" t="s">
        <v>123</v>
      </c>
      <c r="C74" s="194">
        <f>_xlfn.LET(
    _xlpm.rf, D62,
    _xlpm.slope,     IFERROR(_xlfn.XLOOKUP("K", ScaleFactors[Analyte], ScaleFactors[Slope]), 0),
    _xlpm.intercept, IFERROR(_xlfn.XLOOKUP("K", ScaleFactors[Analyte], ScaleFactors[Intercept]), 0),
    _xlpm.offset,    IFERROR(_xlfn.XLOOKUP("K", ScaleFactors[Analyte], ScaleFactors[Offset]), 0),
    _xlpm.pred, _xlpm.rf * _xlpm.slope + _xlpm.intercept,
    _xlpm.final, _xlpm.pred + _xlpm.offset,
    ROUND(_xlpm.final, 5)
)</f>
        <v>97.80395</v>
      </c>
      <c r="D74" s="194" t="s">
        <v>88</v>
      </c>
      <c r="E74" s="40"/>
      <c r="F74" s="194" cm="1">
        <f t="array" ref="F74" xml:space="preserve"> _xlfn.XLOOKUP(
    1,
    (SensorLab[Sample_ID]=$C$54) * (SensorLab[Analyte]="K"),
    SensorLab[Final_Results]
)</f>
        <v>97.80395</v>
      </c>
      <c r="G74" s="4"/>
      <c r="H74" s="98"/>
      <c r="J74" s="190" t="s">
        <v>211</v>
      </c>
      <c r="K74" s="127" t="s">
        <v>0</v>
      </c>
      <c r="L74" s="208">
        <v>50.24</v>
      </c>
      <c r="M74" s="237">
        <f>_xlfn.LET(
  _xlpm.analyte, SensorLab[[#This Row],[Analyte]],
  _xlpm.raw, N(SensorLab[[#This Row],[Raw_Value]]),
  _xlpm.scaleF, IFERROR(
    _xlfn.XLOOKUP(_xlpm.analyte, CalibrationCoefficients[Analyte], CalibrationCoefficients[ScaleFactor]),
    1
  ),
  IF(AND(_xlpm.analyte&lt;&gt;"", ISNUMBER(_xlpm.raw)), _xlpm.raw * _xlpm.scaleF, "NA")
)</f>
        <v>50.24</v>
      </c>
      <c r="N74" s="41"/>
      <c r="O74" s="41"/>
      <c r="P74" s="41"/>
      <c r="Q74" s="208"/>
      <c r="R74" s="237" cm="1">
        <f t="array" ref="R7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74" s="238" cm="1">
        <f t="array" ref="S7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74" s="238" cm="1">
        <f t="array" ref="T7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-23</v>
      </c>
      <c r="U74" s="41" t="str" cm="1">
        <f t="array" ref="U7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14.93140 and 0.00000</v>
      </c>
      <c r="V74" s="213"/>
      <c r="W74" s="213"/>
      <c r="X74" s="4"/>
      <c r="Y74" s="4"/>
      <c r="Z74" s="209"/>
      <c r="AA74" s="209"/>
      <c r="AB74" s="209"/>
      <c r="AC74" s="209"/>
      <c r="AD74" s="212"/>
      <c r="AE74" s="4"/>
      <c r="AF74" s="209"/>
      <c r="AG74" s="4"/>
      <c r="AH74" s="4"/>
      <c r="AI74" s="4"/>
      <c r="AJ74" s="4"/>
      <c r="AK74" s="209"/>
      <c r="AL74" s="6"/>
      <c r="AM74" s="11"/>
    </row>
    <row r="75" spans="2:39" x14ac:dyDescent="0.15">
      <c r="B75" s="21" t="s">
        <v>71</v>
      </c>
      <c r="C75" s="194">
        <f>_xlfn.LET(
   _xlpm.rawTemp, D56,
   _xlpm.slope,     IFERROR(_xlfn.XLOOKUP("SoilTemp", ScaleFactors[Analyte], ScaleFactors[Slope]), 0),
   _xlpm.intercept, IFERROR(_xlfn.XLOOKUP("SoilTemp", ScaleFactors[Analyte], ScaleFactors[Intercept]), 0),
   _xlpm.offset,    IFERROR(_xlfn.XLOOKUP("SoilTemp", ScaleFactors[Analyte], ScaleFactors[Offset]), 0),
   (_xlpm.slope * _xlpm.rawTemp) + _xlpm.intercept + _xlpm.offset
)</f>
        <v>13.848361125722246</v>
      </c>
      <c r="E75" s="40"/>
      <c r="F75" s="194" cm="1">
        <f t="array" ref="F75" xml:space="preserve"> _xlfn.XLOOKUP(
    1,
    (SensorLab[Sample_ID]=$C$54) * (SensorLab[Analyte]="SoilTemp"),
    SensorLab[Final_Results]
)</f>
        <v>13.84836</v>
      </c>
      <c r="G75" s="4"/>
      <c r="H75" s="98"/>
      <c r="I75" s="76"/>
      <c r="J75" s="190" t="s">
        <v>211</v>
      </c>
      <c r="K75" s="127" t="s">
        <v>5</v>
      </c>
      <c r="L75" s="208">
        <v>34.369999999999997</v>
      </c>
      <c r="M75" s="237">
        <f>_xlfn.LET(
  _xlpm.analyte, SensorLab[[#This Row],[Analyte]],
  _xlpm.raw, N(SensorLab[[#This Row],[Raw_Value]]),
  _xlpm.scaleF, IFERROR(
    _xlfn.XLOOKUP(_xlpm.analyte, CalibrationCoefficients[Analyte], CalibrationCoefficients[ScaleFactor]),
    1
  ),
  IF(AND(_xlpm.analyte&lt;&gt;"", ISNUMBER(_xlpm.raw)), _xlpm.raw * _xlpm.scaleF, "NA")
)</f>
        <v>34.369999999999997</v>
      </c>
      <c r="N75" s="41"/>
      <c r="O75" s="41"/>
      <c r="P75" s="41"/>
      <c r="Q75" s="208"/>
      <c r="R75" s="237" cm="1">
        <f t="array" ref="R7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75" s="238" cm="1">
        <f t="array" ref="S7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75" s="238" cm="1">
        <f t="array" ref="T7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-28</v>
      </c>
      <c r="U75" s="41" t="str" cm="1">
        <f t="array" ref="U7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31.75581 and 0.00000</v>
      </c>
      <c r="V75" s="213"/>
      <c r="W75" s="213"/>
      <c r="X75" s="4"/>
      <c r="Y75" s="4"/>
      <c r="Z75" s="209"/>
      <c r="AA75" s="209"/>
      <c r="AB75" s="209"/>
      <c r="AC75" s="209"/>
      <c r="AD75" s="212"/>
      <c r="AE75" s="4"/>
      <c r="AF75" s="209"/>
      <c r="AG75" s="4"/>
      <c r="AH75" s="4"/>
      <c r="AI75" s="4"/>
      <c r="AJ75" s="4"/>
      <c r="AK75" s="209"/>
      <c r="AL75" s="6"/>
      <c r="AM75" s="11"/>
    </row>
    <row r="76" spans="2:39" x14ac:dyDescent="0.15">
      <c r="B76" s="21" t="s">
        <v>65</v>
      </c>
      <c r="C76" s="194">
        <f>_xlfn.LET(
   _xlpm.rawMoisture, D57,
   _xlpm.slope,     IFERROR(_xlfn.XLOOKUP("Moisture", ScaleFactors[Analyte], ScaleFactors[Slope]), 0),
   _xlpm.intercept, IFERROR(_xlfn.XLOOKUP("Moisture", ScaleFactors[Analyte], ScaleFactors[Intercept]), 0),
   _xlpm.offset,    IFERROR(_xlfn.XLOOKUP("Moisture", ScaleFactors[Analyte], ScaleFactors[Offset]), 0),
   (_xlpm.slope * _xlpm.rawMoisture) + _xlpm.intercept + _xlpm.offset
)</f>
        <v>16.99857767059417</v>
      </c>
      <c r="E76" s="40"/>
      <c r="F76" s="194" cm="1">
        <f t="array" ref="F76" xml:space="preserve"> _xlfn.XLOOKUP(
    1,
    (SensorLab[Sample_ID]=$C$54) * (SensorLab[Analyte]="Moisture"),
    SensorLab[Final_Results]
)</f>
        <v>16.99858</v>
      </c>
      <c r="G76" s="22"/>
      <c r="H76" s="98"/>
      <c r="I76" s="76"/>
      <c r="J76" s="190" t="s">
        <v>211</v>
      </c>
      <c r="K76" s="127" t="s">
        <v>6</v>
      </c>
      <c r="L76" s="208">
        <v>15.39</v>
      </c>
      <c r="M76" s="237">
        <f>_xlfn.LET(
  _xlpm.analyte, SensorLab[[#This Row],[Analyte]],
  _xlpm.raw, N(SensorLab[[#This Row],[Raw_Value]]),
  _xlpm.scaleF, IFERROR(
    _xlfn.XLOOKUP(_xlpm.analyte, CalibrationCoefficients[Analyte], CalibrationCoefficients[ScaleFactor]),
    1
  ),
  IF(AND(_xlpm.analyte&lt;&gt;"", ISNUMBER(_xlpm.raw)), _xlpm.raw * _xlpm.scaleF, "NA")
)</f>
        <v>15.39</v>
      </c>
      <c r="N76" s="41"/>
      <c r="O76" s="41"/>
      <c r="P76" s="41"/>
      <c r="Q76" s="208"/>
      <c r="R76" s="237" cm="1">
        <f t="array" ref="R7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76" s="238" cm="1">
        <f t="array" ref="S7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76" s="238" cm="1">
        <f t="array" ref="T7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v>
      </c>
      <c r="U76" s="41" t="str" cm="1">
        <f t="array" ref="U7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12.04406 and 0.00000</v>
      </c>
      <c r="V76" s="213"/>
      <c r="W76" s="213"/>
      <c r="X76" s="4"/>
      <c r="Y76" s="4"/>
      <c r="Z76" s="209"/>
      <c r="AA76" s="209"/>
      <c r="AB76" s="209"/>
      <c r="AC76" s="209"/>
      <c r="AD76" s="212"/>
      <c r="AE76" s="4"/>
      <c r="AF76" s="209"/>
      <c r="AG76" s="4"/>
      <c r="AH76" s="4"/>
      <c r="AI76" s="4"/>
      <c r="AJ76" s="4"/>
      <c r="AK76" s="209"/>
      <c r="AL76" s="6"/>
      <c r="AM76" s="11"/>
    </row>
    <row r="77" spans="2:39" ht="11.25" thickBot="1" x14ac:dyDescent="0.2">
      <c r="B77" s="122" t="s">
        <v>337</v>
      </c>
      <c r="C77" s="220">
        <f>_xlfn.LET(
  _xlpm.n_ppm, D60,
  _xlpm.vanBem, 1.724,
  _xlpm.soc_pct, IF(OR(_xlpm.n_ppm="", _xlpm.n_ppm&lt;=0), 0, _xlpm.n_ppm/10000),
  _xlpm.om_pct, _xlpm.soc_pct * _xlpm.vanBem,
  _xlpm.slp,      IFERROR(_xlfn.XLOOKUP("OM", ScaleFactors[Analyte], ScaleFactors[Slope]),1),
  _xlpm.intercept,IFERROR(_xlfn.XLOOKUP("OM", ScaleFactors[Analyte], ScaleFactors[Intercept]),0),
  _xlpm.offs,     IFERROR(_xlfn.XLOOKUP("OM", ScaleFactors[Analyte], ScaleFactors[Offset]),0),
_xlpm.om_pct * _xlpm.slp + _xlpm.intercept + _xlpm.offs
)</f>
        <v>0.55895226897048367</v>
      </c>
      <c r="D77" s="259"/>
      <c r="E77" s="214" t="s">
        <v>336</v>
      </c>
      <c r="F77" s="194" cm="1">
        <f t="array" ref="F77" xml:space="preserve"> _xlfn.XLOOKUP(
    1,
    (SensorLab[Sample_ID]=$C$54) * (SensorLab[Analyte]="OM"),
    SensorLab[Final_Results]
)</f>
        <v>0.6</v>
      </c>
      <c r="I77" s="76"/>
      <c r="J77" s="190" t="s">
        <v>211</v>
      </c>
      <c r="K77" s="193" t="s">
        <v>69</v>
      </c>
      <c r="L77" s="255" t="str" cm="1">
        <f t="array" ref="L77">_xlfn.LET(
  _xlpm.bs,L74, _xlpm.si,L75, _xlpm.c,L76,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M77" s="256" t="str" cm="1">
        <f t="array" ref="M77">_xlfn.LET(
  _xlpm.bs,M74, _xlpm.si,M75, _xlpm.c,M76,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N77" s="245" t="str" cm="1">
        <f t="array" ref="N77">_xlfn.LET(
  _xlpm.bs,N74, _xlpm.si,N75, _xlpm.c,N76,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77" s="245" t="str" cm="1">
        <f t="array" ref="O77">_xlfn.LET(
  _xlpm.bs,O74, _xlpm.si,O75, _xlpm.c,O76,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P77" s="245" t="str" cm="1">
        <f t="array" ref="P77">_xlfn.LET(
  _xlpm.bs,P74, _xlpm.si,P75, _xlpm.c,P76,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77" s="255" t="str" cm="1">
        <f t="array" ref="Q77">_xlfn.LET(
  _xlpm.bs,Q74, _xlpm.si,Q75, _xlpm.c,Q76,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R77" s="256" t="str" cm="1">
        <f t="array" ref="R77">_xlfn.LET(
  _xlpm.bs,R74, _xlpm.si,R75, _xlpm.c,R76,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S77" s="256" t="str" cm="1">
        <f t="array" ref="S77">_xlfn.LET(
  _xlpm.bs,S74, _xlpm.si,S75, _xlpm.c,S76,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T77" s="240" cm="1">
        <f t="array" ref="T7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v>
      </c>
      <c r="U77" s="229" t="str" cm="1">
        <f t="array" ref="U7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#N/A</v>
      </c>
      <c r="V77" s="213"/>
      <c r="W77" s="213"/>
      <c r="X77" s="4"/>
      <c r="Y77" s="4"/>
      <c r="Z77" s="209"/>
      <c r="AA77" s="209"/>
      <c r="AB77" s="209"/>
      <c r="AC77" s="209"/>
      <c r="AD77" s="212"/>
      <c r="AE77" s="4"/>
      <c r="AF77" s="209"/>
      <c r="AG77" s="4"/>
      <c r="AH77" s="4"/>
      <c r="AI77" s="4"/>
      <c r="AJ77" s="4"/>
      <c r="AK77" s="209"/>
      <c r="AL77" s="6"/>
      <c r="AM77" s="11"/>
    </row>
    <row r="78" spans="2:39" x14ac:dyDescent="0.15">
      <c r="B78" s="123" t="s">
        <v>134</v>
      </c>
      <c r="C78" s="194">
        <f>C77/1.724</f>
        <v>0.32421825346315758</v>
      </c>
      <c r="E78" s="40"/>
      <c r="F78" s="194"/>
      <c r="G78" s="167"/>
      <c r="J78" s="188" t="s">
        <v>208</v>
      </c>
      <c r="K78" s="189" t="s">
        <v>39</v>
      </c>
      <c r="L78" s="207">
        <v>20</v>
      </c>
      <c r="M78" s="239">
        <f>_xlfn.LET(
  _xlpm.analyte, SensorLab[[#This Row],[Analyte]],
  _xlpm.raw, N(SensorLab[[#This Row],[Raw_Value]]),
  _xlpm.scaleF, IFERROR(
    _xlfn.XLOOKUP(_xlpm.analyte, CalibrationCoefficients[Analyte], CalibrationCoefficients[ScaleFactor]),
    1
  ),
  IF(AND(_xlpm.analyte&lt;&gt;"", ISNUMBER(_xlpm.raw)), _xlpm.raw * _xlpm.scaleF, "NA")
)</f>
        <v>20</v>
      </c>
      <c r="N78" s="227"/>
      <c r="O78" s="228"/>
      <c r="P78" s="228">
        <v>3.5093000000000001</v>
      </c>
      <c r="Q78" s="207" cm="1">
        <f t="array" ref="Q7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3.5093000000000001</v>
      </c>
      <c r="R78" s="239" cm="1">
        <f t="array" ref="R7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3.2541799999999999</v>
      </c>
      <c r="S78" s="241" cm="1">
        <f t="array" ref="S7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4.80755</v>
      </c>
      <c r="T78" s="241" cm="1">
        <f t="array" ref="T7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-3.19245</v>
      </c>
      <c r="U78" s="228" t="str" cm="1">
        <f t="array" ref="U7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3.25418 and 3.25418</v>
      </c>
      <c r="V78" s="213"/>
      <c r="W78" s="213"/>
      <c r="X78" s="4"/>
      <c r="Y78" s="4"/>
      <c r="Z78" s="209"/>
      <c r="AA78" s="209"/>
      <c r="AB78" s="209"/>
      <c r="AC78" s="209"/>
      <c r="AD78" s="212"/>
      <c r="AE78" s="4"/>
      <c r="AF78" s="209"/>
      <c r="AG78" s="4"/>
      <c r="AH78" s="4"/>
      <c r="AI78" s="4"/>
      <c r="AJ78" s="4"/>
      <c r="AK78" s="209"/>
      <c r="AL78" s="6"/>
      <c r="AM78" s="11"/>
    </row>
    <row r="79" spans="2:39" x14ac:dyDescent="0.15">
      <c r="B79" s="21" t="s">
        <v>74</v>
      </c>
      <c r="C79" s="194" cm="1">
        <f t="array" ref="C79">_xlfn.LET(
  _xlpm.N,     $C$72,
  _xlpm.P,     $C$73,
  _xlpm.K,     $C$74,
  _xlpm.EC,    $C$80,
  _xlpm.pH,    $C$81,
  _xlpm.Moist, $C$76,
  _xlpm.Temp,  $C$75,
  _xlpm.Nmean,     TextureCal[N_Mean],
  _xlpm.Nstd,      TextureCal[N_StdDev],
  _xlpm.Pmean,     TextureCal[P_Mean],
  _xlpm.Pstd,      TextureCal[P_StdDev],
  _xlpm.Kmean,     TextureCal[K_Mean],
  _xlpm.Kstd,      TextureCal[K_StdDev],
  _xlpm.ECmean,    TextureCal[EC_Mean],
  _xlpm.ECstd,     TextureCal[EC_StdDev],
  _xlpm.pHmean,    TextureCal[pH_Mean],
  _xlpm.pHstd,     TextureCal[pH_StdDev],
  _xlpm.Moistmean, TextureCal[Moisture_Mean],
  _xlpm.Moiststd,  TextureCal[Moisture_StdDev],
  _xlpm.Tempmean,  TextureCal[Temp_Mean],
  _xlpm.Tempstd,   TextureCal[Temp_StdDev],
  _xlpm.TFcenter,  TextureCal[TF_Center],
  _xlpm.dist,      ( (_xlpm.N - _xlpm.Nmean)/_xlpm.Nstd )^2 +
             ( (_xlpm.P - _xlpm.Pmean)/_xlpm.Pstd )^2 +
             ( (_xlpm.K - _xlpm.Kmean)/_xlpm.Kstd )^2 +
             ( (_xlpm.EC - _xlpm.ECmean)/_xlpm.ECstd )^2 +
             ( (_xlpm.pH - _xlpm.pHmean)/_xlpm.pHstd )^2 +
             ( (_xlpm.Moist - _xlpm.Moistmean)/_xlpm.Moiststd )^2 +
             ( (_xlpm.Temp - _xlpm.Tempmean)/_xlpm.Tempstd )^2,
  _xlpm.bestIndex, _xlfn.XMATCH(MIN(_xlpm.dist), _xlpm.dist, 0),
  INDEX(_xlpm.TFcenter, _xlpm.bestIndex)
)</f>
        <v>7.5000000000000011E-2</v>
      </c>
      <c r="D79" s="4"/>
      <c r="E79" s="40"/>
      <c r="F79" s="194"/>
      <c r="G79" s="4"/>
      <c r="H79" s="167"/>
      <c r="I79" s="167"/>
      <c r="J79" s="190" t="s">
        <v>208</v>
      </c>
      <c r="K79" s="191" t="s">
        <v>40</v>
      </c>
      <c r="L79" s="208">
        <v>92</v>
      </c>
      <c r="M79" s="237">
        <f>_xlfn.LET(
  _xlpm.analyte, SensorLab[[#This Row],[Analyte]],
  _xlpm.raw, N(SensorLab[[#This Row],[Raw_Value]]),
  _xlpm.scaleF, IFERROR(
    _xlfn.XLOOKUP(_xlpm.analyte, CalibrationCoefficients[Analyte], CalibrationCoefficients[ScaleFactor]),
    1
  ),
  IF(AND(_xlpm.analyte&lt;&gt;"", ISNUMBER(_xlpm.raw)), _xlpm.raw * _xlpm.scaleF, "NA")
)</f>
        <v>92</v>
      </c>
      <c r="N79" s="194"/>
      <c r="O79" s="41"/>
      <c r="P79" s="41">
        <v>3</v>
      </c>
      <c r="Q79" s="208" cm="1">
        <f t="array" ref="Q79">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3</v>
      </c>
      <c r="R79" s="237" cm="1">
        <f t="array" ref="R7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7.6158999999999999</v>
      </c>
      <c r="S79" s="238" cm="1">
        <f t="array" ref="S7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6.4258699999999997</v>
      </c>
      <c r="T79" s="238" cm="1">
        <f t="array" ref="T7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-3.4258700000000002</v>
      </c>
      <c r="U79" s="41" t="str" cm="1">
        <f t="array" ref="U7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6.96419 and 4.83034</v>
      </c>
      <c r="V79" s="213"/>
      <c r="W79" s="213"/>
      <c r="X79" s="4"/>
      <c r="Y79" s="4"/>
      <c r="Z79" s="209"/>
      <c r="AA79" s="209"/>
      <c r="AB79" s="209"/>
      <c r="AC79" s="209"/>
      <c r="AD79" s="212"/>
      <c r="AE79" s="4"/>
      <c r="AF79" s="209"/>
      <c r="AG79" s="209"/>
      <c r="AH79" s="4"/>
      <c r="AI79" s="4"/>
      <c r="AJ79" s="4"/>
      <c r="AK79" s="209"/>
      <c r="AL79" s="6"/>
      <c r="AM79" s="11"/>
    </row>
    <row r="80" spans="2:39" x14ac:dyDescent="0.15">
      <c r="B80" s="21" t="s">
        <v>52</v>
      </c>
      <c r="C80" s="194">
        <f>_xlfn.LET(
  _xlpm.rawEC, D58,
  _xlpm.slope,     IFERROR(_xlfn.XLOOKUP("Conductivity", ScaleFactors[Analyte], ScaleFactors[Slope]), 0),
  _xlpm.intercept, IFERROR(_xlfn.XLOOKUP("Conductivity", ScaleFactors[Analyte], ScaleFactors[Intercept]), 0),
  _xlpm.offset,    IFERROR(_xlfn.XLOOKUP("Conductivity", ScaleFactors[Analyte], ScaleFactors[Offset]), 0),
  (_xlpm.slope * _xlpm.rawEC) + _xlpm.intercept + _xlpm.offset
)</f>
        <v>0.94968746955388639</v>
      </c>
      <c r="D80" s="34" t="s">
        <v>53</v>
      </c>
      <c r="E80" s="115"/>
      <c r="F80" s="194" cm="1">
        <f t="array" ref="F80" xml:space="preserve"> _xlfn.XLOOKUP(
    1,
    (SensorLab[Sample_ID]=$C$54) * (SensorLab[Analyte]="Conductivity"),
    SensorLab[Final_Results]
)</f>
        <v>0.94969000000000003</v>
      </c>
      <c r="G80" s="4"/>
      <c r="H80" s="16"/>
      <c r="I80" s="169"/>
      <c r="J80" s="190" t="s">
        <v>208</v>
      </c>
      <c r="K80" s="191" t="s">
        <v>41</v>
      </c>
      <c r="L80" s="208">
        <v>84</v>
      </c>
      <c r="M80" s="237">
        <f>_xlfn.LET(
  _xlpm.analyte, SensorLab[[#This Row],[Analyte]],
  _xlpm.raw, N(SensorLab[[#This Row],[Raw_Value]]),
  _xlpm.scaleF, IFERROR(
    _xlfn.XLOOKUP(_xlpm.analyte, CalibrationCoefficients[Analyte], CalibrationCoefficients[ScaleFactor]),
    1
  ),
  IF(AND(_xlpm.analyte&lt;&gt;"", ISNUMBER(_xlpm.raw)), _xlpm.raw * _xlpm.scaleF, "NA")
)</f>
        <v>84</v>
      </c>
      <c r="N80" s="194"/>
      <c r="O80" s="41"/>
      <c r="P80" s="41">
        <v>152</v>
      </c>
      <c r="Q80" s="208" cm="1">
        <f t="array" ref="Q8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152</v>
      </c>
      <c r="R80" s="237" cm="1">
        <f t="array" ref="R8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137.89600999999999</v>
      </c>
      <c r="S80" s="238" cm="1">
        <f t="array" ref="S8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124.19604</v>
      </c>
      <c r="T80" s="238" cm="1">
        <f t="array" ref="T8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27.80396</v>
      </c>
      <c r="U80" s="41" t="str" cm="1">
        <f t="array" ref="U8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136.63706 and 139.61706</v>
      </c>
      <c r="V80" s="213"/>
      <c r="W80" s="213"/>
      <c r="X80" s="4"/>
      <c r="Y80" s="4"/>
      <c r="Z80" s="209"/>
      <c r="AA80" s="209"/>
      <c r="AB80" s="209"/>
      <c r="AC80" s="209"/>
      <c r="AD80" s="212"/>
      <c r="AE80" s="4"/>
      <c r="AF80" s="209"/>
      <c r="AG80" s="209"/>
      <c r="AH80" s="4"/>
      <c r="AI80" s="4"/>
      <c r="AJ80" s="4"/>
      <c r="AK80" s="209"/>
      <c r="AL80" s="6"/>
      <c r="AM80" s="11"/>
    </row>
    <row r="81" spans="2:38" x14ac:dyDescent="0.15">
      <c r="B81" s="21" t="s">
        <v>34</v>
      </c>
      <c r="C81" s="194">
        <f>_xlfn.LET(
   _xlpm.rawpH, D59,
   _xlpm.slope,     IFERROR(_xlfn.XLOOKUP("pH", ScaleFactors[Analyte], ScaleFactors[Slope]), 0),
   _xlpm.intercept, IFERROR(_xlfn.XLOOKUP("pH", ScaleFactors[Analyte], ScaleFactors[Intercept]), 0),
   _xlpm.offset,    IFERROR(_xlfn.XLOOKUP("pH", ScaleFactors[Analyte], ScaleFactors[Offset]), 0),
   (_xlpm.slope * _xlpm.rawpH) + _xlpm.intercept + _xlpm.offset
)</f>
        <v>7.8480089492590928</v>
      </c>
      <c r="D81" s="16" t="s">
        <v>84</v>
      </c>
      <c r="E81" s="175"/>
      <c r="F81" s="194" cm="1">
        <f t="array" ref="F81" xml:space="preserve"> _xlfn.XLOOKUP(
    1,
    (SensorLab[Sample_ID]=$C$54) * (SensorLab[Analyte]="pH"),
    SensorLab[Final_Results]
)</f>
        <v>7.8480100000000004</v>
      </c>
      <c r="G81" s="4"/>
      <c r="H81" s="98"/>
      <c r="I81" s="76"/>
      <c r="J81" s="190" t="s">
        <v>208</v>
      </c>
      <c r="K81" s="127" t="s">
        <v>52</v>
      </c>
      <c r="L81" s="208">
        <v>280</v>
      </c>
      <c r="M81" s="237">
        <f>_xlfn.LET(
  _xlpm.analyte, SensorLab[[#This Row],[Analyte]],
  _xlpm.raw, N(SensorLab[[#This Row],[Raw_Value]]),
  _xlpm.scaleF, IFERROR(
    _xlfn.XLOOKUP(_xlpm.analyte, CalibrationCoefficients[Analyte], CalibrationCoefficients[ScaleFactor]),
    1
  ),
  IF(AND(_xlpm.analyte&lt;&gt;"", ISNUMBER(_xlpm.raw)), _xlpm.raw * _xlpm.scaleF, "NA")
)</f>
        <v>0.28000000000000003</v>
      </c>
      <c r="N81" s="194"/>
      <c r="O81" s="41"/>
      <c r="P81" s="41">
        <v>1.02</v>
      </c>
      <c r="Q81" s="208" cm="1">
        <f t="array" ref="Q81">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1.02</v>
      </c>
      <c r="R81" s="237" cm="1">
        <f t="array" ref="R8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1.0992200000000001</v>
      </c>
      <c r="S81" s="238" cm="1">
        <f t="array" ref="S8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1.0669900000000001</v>
      </c>
      <c r="T81" s="238" cm="1">
        <f t="array" ref="T8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-4.6989999999999997E-2</v>
      </c>
      <c r="U81" s="41" t="str" cm="1">
        <f t="array" ref="U8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-0.04699)</v>
      </c>
      <c r="V81" s="213"/>
      <c r="W81" s="213"/>
      <c r="X81" s="4"/>
      <c r="Y81" s="4"/>
      <c r="Z81" s="209"/>
      <c r="AA81" s="209"/>
      <c r="AB81" s="209"/>
      <c r="AC81" s="209"/>
      <c r="AD81" s="212"/>
      <c r="AE81" s="4"/>
      <c r="AF81" s="209"/>
      <c r="AG81" s="209"/>
      <c r="AH81" s="4"/>
      <c r="AI81" s="4"/>
      <c r="AJ81" s="4"/>
      <c r="AK81" s="4"/>
      <c r="AL81" s="6"/>
    </row>
    <row r="82" spans="2:38" x14ac:dyDescent="0.15">
      <c r="B82" s="42" t="s">
        <v>165</v>
      </c>
      <c r="C82" s="260" t="str">
        <f>INDEX(TextureCal[Texture],
       MATCH(MAX(TextureCal[FinalScore]), TextureCal[FinalScore], 0))</f>
        <v>Sand</v>
      </c>
      <c r="D82" s="104" cm="1">
        <f t="array" ref="D82">_xlfn.LET(
  _xlpm.primaryName, TRIM(IFERROR(LEFT(C82, FIND(" (", C82)-1), C82)),
  _xlpm.scores, _xlfn.TAKE(TextureCal[FinalScore], ROWS(TextureCal[FinalScore])),
  _xlpm.names,  _xlfn.TAKE(TextureCal[Texture], ROWS(TextureCal[Texture])),
  _xlpm.idxPrimary, MATCH(_xlpm.primaryName, _xlpm.names, 0),
  _xlpm.fsPrimary, INDEX(_xlpm.scores, _xlpm.idxPrimary),
  _xlpm.secondBest, IFERROR(MAX(IF(_xlpm.scores &lt; _xlpm.fsPrimary, _xlpm.scores)), 0),
  IF((_xlpm.fsPrimary + _xlpm.secondBest)=0, 0, _xlpm.fsPrimary / (_xlpm.fsPrimary + _xlpm.secondBest))
)</f>
        <v>0.53046714342662937</v>
      </c>
      <c r="E82" s="24"/>
      <c r="F82" s="6" t="str" cm="1">
        <f t="array" ref="F82" xml:space="preserve"> _xlfn.XLOOKUP(
    1,
    (SensorLab[Sample_ID]=$C$54) * (SensorLab[Analyte]="Texture"),
    SensorLab[Final_Results]
)</f>
        <v>Sandy Loam</v>
      </c>
      <c r="G82" s="4"/>
      <c r="H82" s="98"/>
      <c r="I82" s="76"/>
      <c r="J82" s="190" t="s">
        <v>208</v>
      </c>
      <c r="K82" s="127" t="s">
        <v>34</v>
      </c>
      <c r="L82" s="208">
        <v>79</v>
      </c>
      <c r="M82" s="237">
        <f>_xlfn.LET(
  _xlpm.analyte, SensorLab[[#This Row],[Analyte]],
  _xlpm.raw, N(SensorLab[[#This Row],[Raw_Value]]),
  _xlpm.scaleF, IFERROR(
    _xlfn.XLOOKUP(_xlpm.analyte, CalibrationCoefficients[Analyte], CalibrationCoefficients[ScaleFactor]),
    1
  ),
  IF(AND(_xlpm.analyte&lt;&gt;"", ISNUMBER(_xlpm.raw)), _xlpm.raw * _xlpm.scaleF, "NA")
)</f>
        <v>7.9</v>
      </c>
      <c r="N82" s="194"/>
      <c r="O82" s="41"/>
      <c r="P82" s="41">
        <v>8.1</v>
      </c>
      <c r="Q82" s="208" cm="1">
        <f t="array" ref="Q8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8.1</v>
      </c>
      <c r="R82" s="237" cm="1">
        <f t="array" ref="R8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7.8626399999999999</v>
      </c>
      <c r="S82" s="238" cm="1">
        <f t="array" ref="S8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7.8297299999999996</v>
      </c>
      <c r="T82" s="238" cm="1">
        <f t="array" ref="T8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0.27027000000000001</v>
      </c>
      <c r="U82" s="41" t="str" cm="1">
        <f t="array" ref="U8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0.27027)</v>
      </c>
      <c r="V82" s="213"/>
      <c r="W82" s="213"/>
      <c r="X82" s="4"/>
      <c r="Y82" s="4"/>
      <c r="Z82" s="209"/>
      <c r="AA82" s="209"/>
      <c r="AB82" s="209"/>
      <c r="AC82" s="209"/>
      <c r="AD82" s="212"/>
      <c r="AE82" s="4"/>
      <c r="AF82" s="209"/>
      <c r="AG82" s="209"/>
      <c r="AH82" s="4"/>
      <c r="AI82" s="4"/>
      <c r="AJ82" s="4"/>
      <c r="AK82" s="4"/>
      <c r="AL82" s="6"/>
    </row>
    <row r="83" spans="2:38" x14ac:dyDescent="0.15">
      <c r="B83" s="42" t="s">
        <v>150</v>
      </c>
      <c r="C83" s="16" t="str">
        <f>INDEX(TextureCal[Texture],
       MATCH(LARGE(TextureCal[FinalScore], 2), TextureCal[FinalScore], 0))</f>
        <v>Loamy Sand</v>
      </c>
      <c r="D83" s="104" cm="1">
        <f t="array" ref="D83">_xlfn.LET(
  _xlpm.secName, TRIM(IFERROR(LEFT(C83, FIND(" (", C83)-1), C83)),
  _xlpm.scores, _xlfn.TAKE(TextureCal[FinalScore], ROWS(TextureCal[FinalScore])),
  _xlpm.names,  _xlfn.TAKE(TextureCal[Texture], ROWS(TextureCal[Texture])),
  _xlpm.fsSec, IFERROR(INDEX(_xlpm.scores, MATCH(_xlpm.secName, _xlpm.names, 0)), 0),
  _xlpm.fsTop, MAX(_xlpm.scores),
  _xlpm.otherRunner, IF(COUNTIF(_xlpm.scores, _xlpm.fsTop) &gt; 1,
                  _xlpm.fsTop,
                  IFERROR(MAX(IF(_xlpm.scores &lt; _xlpm.fsTop, _xlpm.scores)), 0)
                 ),
  _xlpm.partner, IF(_xlpm.fsSec = _xlpm.fsTop, _xlpm.otherRunner, _xlpm.fsTop),
  _xlpm.denom, _xlpm.fsSec + _xlpm.partner,
  IF(_xlpm.denom = 0, 0, _xlpm.fsSec / _xlpm.denom)
)</f>
        <v>0.46953285657337063</v>
      </c>
      <c r="E83" s="24" t="s">
        <v>183</v>
      </c>
      <c r="H83" s="98"/>
      <c r="I83" s="41"/>
      <c r="J83" s="190" t="s">
        <v>208</v>
      </c>
      <c r="K83" s="127" t="s">
        <v>90</v>
      </c>
      <c r="L83" s="208">
        <v>135</v>
      </c>
      <c r="M83" s="237">
        <f>_xlfn.LET(
  _xlpm.analyte, SensorLab[[#This Row],[Analyte]],
  _xlpm.raw, N(SensorLab[[#This Row],[Raw_Value]]),
  _xlpm.scaleF, IFERROR(
    _xlfn.XLOOKUP(_xlpm.analyte, CalibrationCoefficients[Analyte], CalibrationCoefficients[ScaleFactor]),
    1
  ),
  IF(AND(_xlpm.analyte&lt;&gt;"", ISNUMBER(_xlpm.raw)), _xlpm.raw * _xlpm.scaleF, "NA")
)</f>
        <v>13.5</v>
      </c>
      <c r="N83" s="194"/>
      <c r="O83" s="41"/>
      <c r="P83" s="41">
        <v>13.5</v>
      </c>
      <c r="Q83" s="208" cm="1">
        <f t="array" ref="Q83">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13.5</v>
      </c>
      <c r="R83" s="237" cm="1">
        <f t="array" ref="R8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13.47668</v>
      </c>
      <c r="S83" s="238" cm="1">
        <f t="array" ref="S8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13.440099999999999</v>
      </c>
      <c r="T83" s="238" cm="1">
        <f t="array" ref="T8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-10.559900000000001</v>
      </c>
      <c r="U83" s="41" t="str" cm="1">
        <f t="array" ref="U8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13.46228 and 13.53772</v>
      </c>
      <c r="V83" s="213"/>
      <c r="W83" s="213"/>
      <c r="X83" s="4"/>
      <c r="Y83" s="4"/>
      <c r="Z83" s="209"/>
      <c r="AA83" s="209"/>
      <c r="AB83" s="209"/>
      <c r="AC83" s="209"/>
      <c r="AD83" s="212"/>
      <c r="AE83" s="4"/>
      <c r="AF83" s="209"/>
      <c r="AG83" s="209"/>
      <c r="AH83" s="4"/>
      <c r="AI83" s="4"/>
      <c r="AJ83" s="4"/>
      <c r="AK83" s="4"/>
      <c r="AL83" s="6"/>
    </row>
    <row r="84" spans="2:38" x14ac:dyDescent="0.15">
      <c r="B84" s="141" t="s">
        <v>164</v>
      </c>
      <c r="C84" s="176" t="str">
        <f>_xlfn.LET(
    _xlpm.Pri, C82,
    _xlpm.Sec, C83,
    _xlpm.PriScore, D82,
    _xlpm.SecScore, D83,
    IF(_xlpm.PriScore - _xlpm.SecScore &gt;= 0.1,
        _xlpm.Pri,
        _xlpm.Sec
    )
)</f>
        <v>Loamy Sand</v>
      </c>
      <c r="D84" s="177" t="str">
        <f>_xlfn.LET(
    _xlpm.Sand, C65,
    _xlpm.Silt, C66,
    _xlpm.Clay, C67,
    _xlpm.texName, C84,
    _xlpm.texList, USDAClass[Texture],
    _xlpm.sandCtr, USDAClass[Sand (%)],
    _xlpm.siltCtr, USDAClass[Silt (%)],
    _xlpm.clayCtr, USDAClass[Clay (%)],
    _xlpm.idx, MATCH(_xlpm.texName, _xlpm.texList, 0),
    _xlpm.ctrSand, INDEX(_xlpm.sandCtr, _xlpm.idx),
    _xlpm.ctrSilt, INDEX(_xlpm.siltCtr, _xlpm.idx),
    _xlpm.ctrClay, INDEX(_xlpm.clayCtr, _xlpm.idx),
    _xlpm.Dist, SQRT( (_xlpm.Sand - _xlpm.ctrSand)^2 + (_xlpm.Silt - _xlpm.ctrSilt)^2 + (_xlpm.Clay - _xlpm.ctrClay)^2 ),
    _xlpm.MaxDist, 12,
    _xlpm.Conf, MAX(0, MIN(1, 1 - _xlpm.Dist / _xlpm.MaxDist)),
    _xlpm.Stability, MAX(0, MIN(1, 1 - _xlpm.Dist / (_xlpm.MaxDist * 1.5))),
    "Dist=" &amp; TEXT(_xlpm.Dist,"0.00") &amp;
    " | Conf=" &amp; TEXT(_xlpm.Conf,"0%") &amp;
    " | Stability=" &amp; TEXT(_xlpm.Stability,"0%")
)</f>
        <v>Dist=5.08 | Conf=58% | Stability=72%</v>
      </c>
      <c r="E84" s="156" t="str" cm="1">
        <f t="array" ref="E84">_xlfn.IFS(
  AND(C80 &lt; 2, C81 &lt; 6),     "Acidic ",
  AND(C80 &lt; 2, C81 &lt;= 7.5),  "Neutral ",
  AND(C80 &lt; 2, C81 &lt;= 8.5),  "Slightly Alkaline ",
  AND(C80 &lt; 2, C81 &gt;  8.5),  "Sodic ",
  AND(C80 &gt;= 4, C81 &lt;= 8.5), "Saline ",
  AND(C80 &gt;= 4, C81 &gt;  8.5), "Saline-Sodic ",
  TRUE,                      "Check pH/EC values"
)</f>
        <v xml:space="preserve">Slightly Alkaline </v>
      </c>
      <c r="J84" s="190" t="s">
        <v>208</v>
      </c>
      <c r="K84" s="191" t="s">
        <v>43</v>
      </c>
      <c r="L84" s="208">
        <v>273</v>
      </c>
      <c r="M84" s="237">
        <f>_xlfn.LET(
  _xlpm.analyte, SensorLab[[#This Row],[Analyte]],
  _xlpm.raw, N(SensorLab[[#This Row],[Raw_Value]]),
  _xlpm.scaleF, IFERROR(
    _xlfn.XLOOKUP(_xlpm.analyte, CalibrationCoefficients[Analyte], CalibrationCoefficients[ScaleFactor]),
    1
  ),
  IF(AND(_xlpm.analyte&lt;&gt;"", ISNUMBER(_xlpm.raw)), _xlpm.raw * _xlpm.scaleF, "NA")
)</f>
        <v>27.3</v>
      </c>
      <c r="N84" s="194"/>
      <c r="O84" s="41"/>
      <c r="P84" s="41">
        <v>27.3</v>
      </c>
      <c r="Q84" s="208" cm="1">
        <f t="array" ref="Q8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27.3</v>
      </c>
      <c r="R84" s="237" cm="1">
        <f t="array" ref="R8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27.287749999999999</v>
      </c>
      <c r="S84" s="238" cm="1">
        <f t="array" ref="S8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27.301159999999999</v>
      </c>
      <c r="T84" s="238" cm="1">
        <f t="array" ref="T8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-1.16E-3</v>
      </c>
      <c r="U84" s="41" t="str" cm="1">
        <f t="array" ref="U8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27.30000 and 27.30000</v>
      </c>
      <c r="V84" s="213"/>
      <c r="W84" s="213"/>
      <c r="X84" s="4"/>
      <c r="Y84" s="4"/>
      <c r="Z84" s="209"/>
      <c r="AA84" s="209"/>
      <c r="AB84" s="209"/>
      <c r="AC84" s="209"/>
      <c r="AD84" s="212"/>
      <c r="AE84" s="4"/>
      <c r="AF84" s="209"/>
      <c r="AG84" s="209"/>
      <c r="AH84" s="4"/>
      <c r="AI84" s="4"/>
      <c r="AJ84" s="4"/>
      <c r="AK84" s="4"/>
      <c r="AL84" s="6"/>
    </row>
    <row r="85" spans="2:38" x14ac:dyDescent="0.15">
      <c r="B85" s="39"/>
      <c r="E85" s="24"/>
      <c r="J85" s="190" t="s">
        <v>208</v>
      </c>
      <c r="K85" s="191" t="s">
        <v>45</v>
      </c>
      <c r="L85" s="208">
        <v>2.2399999999999998E-3</v>
      </c>
      <c r="M85" s="237">
        <f>_xlfn.LET(
  _xlpm.analyte, SensorLab[[#This Row],[Analyte]],
  _xlpm.raw, N(SensorLab[[#This Row],[Raw_Value]]),
  _xlpm.scaleF, IFERROR(
    _xlfn.XLOOKUP(_xlpm.analyte, CalibrationCoefficients[Analyte], CalibrationCoefficients[ScaleFactor]),
    1
  ),
  IF(AND(_xlpm.analyte&lt;&gt;"", ISNUMBER(_xlpm.raw)), _xlpm.raw * _xlpm.scaleF, "NA")
)</f>
        <v>2.2399999999999998E-3</v>
      </c>
      <c r="N85" s="194"/>
      <c r="O85" s="41"/>
      <c r="P85" s="41">
        <v>0.82</v>
      </c>
      <c r="Q85" s="208" cm="1">
        <f t="array" ref="Q85">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0.82</v>
      </c>
      <c r="R85" s="237" cm="1">
        <f t="array" ref="R8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0.73987999999999998</v>
      </c>
      <c r="S85" s="238" cm="1">
        <f t="array" ref="S8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0.73577999999999999</v>
      </c>
      <c r="T85" s="238" cm="1">
        <f t="array" ref="T8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8.4220000000000003E-2</v>
      </c>
      <c r="U85" s="41" t="str" cm="1">
        <f t="array" ref="U8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0.08422)</v>
      </c>
      <c r="V85" s="213"/>
      <c r="W85" s="213"/>
      <c r="X85" s="4"/>
      <c r="Y85" s="4"/>
      <c r="Z85" s="209"/>
      <c r="AA85" s="209"/>
      <c r="AB85" s="209"/>
      <c r="AC85" s="209"/>
      <c r="AD85" s="212"/>
      <c r="AE85" s="4"/>
      <c r="AF85" s="209"/>
      <c r="AG85" s="209"/>
      <c r="AH85" s="4"/>
      <c r="AI85" s="4"/>
      <c r="AJ85" s="4"/>
      <c r="AK85" s="4"/>
      <c r="AL85" s="6"/>
    </row>
    <row r="86" spans="2:38" x14ac:dyDescent="0.15">
      <c r="B86" s="39" t="s">
        <v>129</v>
      </c>
      <c r="C86" s="261" t="str" cm="1">
        <f t="array" ref="C86">_xlfn.LET(
  _xlpm.Np,   $C$72,
  _xlpm.Pp,   $C$73,
  _xlpm.Kp,   $C$74,
  _xlpm.Tmp,  $C$75,
  _xlpm.Mst,  $C$76,
  _xlpm.TFv,  $C$79,
  _xlpm.ECv,  $C$80,
  _xlpm.pHv,  $C$81,
  _xlpm.OMv,  $C$77,
  _xlpm.CNr,  _xlfn.XLOOKUP(
           1,
           (CN_Lookup[Texture]=$C$84)*(CN_Lookup[Regime]=$E$65),
           CN_Lookup[CN_Ratio],
           12
         ),
  _xlpm.vals, _xlfn.HSTACK(_xlpm.Np, _xlpm.Pp, _xlpm.Kp, _xlpm.Tmp, _xlpm.Mst, _xlpm.OMv, _xlpm.TFv, _xlpm.ECv, _xlpm.pHv, _xlpm.CNr),
  _xlpm.mins, FertilitySpec[Min],
  _xlpm.maxs, FertilitySpec[Max],
  _xlpm.norm,  (_xlpm.vals - _xlpm.mins) / (_xlpm.maxs - _xlpm.mins),
  _xlpm.clamp, _xlfn.MAP(_xlpm.norm, _xlfn.LAMBDA(_xlpm.x, MAX(0, MIN(1, _xlpm.x)))),
  _xlpm.fertIndex, AVERAGE(_xlpm.clamp),
  _xlpm.fertPct,   TEXT(_xlpm.fertIndex, "0%"),
 _xlpm.category,
_xlfn.XLOOKUP(
    _xlpm.fertIndex,
    FertLevels[Max],
    FertLevels[Level],
    "Out of Range",
    1
),
  _xlpm.fertPct &amp; " (" &amp; _xlpm.category &amp; ")"
)</f>
        <v>40% (Moderate)</v>
      </c>
      <c r="E86" s="40"/>
      <c r="J86" s="190" t="s">
        <v>208</v>
      </c>
      <c r="K86" s="127" t="s">
        <v>0</v>
      </c>
      <c r="L86" s="208">
        <v>26.36</v>
      </c>
      <c r="M86" s="237">
        <f>_xlfn.LET(
  _xlpm.analyte, SensorLab[[#This Row],[Analyte]],
  _xlpm.raw, N(SensorLab[[#This Row],[Raw_Value]]),
  _xlpm.scaleF, IFERROR(
    _xlfn.XLOOKUP(_xlpm.analyte, CalibrationCoefficients[Analyte], CalibrationCoefficients[ScaleFactor]),
    1
  ),
  IF(AND(_xlpm.analyte&lt;&gt;"", ISNUMBER(_xlpm.raw)), _xlpm.raw * _xlpm.scaleF, "NA")
)</f>
        <v>26.36</v>
      </c>
      <c r="N86" s="194"/>
      <c r="O86" s="41"/>
      <c r="P86" s="41">
        <v>42.5</v>
      </c>
      <c r="Q86" s="208" cm="1">
        <f t="array" ref="Q8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42.5</v>
      </c>
      <c r="R86" s="237" cm="1">
        <f t="array" ref="R8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42.5</v>
      </c>
      <c r="S86" s="238" cm="1">
        <f t="array" ref="S8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42.5</v>
      </c>
      <c r="T86" s="238" cm="1">
        <f t="array" ref="T8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86" s="41" t="str" cm="1">
        <f t="array" ref="U8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86" s="213"/>
      <c r="W86" s="213"/>
      <c r="X86" s="4"/>
      <c r="Y86" s="4"/>
      <c r="Z86" s="209"/>
      <c r="AA86" s="209"/>
      <c r="AB86" s="209"/>
      <c r="AC86" s="209"/>
      <c r="AD86" s="212"/>
      <c r="AE86" s="4"/>
      <c r="AF86" s="209"/>
      <c r="AG86" s="209"/>
      <c r="AH86" s="4"/>
      <c r="AI86" s="4"/>
      <c r="AJ86" s="4"/>
      <c r="AK86" s="4"/>
      <c r="AL86" s="6"/>
    </row>
    <row r="87" spans="2:38" x14ac:dyDescent="0.15">
      <c r="B87" s="39" t="s">
        <v>133</v>
      </c>
      <c r="C87" s="29" t="str" cm="1">
        <f t="array" ref="C87">_xlfn.LET(
  _xlpm.Moisture,    $C$76,
  _xlpm.SoilTemp,    $C$75,
  _xlpm.EC,          $C$80,
  _xlpm.pH,          $C$81,
  _xlpm.OMfract,     $C$77,
  _xlpm.TF,          $C$79,
  _xlpm.CNratio,     _xlfn.XLOOKUP(
                 1,
                 (CN_Lookup[Texture]=$C$84)
               * (CN_Lookup[Regime]=$E$65),
                 CN_Lookup[CN_Ratio],
                 12
               ),
  _xlpm.vals,        _xlfn.HSTACK(_xlpm.Moisture, _xlpm.SoilTemp, _xlpm.EC, _xlpm.pH, _xlpm.OMfract, _xlpm.TF, _xlpm.CNratio),
  _xlpm.mins,        EnvironmentalSpec[Min],
  _xlpm.maxs,        EnvironmentalSpec[Max],
  _xlpm.norm,        (_xlpm.vals - _xlpm.mins) / (_xlpm.maxs - _xlpm.mins),
  _xlpm.clamped,     _xlfn.MAP(_xlpm.norm, _xlfn.LAMBDA(_xlpm.x, MAX(0, MIN(1, _xlpm.x)))),
  _xlpm.envIndex,    AVERAGE(_xlpm.clamped),
  TEXT(_xlpm.envIndex, "0%")
)</f>
        <v>51%</v>
      </c>
      <c r="E87" s="40"/>
      <c r="J87" s="190" t="s">
        <v>208</v>
      </c>
      <c r="K87" s="127" t="s">
        <v>5</v>
      </c>
      <c r="L87" s="208">
        <v>58.7</v>
      </c>
      <c r="M87" s="237">
        <f>_xlfn.LET(
  _xlpm.analyte, SensorLab[[#This Row],[Analyte]],
  _xlpm.raw, N(SensorLab[[#This Row],[Raw_Value]]),
  _xlpm.scaleF, IFERROR(
    _xlfn.XLOOKUP(_xlpm.analyte, CalibrationCoefficients[Analyte], CalibrationCoefficients[ScaleFactor]),
    1
  ),
  IF(AND(_xlpm.analyte&lt;&gt;"", ISNUMBER(_xlpm.raw)), _xlpm.raw * _xlpm.scaleF, "NA")
)</f>
        <v>58.7</v>
      </c>
      <c r="N87" s="194"/>
      <c r="O87" s="41"/>
      <c r="P87" s="41">
        <v>37.5</v>
      </c>
      <c r="Q87" s="208" cm="1">
        <f t="array" ref="Q87">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37.5</v>
      </c>
      <c r="R87" s="237" cm="1">
        <f t="array" ref="R8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37.5</v>
      </c>
      <c r="S87" s="238" cm="1">
        <f t="array" ref="S8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37.5</v>
      </c>
      <c r="T87" s="238" cm="1">
        <f t="array" ref="T8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87" s="41" t="str" cm="1">
        <f t="array" ref="U8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87" s="213"/>
      <c r="W87" s="213"/>
      <c r="X87" s="4"/>
      <c r="Y87" s="4"/>
      <c r="Z87" s="209"/>
      <c r="AA87" s="209"/>
      <c r="AB87" s="209"/>
      <c r="AC87" s="209"/>
      <c r="AD87" s="212"/>
      <c r="AE87" s="4"/>
      <c r="AF87" s="209"/>
      <c r="AG87" s="209"/>
      <c r="AH87" s="4"/>
      <c r="AI87" s="4"/>
      <c r="AJ87" s="4"/>
      <c r="AK87" s="4"/>
      <c r="AL87" s="6"/>
    </row>
    <row r="88" spans="2:38" x14ac:dyDescent="0.15">
      <c r="B88" s="39" t="s">
        <v>135</v>
      </c>
      <c r="C88" s="262" cm="1">
        <f t="array" ref="C88">_xlfn.LET(
  _xlpm.textures,    _xlfn.VSTACK($C$82, $C$83),
  _xlpm.clay_vals,   _xlfn.XLOOKUP(
                 _xlpm.textures,
                 USDAClass[Texture],
                 USDAClass[Clay (%)],
                 0
               ),
  _xlpm.confs,       _xlfn.VSTACK(0.86, 0.14),
  _xlpm.clay_blend,  SUM(_xlpm.clay_vals * _xlpm.confs) / SUM(_xlpm.confs),
  _xlpm.om_frac,     $C$77,
  _xlpm.cec_calc,    0.23 * _xlpm.clay_blend + 1 * _xlpm.om_frac,
  _xlpm.cec_calc
)</f>
        <v>1.7894522689704835</v>
      </c>
      <c r="D88" s="34" t="s">
        <v>138</v>
      </c>
      <c r="E88" s="40"/>
      <c r="J88" s="190" t="s">
        <v>208</v>
      </c>
      <c r="K88" s="127" t="s">
        <v>6</v>
      </c>
      <c r="L88" s="208">
        <v>14.94</v>
      </c>
      <c r="M88" s="237">
        <f>_xlfn.LET(
  _xlpm.analyte, SensorLab[[#This Row],[Analyte]],
  _xlpm.raw, N(SensorLab[[#This Row],[Raw_Value]]),
  _xlpm.scaleF, IFERROR(
    _xlfn.XLOOKUP(_xlpm.analyte, CalibrationCoefficients[Analyte], CalibrationCoefficients[ScaleFactor]),
    1
  ),
  IF(AND(_xlpm.analyte&lt;&gt;"", ISNUMBER(_xlpm.raw)), _xlpm.raw * _xlpm.scaleF, "NA")
)</f>
        <v>14.94</v>
      </c>
      <c r="N88" s="194"/>
      <c r="O88" s="41"/>
      <c r="P88" s="41">
        <v>20</v>
      </c>
      <c r="Q88" s="208" cm="1">
        <f t="array" ref="Q8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20</v>
      </c>
      <c r="R88" s="237" cm="1">
        <f t="array" ref="R8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20</v>
      </c>
      <c r="S88" s="238" cm="1">
        <f t="array" ref="S8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20</v>
      </c>
      <c r="T88" s="238" cm="1">
        <f t="array" ref="T8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88" s="41" t="str" cm="1">
        <f t="array" ref="U8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88" s="213"/>
      <c r="W88" s="213"/>
      <c r="X88" s="4"/>
      <c r="Y88" s="4"/>
      <c r="Z88" s="209"/>
      <c r="AA88" s="209"/>
      <c r="AB88" s="209"/>
      <c r="AC88" s="209"/>
      <c r="AD88" s="212"/>
      <c r="AE88" s="4"/>
      <c r="AF88" s="209"/>
      <c r="AG88" s="209"/>
      <c r="AH88" s="4"/>
      <c r="AI88" s="4"/>
      <c r="AJ88" s="4"/>
      <c r="AK88" s="4"/>
      <c r="AL88" s="6"/>
    </row>
    <row r="89" spans="2:38" ht="11.25" thickBot="1" x14ac:dyDescent="0.2">
      <c r="B89" s="39" t="s">
        <v>139</v>
      </c>
      <c r="C89" s="262">
        <f>_xlfn.LET(
  _xlpm.full1, C82,
  _xlpm.full2, C83,
  _xlpm.pri,  TRIM(
          IFERROR(
            LEFT(_xlpm.full1, FIND(" (", _xlpm.full1) - 1),
            _xlpm.full1
          )
        ),
  _xlpm.sec,  TRIM(
          IFERROR(
            LEFT(_xlpm.full2, FIND(" (", _xlpm.full2) - 1),
            _xlpm.full2
          )
        ),
  _xlpm.textures, USDAClass[Texture],
  _xlpm.clays,    USDAClass[Clay (%)],
  _xlpm.clay1, _xlfn.IFNA( INDEX(_xlpm.clays, MATCH(_xlpm.pri,  _xlpm.textures, 0)), 0 ),
  _xlpm.clay2, _xlfn.IFNA( INDEX(_xlpm.clays, MATCH(_xlpm.sec,  _xlpm.textures, 0)), 0 ),
  _xlpm.clay1 * D82 + _xlpm.clay2 * D83
)</f>
        <v>6.1738321414334267</v>
      </c>
      <c r="D89" s="34" t="s">
        <v>66</v>
      </c>
      <c r="E89" s="40"/>
      <c r="J89" s="190" t="s">
        <v>208</v>
      </c>
      <c r="K89" s="193" t="s">
        <v>69</v>
      </c>
      <c r="L89" s="255" t="str" cm="1">
        <f t="array" ref="L89">_xlfn.LET(
  _xlpm.bs,L86, _xlpm.si,L87, _xlpm.c,L88,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M89" s="256" t="str" cm="1">
        <f t="array" ref="M89">_xlfn.LET(
  _xlpm.bs,M86, _xlpm.si,M87, _xlpm.c,M88,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N89" s="245" t="str" cm="1">
        <f t="array" ref="N89">_xlfn.LET(
  _xlpm.bs,N86, _xlpm.si,N87, _xlpm.c,N88,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89" s="245" t="str" cm="1">
        <f t="array" ref="O89">_xlfn.LET(
  _xlpm.bs,O86, _xlpm.si,O87, _xlpm.c,O88,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P89" s="245" t="str" cm="1">
        <f t="array" ref="P89">_xlfn.LET(
  _xlpm.bs,P86, _xlpm.si,P87, _xlpm.c,P88,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Q89" s="255" t="str" cm="1">
        <f t="array" ref="Q89">_xlfn.LET(
  _xlpm.bs,Q86, _xlpm.si,Q87, _xlpm.c,Q88,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R89" s="256" t="str" cm="1">
        <f t="array" ref="R89">_xlfn.LET(
  _xlpm.bs,R86, _xlpm.si,R87, _xlpm.c,R88,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S89" s="256" t="str" cm="1">
        <f t="array" ref="S89">_xlfn.LET(
  _xlpm.bs,S86, _xlpm.si,S87, _xlpm.c,S88,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T89" s="240" cm="1">
        <f t="array" ref="T8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89" s="229" t="str" cm="1">
        <f t="array" ref="U8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(Texture match: Loam)</v>
      </c>
      <c r="V89" s="213"/>
      <c r="W89" s="213"/>
      <c r="X89" s="4"/>
      <c r="Y89" s="4"/>
      <c r="Z89" s="209"/>
      <c r="AA89" s="209"/>
      <c r="AB89" s="209"/>
      <c r="AC89" s="209"/>
      <c r="AD89" s="212"/>
      <c r="AE89" s="4"/>
      <c r="AF89" s="209"/>
      <c r="AG89" s="209"/>
      <c r="AH89" s="4"/>
      <c r="AI89" s="4"/>
      <c r="AJ89" s="4"/>
      <c r="AK89" s="4"/>
      <c r="AL89" s="6"/>
    </row>
    <row r="90" spans="2:38" x14ac:dyDescent="0.15">
      <c r="B90" s="39" t="s">
        <v>136</v>
      </c>
      <c r="C90" s="262">
        <f xml:space="preserve"> _xlfn.LET(
    _xlpm.soc_frac, C78,
    _xlpm.bd,       _xlfn.XLOOKUP("Clay",SoilSpec[Texture],SoilSpec[BD_Min (t/m³)]),
    _xlpm.depth_m,  30/100,
    _xlpm.stock,    ROUND(_xlpm.soc_frac * _xlpm.bd * _xlpm.depth_m * 10000, 1),
    _xlpm.stock
  )</f>
        <v>1021.3</v>
      </c>
      <c r="D90" s="34" t="s">
        <v>137</v>
      </c>
      <c r="E90" s="40"/>
      <c r="J90" s="188" t="s">
        <v>207</v>
      </c>
      <c r="K90" s="189" t="s">
        <v>39</v>
      </c>
      <c r="L90" s="207">
        <v>3</v>
      </c>
      <c r="M90" s="239">
        <f>_xlfn.LET(
  _xlpm.analyte, SensorLab[[#This Row],[Analyte]],
  _xlpm.raw, N(SensorLab[[#This Row],[Raw_Value]]),
  _xlpm.scaleF, IFERROR(
    _xlfn.XLOOKUP(_xlpm.analyte, CalibrationCoefficients[Analyte], CalibrationCoefficients[ScaleFactor]),
    1
  ),
  IF(AND(_xlpm.analyte&lt;&gt;"", ISNUMBER(_xlpm.raw)), _xlpm.raw * _xlpm.scaleF, "NA")
)</f>
        <v>3</v>
      </c>
      <c r="N90" s="227"/>
      <c r="O90" s="228"/>
      <c r="P90" s="228">
        <v>1.2813000000000001</v>
      </c>
      <c r="Q90" s="207" cm="1">
        <f t="array" ref="Q9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1.2813000000000001</v>
      </c>
      <c r="R90" s="239" cm="1">
        <f t="array" ref="R9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0.86775999999999998</v>
      </c>
      <c r="S90" s="241" cm="1">
        <f t="array" ref="S9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2.4211299999999998</v>
      </c>
      <c r="T90" s="241" cm="1">
        <f t="array" ref="T9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-3.5788700000000002</v>
      </c>
      <c r="U90" s="228" t="str" cm="1">
        <f t="array" ref="U9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0.86776 and 0.86776</v>
      </c>
      <c r="V90" s="213"/>
      <c r="W90" s="213"/>
      <c r="X90" s="4"/>
      <c r="Y90" s="4"/>
      <c r="Z90" s="209"/>
      <c r="AA90" s="209"/>
      <c r="AB90" s="209"/>
      <c r="AC90" s="209"/>
      <c r="AD90" s="212"/>
      <c r="AE90" s="4"/>
      <c r="AF90" s="209"/>
      <c r="AG90" s="209"/>
      <c r="AH90" s="4"/>
      <c r="AI90" s="4"/>
      <c r="AJ90" s="4"/>
      <c r="AK90" s="4"/>
      <c r="AL90" s="6"/>
    </row>
    <row r="91" spans="2:38" x14ac:dyDescent="0.15">
      <c r="B91" s="42"/>
      <c r="C91" s="263"/>
      <c r="E91" s="40"/>
      <c r="J91" s="190" t="s">
        <v>207</v>
      </c>
      <c r="K91" s="191" t="s">
        <v>40</v>
      </c>
      <c r="L91" s="208">
        <v>53</v>
      </c>
      <c r="M91" s="237">
        <f>_xlfn.LET(
  _xlpm.analyte, SensorLab[[#This Row],[Analyte]],
  _xlpm.raw, N(SensorLab[[#This Row],[Raw_Value]]),
  _xlpm.scaleF, IFERROR(
    _xlfn.XLOOKUP(_xlpm.analyte, CalibrationCoefficients[Analyte], CalibrationCoefficients[ScaleFactor]),
    1
  ),
  IF(AND(_xlpm.analyte&lt;&gt;"", ISNUMBER(_xlpm.raw)), _xlpm.raw * _xlpm.scaleF, "NA")
)</f>
        <v>53</v>
      </c>
      <c r="N91" s="194"/>
      <c r="O91" s="41"/>
      <c r="P91" s="41">
        <v>18</v>
      </c>
      <c r="Q91" s="208" cm="1">
        <f t="array" ref="Q91">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18</v>
      </c>
      <c r="R91" s="237" cm="1">
        <f t="array" ref="R9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6.64011</v>
      </c>
      <c r="S91" s="238" cm="1">
        <f t="array" ref="S9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5.4500799999999998</v>
      </c>
      <c r="T91" s="238" cm="1">
        <f t="array" ref="T9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12.54992</v>
      </c>
      <c r="U91" s="41" t="str" cm="1">
        <f t="array" ref="U9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12.64899 and 7.55225</v>
      </c>
      <c r="V91" s="213"/>
      <c r="W91" s="213"/>
      <c r="X91" s="4"/>
      <c r="Y91" s="4"/>
      <c r="Z91" s="209"/>
      <c r="AA91" s="209"/>
      <c r="AB91" s="209"/>
      <c r="AC91" s="209"/>
      <c r="AD91" s="212"/>
      <c r="AE91" s="4"/>
      <c r="AF91" s="209"/>
      <c r="AG91" s="209"/>
      <c r="AH91" s="4"/>
      <c r="AI91" s="4"/>
      <c r="AJ91" s="4"/>
      <c r="AK91" s="4"/>
      <c r="AL91" s="6"/>
    </row>
    <row r="92" spans="2:38" x14ac:dyDescent="0.15">
      <c r="B92" s="42" t="s">
        <v>132</v>
      </c>
      <c r="C92" s="263" t="s">
        <v>130</v>
      </c>
      <c r="D92" s="16" t="s">
        <v>131</v>
      </c>
      <c r="E92" s="161" t="s">
        <v>196</v>
      </c>
      <c r="J92" s="190" t="s">
        <v>207</v>
      </c>
      <c r="K92" s="191" t="s">
        <v>41</v>
      </c>
      <c r="L92" s="208">
        <v>45</v>
      </c>
      <c r="M92" s="237">
        <f>_xlfn.LET(
  _xlpm.analyte, SensorLab[[#This Row],[Analyte]],
  _xlpm.raw, N(SensorLab[[#This Row],[Raw_Value]]),
  _xlpm.scaleF, IFERROR(
    _xlfn.XLOOKUP(_xlpm.analyte, CalibrationCoefficients[Analyte], CalibrationCoefficients[ScaleFactor]),
    1
  ),
  IF(AND(_xlpm.analyte&lt;&gt;"", ISNUMBER(_xlpm.raw)), _xlpm.raw * _xlpm.scaleF, "NA")
)</f>
        <v>45</v>
      </c>
      <c r="N92" s="194"/>
      <c r="O92" s="41"/>
      <c r="P92" s="41">
        <v>125</v>
      </c>
      <c r="Q92" s="208" cm="1">
        <f t="array" ref="Q9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125</v>
      </c>
      <c r="R92" s="237" cm="1">
        <f t="array" ref="R9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125.64254</v>
      </c>
      <c r="S92" s="238" cm="1">
        <f t="array" ref="S9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111.94257</v>
      </c>
      <c r="T92" s="238" cm="1">
        <f t="array" ref="T9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13.05743</v>
      </c>
      <c r="U92" s="41" t="str" cm="1">
        <f t="array" ref="U9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123.20689 and 126.18689</v>
      </c>
      <c r="V92" s="213"/>
      <c r="W92" s="213"/>
      <c r="X92" s="4"/>
      <c r="Y92" s="4"/>
      <c r="Z92" s="209"/>
      <c r="AA92" s="209"/>
      <c r="AB92" s="209"/>
      <c r="AC92" s="209"/>
      <c r="AD92" s="212"/>
      <c r="AE92" s="4"/>
      <c r="AF92" s="209"/>
      <c r="AG92" s="209"/>
      <c r="AH92" s="4"/>
      <c r="AI92" s="4"/>
      <c r="AJ92" s="4"/>
      <c r="AK92" s="4"/>
      <c r="AL92" s="6"/>
    </row>
    <row r="93" spans="2:38" x14ac:dyDescent="0.15">
      <c r="B93" s="39" t="s">
        <v>45</v>
      </c>
      <c r="C93" s="102" t="str">
        <f>_xlfn.LET(
  _xlpm.rawOM,C77/ 100,
  _xlpm.minOM, _xlfn.XLOOKUP(
           C84,
           SoilSpec[Texture],
           SoilSpec[OM_Min]
         ),
  _xlpm.defOM, MAX(0, (_xlpm.minOM - _xlpm.rawOM) / _xlpm.minOM),
  TEXT(_xlpm.defOM, "0.0%")
)</f>
        <v>97.2%</v>
      </c>
      <c r="D93" s="104" t="str">
        <f>_xlfn.LET(
  _xlpm.rawOM,C77/ 100,
  _xlpm.minOM, _xlfn.XLOOKUP(
           C82,
           SoilSpec[Texture],
           SoilSpec[OM_Min]
         ),
  _xlpm.gapOM, MAX(0, _xlpm.minOM - _xlpm.rawOM),
  TEXT(_xlpm.gapOM, "0.0%")
)</f>
        <v>9.4%</v>
      </c>
      <c r="E93" s="40" t="str">
        <f>_xlfn.LET(
  _xlpm.rawOM_frac,  C77,
  _xlpm.tex,         C82,
  _xlpm.OM_min,      _xlfn.XLOOKUP(_xlpm.tex, SoilSpec[Texture], SoilSpec[OM_Min], 0, 0),
  _xlpm.gapOM_frac,  MAX(0, _xlpm.OM_min - _xlpm.rawOM_frac),
  _xlpm.massFactor,  1.95,
  _xlpm.compost_kg,  _xlpm.gapOM_frac * _xlpm.massFactor * 10000,
  IF(
    _xlpm.gapOM_frac &gt; 0,
    "Add OM: " &amp;
      TEXT(_xlpm.gapOM_frac*100, "0.0") &amp; "% OM (≈" &amp;
      TEXT(_xlpm.compost_kg, "0") &amp; " kg compost/ha)",
    ""
  )
)</f>
        <v/>
      </c>
      <c r="J93" s="190" t="s">
        <v>207</v>
      </c>
      <c r="K93" s="127" t="s">
        <v>52</v>
      </c>
      <c r="L93" s="208">
        <v>199</v>
      </c>
      <c r="M93" s="237">
        <f>_xlfn.LET(
  _xlpm.analyte, SensorLab[[#This Row],[Analyte]],
  _xlpm.raw, N(SensorLab[[#This Row],[Raw_Value]]),
  _xlpm.scaleF, IFERROR(
    _xlfn.XLOOKUP(_xlpm.analyte, CalibrationCoefficients[Analyte], CalibrationCoefficients[ScaleFactor]),
    1
  ),
  IF(AND(_xlpm.analyte&lt;&gt;"", ISNUMBER(_xlpm.raw)), _xlpm.raw * _xlpm.scaleF, "NA")
)</f>
        <v>0.19900000000000001</v>
      </c>
      <c r="N93" s="194"/>
      <c r="O93" s="41"/>
      <c r="P93" s="41">
        <v>1.48</v>
      </c>
      <c r="Q93" s="208" cm="1">
        <f t="array" ref="Q93">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1.48</v>
      </c>
      <c r="R93" s="237" cm="1">
        <f t="array" ref="R9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1.0461400000000001</v>
      </c>
      <c r="S93" s="238" cm="1">
        <f t="array" ref="S9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1.0139100000000001</v>
      </c>
      <c r="T93" s="238" cm="1">
        <f t="array" ref="T9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0.46609</v>
      </c>
      <c r="U93" s="41" t="str" cm="1">
        <f t="array" ref="U9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1.20886 and 1.11607</v>
      </c>
      <c r="V93" s="213"/>
      <c r="W93" s="213"/>
      <c r="X93" s="4"/>
      <c r="Y93" s="4"/>
      <c r="Z93" s="209"/>
      <c r="AA93" s="209"/>
      <c r="AB93" s="209"/>
      <c r="AC93" s="209"/>
      <c r="AD93" s="212"/>
      <c r="AE93" s="4"/>
      <c r="AF93" s="209"/>
      <c r="AG93" s="209"/>
      <c r="AH93" s="4"/>
      <c r="AI93" s="4"/>
      <c r="AJ93" s="4"/>
      <c r="AK93" s="4"/>
      <c r="AL93" s="6"/>
    </row>
    <row r="94" spans="2:38" x14ac:dyDescent="0.15">
      <c r="B94" s="39" t="s">
        <v>39</v>
      </c>
      <c r="C94" s="102" t="str">
        <f>_xlfn.LET(
  _xlpm.effN,    C72,
  _xlpm.minN,    _xlfn.XLOOKUP(
             C84,
             SoilSpec[Texture],
             SoilSpec[Nopt_Min]
           ),
  _xlpm.defN,    MAX(0, (_xlpm.minN - _xlpm.effN) / _xlpm.minN),
  TEXT(_xlpm.defN, "0.0%")
)</f>
        <v>71.4%</v>
      </c>
      <c r="D94" s="4" t="str">
        <f>_xlfn.LET(
  _xlpm.effN,    C72,
  _xlpm.minN,    _xlfn.XLOOKUP(
             C82,
             SoilSpec[Texture],
             SoilSpec[Nopt_Min]
           ),
  _xlpm.gapN,    MAX(0, _xlpm.minN - _xlpm.effN),
  TEXT(_xlpm.gapN, "0")
)</f>
        <v>3</v>
      </c>
      <c r="E94" s="40" t="str">
        <f>_xlfn.LET(
  _xlpm.effN,       C72,
  _xlpm.tex,        C82,
  _xlpm.N_min,      _xlfn.XLOOKUP(_xlpm.tex, SoilSpec[Texture], SoilSpec[Nopt_Min], 0, 0),
  _xlpm.gapN_ppm,   MAX(0, _xlpm.N_min - _xlpm.effN),
  _xlpm.massFactor, 1.95,
  _xlpm.kgN,        _xlpm.gapN_ppm * _xlpm.massFactor,
  IF(
    _xlpm.gapN_ppm &gt; 0,
    "Apply N: " &amp; TEXT(_xlpm.kgN, "0") &amp; " kg N/ha (e.g. urea)",
    ""
  )
)</f>
        <v>Apply N: 6 kg N/ha (e.g. urea)</v>
      </c>
      <c r="J94" s="190" t="s">
        <v>207</v>
      </c>
      <c r="K94" s="127" t="s">
        <v>34</v>
      </c>
      <c r="L94" s="208">
        <v>79</v>
      </c>
      <c r="M94" s="237">
        <f>_xlfn.LET(
  _xlpm.analyte, SensorLab[[#This Row],[Analyte]],
  _xlpm.raw, N(SensorLab[[#This Row],[Raw_Value]]),
  _xlpm.scaleF, IFERROR(
    _xlfn.XLOOKUP(_xlpm.analyte, CalibrationCoefficients[Analyte], CalibrationCoefficients[ScaleFactor]),
    1
  ),
  IF(AND(_xlpm.analyte&lt;&gt;"", ISNUMBER(_xlpm.raw)), _xlpm.raw * _xlpm.scaleF, "NA")
)</f>
        <v>7.9</v>
      </c>
      <c r="N94" s="194"/>
      <c r="O94" s="41"/>
      <c r="P94" s="41">
        <v>7.6</v>
      </c>
      <c r="Q94" s="208" cm="1">
        <f t="array" ref="Q9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7.6</v>
      </c>
      <c r="R94" s="237" cm="1">
        <f t="array" ref="R9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7.8626399999999999</v>
      </c>
      <c r="S94" s="238" cm="1">
        <f t="array" ref="S9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7.8297299999999996</v>
      </c>
      <c r="T94" s="238" cm="1">
        <f t="array" ref="T9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-0.22972999999999999</v>
      </c>
      <c r="U94" s="41" t="str" cm="1">
        <f t="array" ref="U9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-0.22973)</v>
      </c>
      <c r="V94" s="213"/>
      <c r="W94" s="213"/>
      <c r="X94" s="4"/>
      <c r="Y94" s="4"/>
      <c r="Z94" s="209"/>
      <c r="AA94" s="209"/>
      <c r="AB94" s="209"/>
      <c r="AC94" s="209"/>
      <c r="AD94" s="212"/>
      <c r="AE94" s="4"/>
      <c r="AF94" s="209"/>
      <c r="AG94" s="209"/>
      <c r="AH94" s="4"/>
      <c r="AI94" s="4"/>
      <c r="AJ94" s="4"/>
      <c r="AK94" s="4"/>
      <c r="AL94" s="6"/>
    </row>
    <row r="95" spans="2:38" x14ac:dyDescent="0.15">
      <c r="B95" s="39" t="s">
        <v>40</v>
      </c>
      <c r="C95" s="103" t="str">
        <f>_xlfn.LET(
  _xlpm.effP, 5.76,
  _xlpm.minP, _xlfn.XLOOKUP(C84, SoilSpec[Texture], SoilSpec[Popt_Min]),
  _xlpm.defP, MAX(0, (_xlpm.minP - _xlpm.effP) / _xlpm.minP),
  TEXT(_xlpm.defP, "0.0%")
)</f>
        <v>17.7%</v>
      </c>
      <c r="D95" s="5">
        <f>_xlfn.LET(
  _xlpm.effP, 5.76,
  _xlpm.minP, _xlfn.XLOOKUP(C82, SoilSpec[Texture], SoilSpec[Popt_Min]),
  _xlpm.gapP, MAX(0, _xlpm.minP - _xlpm.effP),
  _xlpm.gapP
)</f>
        <v>0</v>
      </c>
      <c r="E95" s="40" t="str">
        <f>_xlfn.LET(
  _xlpm.effP,        C73,
  _xlpm.tex,         C82,
  _xlpm.P_min,       _xlfn.XLOOKUP(_xlpm.tex, SoilSpec[Texture], SoilSpec[Popt_Min], 0, 0),
  _xlpm.gapP_ppm,    MAX(0, _xlpm.P_min - _xlpm.effP),
  _xlpm.massFactor,  1.95,
  _xlpm.kgP,         _xlpm.gapP_ppm * _xlpm.massFactor,
  _xlpm.kgP2O5,      _xlpm.kgP * 100/46,
  IF(
    _xlpm.gapP_ppm &gt; 0,
    "Apply P₂O₅: " &amp; TEXT(_xlpm.kgP2O5, "0") &amp; " kg/ha (e.g. DAP or SSP)",
    ""
  )
)</f>
        <v>Apply P₂O₅: 3 kg/ha (e.g. DAP or SSP)</v>
      </c>
      <c r="J95" s="190" t="s">
        <v>207</v>
      </c>
      <c r="K95" s="127" t="s">
        <v>90</v>
      </c>
      <c r="L95" s="208">
        <v>155</v>
      </c>
      <c r="M95" s="237">
        <f>_xlfn.LET(
  _xlpm.analyte, SensorLab[[#This Row],[Analyte]],
  _xlpm.raw, N(SensorLab[[#This Row],[Raw_Value]]),
  _xlpm.scaleF, IFERROR(
    _xlfn.XLOOKUP(_xlpm.analyte, CalibrationCoefficients[Analyte], CalibrationCoefficients[ScaleFactor]),
    1
  ),
  IF(AND(_xlpm.analyte&lt;&gt;"", ISNUMBER(_xlpm.raw)), _xlpm.raw * _xlpm.scaleF, "NA")
)</f>
        <v>15.5</v>
      </c>
      <c r="N95" s="194"/>
      <c r="O95" s="41"/>
      <c r="P95" s="41">
        <v>15.5</v>
      </c>
      <c r="Q95" s="208" cm="1">
        <f t="array" ref="Q95">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15.5</v>
      </c>
      <c r="R95" s="237" cm="1">
        <f t="array" ref="R9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15.517989999999999</v>
      </c>
      <c r="S95" s="238" cm="1">
        <f t="array" ref="S9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15.48141</v>
      </c>
      <c r="T95" s="238" cm="1">
        <f t="array" ref="T9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-8.5185899999999997</v>
      </c>
      <c r="U95" s="41" t="str" cm="1">
        <f t="array" ref="U9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0.01859)</v>
      </c>
      <c r="V95" s="213"/>
      <c r="W95" s="213"/>
      <c r="X95" s="4"/>
      <c r="Y95" s="4"/>
      <c r="Z95" s="209"/>
      <c r="AA95" s="209"/>
      <c r="AB95" s="209"/>
      <c r="AC95" s="209"/>
      <c r="AD95" s="212"/>
      <c r="AE95" s="4"/>
      <c r="AF95" s="209"/>
      <c r="AG95" s="209"/>
      <c r="AH95" s="4"/>
      <c r="AI95" s="4"/>
      <c r="AJ95" s="4"/>
      <c r="AK95" s="4"/>
      <c r="AL95" s="6"/>
    </row>
    <row r="96" spans="2:38" x14ac:dyDescent="0.15">
      <c r="B96" s="39" t="s">
        <v>41</v>
      </c>
      <c r="C96" s="104" t="str">
        <f>_xlfn.LET(
  _xlpm.effK,   C74,
  _xlpm.minK,    _xlfn.XLOOKUP(
             C84,
             SoilSpec[Texture],
             SoilSpec[Kopt_Min]
           ),
  _xlpm.defK,    MAX(0, (_xlpm.minK - _xlpm.effK) / _xlpm.minK),
  TEXT(_xlpm.defK, "0.0%")
)</f>
        <v>0.0%</v>
      </c>
      <c r="D96" s="5" t="str">
        <f>_xlfn.LET(
  _xlpm.effK,    C74,
  _xlpm.minK,    _xlfn.XLOOKUP(
            C82,
             SoilSpec[Texture],
             SoilSpec[Kopt_Min]
           ),
  _xlpm.gapK,    MAX(0, _xlpm.minK - _xlpm.effK),
  TEXT(_xlpm.gapK, "0")
)</f>
        <v>0</v>
      </c>
      <c r="E96" s="40" t="str">
        <f>_xlfn.LET(
  _xlpm.effK,        C74,
  _xlpm.tex,         C82,
  _xlpm.K_min,       _xlfn.XLOOKUP(_xlpm.tex, SoilSpec[Texture], SoilSpec[Kopt_Min], 0, 0),
  _xlpm.gapK_ppm,    MAX(0, _xlpm.K_min - _xlpm.effK),
  _xlpm.massFactor,  1.95,
  _xlpm.kgK,         _xlpm.gapK_ppm * _xlpm.massFactor,
  _xlpm.kgK2O,       _xlpm.kgK * 100/83,
  IF(
    _xlpm.gapK_ppm &gt; 0,
    "Apply K₂O: " &amp; TEXT(_xlpm.kgK2O, "0") &amp; " kg/ha (e.g. MOP)",
    ""
  )
)</f>
        <v/>
      </c>
      <c r="J96" s="190" t="s">
        <v>207</v>
      </c>
      <c r="K96" s="191" t="s">
        <v>43</v>
      </c>
      <c r="L96" s="208">
        <v>214</v>
      </c>
      <c r="M96" s="237">
        <f>_xlfn.LET(
  _xlpm.analyte, SensorLab[[#This Row],[Analyte]],
  _xlpm.raw, N(SensorLab[[#This Row],[Raw_Value]]),
  _xlpm.scaleF, IFERROR(
    _xlfn.XLOOKUP(_xlpm.analyte, CalibrationCoefficients[Analyte], CalibrationCoefficients[ScaleFactor]),
    1
  ),
  IF(AND(_xlpm.analyte&lt;&gt;"", ISNUMBER(_xlpm.raw)), _xlpm.raw * _xlpm.scaleF, "NA")
)</f>
        <v>21.400000000000002</v>
      </c>
      <c r="N96" s="194"/>
      <c r="O96" s="41"/>
      <c r="P96" s="41">
        <v>21.4</v>
      </c>
      <c r="Q96" s="208" cm="1">
        <f t="array" ref="Q9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21.4</v>
      </c>
      <c r="R96" s="237" cm="1">
        <f t="array" ref="R9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21.38627</v>
      </c>
      <c r="S96" s="238" cm="1">
        <f t="array" ref="S9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21.39968</v>
      </c>
      <c r="T96" s="238" cm="1">
        <f t="array" ref="T9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3.2000000000000003E-4</v>
      </c>
      <c r="U96" s="41" t="str" cm="1">
        <f t="array" ref="U9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21.40000 and 21.40000</v>
      </c>
      <c r="V96" s="213"/>
      <c r="W96" s="213"/>
      <c r="X96" s="4"/>
      <c r="Y96" s="4"/>
      <c r="Z96" s="209"/>
      <c r="AA96" s="209"/>
      <c r="AB96" s="209"/>
      <c r="AC96" s="209"/>
      <c r="AD96" s="212"/>
      <c r="AE96" s="4"/>
      <c r="AF96" s="209"/>
      <c r="AG96" s="209"/>
      <c r="AH96" s="4"/>
      <c r="AI96" s="4"/>
      <c r="AJ96" s="4"/>
      <c r="AK96" s="4"/>
      <c r="AL96" s="6"/>
    </row>
    <row r="97" spans="2:38" x14ac:dyDescent="0.15">
      <c r="B97" s="39"/>
      <c r="D97" s="162" t="s">
        <v>197</v>
      </c>
      <c r="E97" s="40" t="str">
        <f>IF(C81&lt;6, ROUND((6-C81)*2,1) &amp; " t/ha", "None")</f>
        <v>None</v>
      </c>
      <c r="J97" s="190" t="s">
        <v>207</v>
      </c>
      <c r="K97" s="191" t="s">
        <v>45</v>
      </c>
      <c r="L97" s="208">
        <v>7.7999999999999999E-4</v>
      </c>
      <c r="M97" s="237">
        <f>_xlfn.LET(
  _xlpm.analyte, SensorLab[[#This Row],[Analyte]],
  _xlpm.raw, N(SensorLab[[#This Row],[Raw_Value]]),
  _xlpm.scaleF, IFERROR(
    _xlfn.XLOOKUP(_xlpm.analyte, CalibrationCoefficients[Analyte], CalibrationCoefficients[ScaleFactor]),
    1
  ),
  IF(AND(_xlpm.analyte&lt;&gt;"", ISNUMBER(_xlpm.raw)), _xlpm.raw * _xlpm.scaleF, "NA")
)</f>
        <v>7.7999999999999999E-4</v>
      </c>
      <c r="N97" s="194"/>
      <c r="O97" s="41"/>
      <c r="P97" s="41">
        <v>0.6</v>
      </c>
      <c r="Q97" s="208" cm="1">
        <f t="array" ref="Q97">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0.6</v>
      </c>
      <c r="R97" s="237" cm="1">
        <f t="array" ref="R9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0.62463000000000002</v>
      </c>
      <c r="S97" s="238" cm="1">
        <f t="array" ref="S9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0.62053000000000003</v>
      </c>
      <c r="T97" s="238" cm="1">
        <f t="array" ref="T9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-2.053E-2</v>
      </c>
      <c r="U97" s="41" t="str" cm="1">
        <f t="array" ref="U9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-0.02053)</v>
      </c>
      <c r="V97" s="213"/>
      <c r="W97" s="213"/>
      <c r="X97" s="4"/>
      <c r="Y97" s="4"/>
      <c r="Z97" s="209"/>
      <c r="AA97" s="209"/>
      <c r="AB97" s="209"/>
      <c r="AC97" s="209"/>
      <c r="AD97" s="212"/>
      <c r="AE97" s="4"/>
      <c r="AF97" s="209"/>
      <c r="AG97" s="209"/>
      <c r="AH97" s="4"/>
      <c r="AI97" s="4"/>
      <c r="AJ97" s="4"/>
      <c r="AK97" s="4"/>
      <c r="AL97" s="6"/>
    </row>
    <row r="98" spans="2:38" ht="11.25" thickBot="1" x14ac:dyDescent="0.2">
      <c r="B98" s="163"/>
      <c r="C98" s="155"/>
      <c r="D98" s="164" t="s">
        <v>203</v>
      </c>
      <c r="E98" s="92" t="str">
        <f>IF(C81&gt;7.5, ROUND((C81-7.5)*0.5,1) &amp; " t/ha", "None")</f>
        <v>0.2 t/ha</v>
      </c>
      <c r="J98" s="190" t="s">
        <v>207</v>
      </c>
      <c r="K98" s="127" t="s">
        <v>0</v>
      </c>
      <c r="L98" s="208">
        <v>50.72</v>
      </c>
      <c r="M98" s="237">
        <f>_xlfn.LET(
  _xlpm.analyte, SensorLab[[#This Row],[Analyte]],
  _xlpm.raw, N(SensorLab[[#This Row],[Raw_Value]]),
  _xlpm.scaleF, IFERROR(
    _xlfn.XLOOKUP(_xlpm.analyte, CalibrationCoefficients[Analyte], CalibrationCoefficients[ScaleFactor]),
    1
  ),
  IF(AND(_xlpm.analyte&lt;&gt;"", ISNUMBER(_xlpm.raw)), _xlpm.raw * _xlpm.scaleF, "NA")
)</f>
        <v>50.72</v>
      </c>
      <c r="N98" s="194"/>
      <c r="O98" s="41"/>
      <c r="P98" s="41">
        <v>52</v>
      </c>
      <c r="Q98" s="208" cm="1">
        <f t="array" ref="Q9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52</v>
      </c>
      <c r="R98" s="237" cm="1">
        <f t="array" ref="R9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52</v>
      </c>
      <c r="S98" s="238" cm="1">
        <f t="array" ref="S9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52</v>
      </c>
      <c r="T98" s="238" cm="1">
        <f t="array" ref="T9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98" s="41" t="str" cm="1">
        <f t="array" ref="U9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98" s="213"/>
      <c r="W98" s="213"/>
      <c r="X98" s="4"/>
      <c r="Y98" s="4"/>
      <c r="Z98" s="209"/>
      <c r="AA98" s="209"/>
      <c r="AB98" s="209"/>
      <c r="AC98" s="209"/>
      <c r="AD98" s="212"/>
      <c r="AE98" s="4"/>
      <c r="AF98" s="209"/>
      <c r="AG98" s="4"/>
      <c r="AH98" s="4"/>
      <c r="AI98" s="4"/>
      <c r="AJ98" s="4"/>
      <c r="AK98" s="4"/>
      <c r="AL98" s="6"/>
    </row>
    <row r="99" spans="2:38" x14ac:dyDescent="0.15">
      <c r="J99" s="190" t="s">
        <v>207</v>
      </c>
      <c r="K99" s="127" t="s">
        <v>5</v>
      </c>
      <c r="L99" s="208">
        <v>34.119999999999997</v>
      </c>
      <c r="M99" s="237">
        <f>_xlfn.LET(
  _xlpm.analyte, SensorLab[[#This Row],[Analyte]],
  _xlpm.raw, N(SensorLab[[#This Row],[Raw_Value]]),
  _xlpm.scaleF, IFERROR(
    _xlfn.XLOOKUP(_xlpm.analyte, CalibrationCoefficients[Analyte], CalibrationCoefficients[ScaleFactor]),
    1
  ),
  IF(AND(_xlpm.analyte&lt;&gt;"", ISNUMBER(_xlpm.raw)), _xlpm.raw * _xlpm.scaleF, "NA")
)</f>
        <v>34.119999999999997</v>
      </c>
      <c r="N99" s="194"/>
      <c r="O99" s="41"/>
      <c r="P99" s="41">
        <v>33</v>
      </c>
      <c r="Q99" s="208" cm="1">
        <f t="array" ref="Q99">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33</v>
      </c>
      <c r="R99" s="237" cm="1">
        <f t="array" ref="R9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33</v>
      </c>
      <c r="S99" s="238" cm="1">
        <f t="array" ref="S9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33</v>
      </c>
      <c r="T99" s="238" cm="1">
        <f t="array" ref="T9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99" s="41" t="str" cm="1">
        <f t="array" ref="U9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99" s="213"/>
      <c r="W99" s="213"/>
      <c r="X99" s="4"/>
      <c r="Y99" s="4"/>
      <c r="Z99" s="209"/>
      <c r="AA99" s="209"/>
      <c r="AB99" s="209"/>
      <c r="AC99" s="209"/>
      <c r="AD99" s="212"/>
      <c r="AE99" s="4"/>
      <c r="AF99" s="209"/>
      <c r="AG99" s="4"/>
      <c r="AH99" s="4"/>
      <c r="AI99" s="4"/>
      <c r="AJ99" s="4"/>
      <c r="AK99" s="4"/>
      <c r="AL99" s="6"/>
    </row>
    <row r="100" spans="2:38" x14ac:dyDescent="0.15">
      <c r="B100" s="38" t="s">
        <v>149</v>
      </c>
      <c r="J100" s="190" t="s">
        <v>207</v>
      </c>
      <c r="K100" s="127" t="s">
        <v>6</v>
      </c>
      <c r="L100" s="208">
        <v>15.16</v>
      </c>
      <c r="M100" s="237">
        <f>_xlfn.LET(
  _xlpm.analyte, SensorLab[[#This Row],[Analyte]],
  _xlpm.raw, N(SensorLab[[#This Row],[Raw_Value]]),
  _xlpm.scaleF, IFERROR(
    _xlfn.XLOOKUP(_xlpm.analyte, CalibrationCoefficients[Analyte], CalibrationCoefficients[ScaleFactor]),
    1
  ),
  IF(AND(_xlpm.analyte&lt;&gt;"", ISNUMBER(_xlpm.raw)), _xlpm.raw * _xlpm.scaleF, "NA")
)</f>
        <v>15.16</v>
      </c>
      <c r="N100" s="194"/>
      <c r="O100" s="41"/>
      <c r="P100" s="41">
        <v>15</v>
      </c>
      <c r="Q100" s="208" cm="1">
        <f t="array" ref="Q10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15</v>
      </c>
      <c r="R100" s="237" cm="1">
        <f t="array" ref="R10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15</v>
      </c>
      <c r="S100" s="238" cm="1">
        <f t="array" ref="S10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15</v>
      </c>
      <c r="T100" s="238" cm="1">
        <f t="array" ref="T10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100" s="41" t="str" cm="1">
        <f t="array" ref="U10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100" s="213"/>
      <c r="W100" s="213"/>
      <c r="X100" s="4"/>
      <c r="Y100" s="4"/>
      <c r="Z100" s="209"/>
      <c r="AA100" s="209"/>
      <c r="AB100" s="209"/>
      <c r="AC100" s="209"/>
      <c r="AD100" s="212"/>
      <c r="AE100" s="4"/>
      <c r="AF100" s="209"/>
      <c r="AG100" s="4"/>
      <c r="AH100" s="4"/>
      <c r="AI100" s="4"/>
      <c r="AJ100" s="4"/>
      <c r="AK100" s="4"/>
      <c r="AL100" s="6"/>
    </row>
    <row r="101" spans="2:38" ht="11.25" thickBot="1" x14ac:dyDescent="0.2">
      <c r="B101" s="264" t="str">
        <f>_xlfn.LET(
  _xlpm.rawOM_frac, C77,
  _xlpm.effN,       C72,
  _xlpm.effP,       C73,
  _xlpm.effK,       C74,
  _xlpm.pHval,      C81,
  _xlpm.tex,        C82,
  _xlpm.OM_min,     _xlfn.XLOOKUP(_xlpm.tex, SoilSpec[Texture], SoilSpec[OM_Min], 0),
  _xlpm.N_min,      _xlfn.XLOOKUP(_xlpm.tex, SoilSpec[Texture], SoilSpec[Nopt_Min],    0),
  _xlpm.P_min,      _xlfn.XLOOKUP(_xlpm.tex, SoilSpec[Texture], SoilSpec[Popt_Min],    0),
  _xlpm.K_min,      _xlfn.XLOOKUP(_xlpm.tex, SoilSpec[Texture], SoilSpec[Kopt_Min],    0),
  _xlpm.gapOM_frac, MAX(0, _xlpm.OM_min - _xlpm.rawOM_frac),
  _xlpm.gapN_ppm,   MAX(0, _xlpm.N_min  - _xlpm.effN),
  _xlpm.gapP_ppm,   MAX(0, _xlpm.P_min  - _xlpm.effP),
  _xlpm.gapK_ppm,   MAX(0, _xlpm.K_min  - _xlpm.effK),
  _xlpm.massFactor, 1.95,
  _xlpm.compost_kg, _xlpm.gapOM_frac * _xlpm.massFactor * 10000,
  _xlpm.kgN,        _xlpm.gapN_ppm * _xlpm.massFactor,
  _xlpm.kgP2O5,     (_xlpm.gapP_ppm * _xlpm.massFactor) * 100/46,
  _xlpm.kgK2O,      (_xlpm.gapK_ppm * _xlpm.massFactor) * 100/83,
  _xlpm.lime_t_ha,  IF(_xlpm.pHval &lt; 6,   (6 - _xlpm.pHval) * 2,    0),
  _xlpm.sulf_t_ha,  IF(_xlpm.pHval &gt; 7.5, (_xlpm.pHval - 7.5) * 0.5, 0),
  _xlpm.rec, _xlfn.TEXTJOIN("; ", TRUE,
    IF(_xlpm.gapOM_frac&gt;0, "Add organic matter: " &amp;
       TEXT(ROUND(_xlpm.gapOM_frac*100,1),"0.0") &amp; "% OM (≈" &amp;
       TEXT(ROUND(_xlpm.compost_kg,0),"0") &amp; " kg compost/ha)", ""),
    IF(_xlpm.gapN_ppm&gt;0, "Apply N: " &amp;
       TEXT(ROUND(_xlpm.kgN,0),"0") &amp; " kg N/ha (e.g. urea)", ""),
    IF(_xlpm.gapP_ppm&gt;0, "Apply P₂O₅: " &amp;
       TEXT(ROUND(_xlpm.kgP2O5,0),"0") &amp; " kg P₂O₅/ha (e.g. DAP or SSP)", ""),
    IF(_xlpm.gapK_ppm&gt;0, "Apply K₂O: " &amp;
       TEXT(ROUND(_xlpm.kgK2O,0),"0") &amp; " kg K₂O/ha (e.g. MOP)", ""),
    IF(_xlpm.lime_t_ha&gt;0, "Lime: " &amp;
       TEXT(ROUND(_xlpm.lime_t_ha,1),"0.0") &amp; " t/ha", ""),
    IF(_xlpm.sulf_t_ha&gt;0, "Elemental S: " &amp;
       TEXT(ROUND(_xlpm.sulf_t_ha,1),"0.0") &amp; " t/ha", "")
  ),
  _xlpm.rec
)</f>
        <v>Apply N: 6 kg N/ha (e.g. urea); Apply P₂O₅: 3 kg P₂O₅/ha (e.g. DAP or SSP); Elemental S: 0.2 t/ha</v>
      </c>
      <c r="C101" s="264"/>
      <c r="D101" s="264"/>
      <c r="E101" s="264"/>
      <c r="F101" s="264"/>
      <c r="G101" s="264"/>
      <c r="J101" s="190" t="s">
        <v>207</v>
      </c>
      <c r="K101" s="193" t="s">
        <v>69</v>
      </c>
      <c r="L101" s="255" t="str" cm="1">
        <f t="array" ref="L101">_xlfn.LET(
  _xlpm.bs,L98, _xlpm.si,L99, _xlpm.c,L100,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M101" s="256" t="str" cm="1">
        <f t="array" ref="M101">_xlfn.LET(
  _xlpm.bs,M98, _xlpm.si,M99, _xlpm.c,M100,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N101" s="245" t="str" cm="1">
        <f t="array" ref="N101">_xlfn.LET(
  _xlpm.bs,N98, _xlpm.si,N99, _xlpm.c,N100,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101" s="245" t="str" cm="1">
        <f t="array" ref="O101">_xlfn.LET(
  _xlpm.bs,O98, _xlpm.si,O99, _xlpm.c,O100,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P101" s="245" t="str" cm="1">
        <f t="array" ref="P101">_xlfn.LET(
  _xlpm.bs,P98, _xlpm.si,P99, _xlpm.c,P100,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Q101" s="255" t="str" cm="1">
        <f t="array" ref="Q101">_xlfn.LET(
  _xlpm.bs,Q98, _xlpm.si,Q99, _xlpm.c,Q100,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R101" s="256" t="str" cm="1">
        <f t="array" ref="R101">_xlfn.LET(
  _xlpm.bs,R98, _xlpm.si,R99, _xlpm.c,R100,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S101" s="256" t="str" cm="1">
        <f t="array" ref="S101">_xlfn.LET(
  _xlpm.bs,S98, _xlpm.si,S99, _xlpm.c,S100,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T101" s="240" cm="1">
        <f t="array" ref="T10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101" s="229" t="str" cm="1">
        <f t="array" ref="U10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(Texture match: Sandy Loam)</v>
      </c>
      <c r="V101" s="213"/>
      <c r="W101" s="213"/>
      <c r="X101" s="4"/>
      <c r="Y101" s="4"/>
      <c r="Z101" s="209"/>
      <c r="AA101" s="209"/>
      <c r="AB101" s="209"/>
      <c r="AC101" s="209"/>
      <c r="AD101" s="212"/>
      <c r="AE101" s="4"/>
      <c r="AF101" s="209"/>
      <c r="AG101" s="4"/>
      <c r="AH101" s="4"/>
      <c r="AI101" s="4"/>
      <c r="AJ101" s="4"/>
      <c r="AK101" s="4"/>
      <c r="AL101" s="6"/>
    </row>
    <row r="102" spans="2:38" x14ac:dyDescent="0.15">
      <c r="J102" s="188" t="s">
        <v>214</v>
      </c>
      <c r="K102" s="189" t="s">
        <v>39</v>
      </c>
      <c r="L102" s="207">
        <v>0</v>
      </c>
      <c r="M102" s="239">
        <f>_xlfn.LET(
  _xlpm.analyte, SensorLab[[#This Row],[Analyte]],
  _xlpm.raw, N(SensorLab[[#This Row],[Raw_Value]]),
  _xlpm.scaleF, IFERROR(
    _xlfn.XLOOKUP(_xlpm.analyte, CalibrationCoefficients[Analyte], CalibrationCoefficients[ScaleFactor]),
    1
  ),
  IF(AND(_xlpm.analyte&lt;&gt;"", ISNUMBER(_xlpm.raw)), _xlpm.raw * _xlpm.scaleF, "NA")
)</f>
        <v>0</v>
      </c>
      <c r="N102" s="227"/>
      <c r="O102" s="228"/>
      <c r="P102" s="228">
        <v>2</v>
      </c>
      <c r="Q102" s="207" cm="1">
        <f t="array" ref="Q10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v>
      </c>
      <c r="R102" s="239" cm="1">
        <f t="array" ref="R10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0.44663000000000003</v>
      </c>
      <c r="S102" s="241" cm="1">
        <f t="array" ref="S10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v>
      </c>
      <c r="T102" s="241" cm="1">
        <f t="array" ref="T10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-4</v>
      </c>
      <c r="U102" s="228" t="str" cm="1">
        <f t="array" ref="U10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1.17402 and 0.44663</v>
      </c>
      <c r="V102" s="213"/>
      <c r="W102" s="213"/>
      <c r="X102" s="4"/>
      <c r="Y102" s="4"/>
      <c r="Z102" s="209"/>
      <c r="AA102" s="209"/>
      <c r="AB102" s="209"/>
      <c r="AC102" s="209"/>
      <c r="AD102" s="212"/>
      <c r="AE102" s="4"/>
      <c r="AF102" s="209"/>
      <c r="AG102" s="4"/>
      <c r="AH102" s="4"/>
      <c r="AI102" s="4"/>
      <c r="AJ102" s="4"/>
      <c r="AK102" s="4"/>
      <c r="AL102" s="6"/>
    </row>
    <row r="103" spans="2:38" x14ac:dyDescent="0.15">
      <c r="J103" s="190" t="s">
        <v>214</v>
      </c>
      <c r="K103" s="191" t="s">
        <v>40</v>
      </c>
      <c r="L103" s="208">
        <v>5</v>
      </c>
      <c r="M103" s="237">
        <f>_xlfn.LET(
  _xlpm.analyte, SensorLab[[#This Row],[Analyte]],
  _xlpm.raw, N(SensorLab[[#This Row],[Raw_Value]]),
  _xlpm.scaleF, IFERROR(
    _xlfn.XLOOKUP(_xlpm.analyte, CalibrationCoefficients[Analyte], CalibrationCoefficients[ScaleFactor]),
    1
  ),
  IF(AND(_xlpm.analyte&lt;&gt;"", ISNUMBER(_xlpm.raw)), _xlpm.raw * _xlpm.scaleF, "NA")
)</f>
        <v>5</v>
      </c>
      <c r="N103" s="194"/>
      <c r="O103" s="41"/>
      <c r="P103" s="41">
        <v>4</v>
      </c>
      <c r="Q103" s="208" cm="1">
        <f t="array" ref="Q103">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4</v>
      </c>
      <c r="R103" s="237" cm="1">
        <f t="array" ref="R10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5.4391499999999997</v>
      </c>
      <c r="S103" s="238" cm="1">
        <f t="array" ref="S10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4.2491199999999996</v>
      </c>
      <c r="T103" s="238" cm="1">
        <f t="array" ref="T10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-0.24912000000000001</v>
      </c>
      <c r="U103" s="41" t="str" cm="1">
        <f t="array" ref="U10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5.77754 and 6.44046</v>
      </c>
      <c r="V103" s="213"/>
      <c r="W103" s="213"/>
      <c r="X103" s="4"/>
      <c r="Y103" s="4"/>
      <c r="Z103" s="209"/>
      <c r="AA103" s="209"/>
      <c r="AB103" s="209"/>
      <c r="AC103" s="209"/>
      <c r="AD103" s="212"/>
      <c r="AE103" s="4"/>
      <c r="AF103" s="209"/>
      <c r="AG103" s="4"/>
      <c r="AH103" s="4"/>
      <c r="AI103" s="4"/>
      <c r="AJ103" s="4"/>
      <c r="AK103" s="4"/>
      <c r="AL103" s="6"/>
    </row>
    <row r="104" spans="2:38" x14ac:dyDescent="0.15">
      <c r="J104" s="190" t="s">
        <v>214</v>
      </c>
      <c r="K104" s="191" t="s">
        <v>41</v>
      </c>
      <c r="L104" s="208">
        <v>0</v>
      </c>
      <c r="M104"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104" s="194"/>
      <c r="O104" s="41"/>
      <c r="P104" s="41">
        <v>190</v>
      </c>
      <c r="Q104" s="208" cm="1">
        <f t="array" ref="Q10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190</v>
      </c>
      <c r="R104" s="237" cm="1">
        <f t="array" ref="R10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111.50391999999999</v>
      </c>
      <c r="S104" s="238" cm="1">
        <f t="array" ref="S10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97.80395</v>
      </c>
      <c r="T104" s="238" cm="1">
        <f t="array" ref="T10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92.19605</v>
      </c>
      <c r="U104" s="41" t="str" cm="1">
        <f t="array" ref="U10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129.91959 and 110.69054</v>
      </c>
      <c r="V104" s="213"/>
      <c r="W104" s="213"/>
      <c r="X104" s="4"/>
      <c r="Y104" s="4"/>
      <c r="Z104" s="209"/>
      <c r="AA104" s="209"/>
      <c r="AB104" s="209"/>
      <c r="AC104" s="209"/>
      <c r="AD104" s="212"/>
      <c r="AE104" s="4"/>
      <c r="AF104" s="209"/>
      <c r="AG104" s="4"/>
      <c r="AH104" s="4"/>
      <c r="AI104" s="4"/>
      <c r="AJ104" s="4"/>
      <c r="AK104" s="4"/>
      <c r="AL104" s="6"/>
    </row>
    <row r="105" spans="2:38" x14ac:dyDescent="0.15">
      <c r="J105" s="190" t="s">
        <v>214</v>
      </c>
      <c r="K105" s="127" t="s">
        <v>52</v>
      </c>
      <c r="L105" s="208">
        <v>101</v>
      </c>
      <c r="M105" s="237">
        <f>_xlfn.LET(
  _xlpm.analyte, SensorLab[[#This Row],[Analyte]],
  _xlpm.raw, N(SensorLab[[#This Row],[Raw_Value]]),
  _xlpm.scaleF, IFERROR(
    _xlfn.XLOOKUP(_xlpm.analyte, CalibrationCoefficients[Analyte], CalibrationCoefficients[ScaleFactor]),
    1
  ),
  IF(AND(_xlpm.analyte&lt;&gt;"", ISNUMBER(_xlpm.raw)), _xlpm.raw * _xlpm.scaleF, "NA")
)</f>
        <v>0.10100000000000001</v>
      </c>
      <c r="N105" s="194"/>
      <c r="O105" s="41"/>
      <c r="P105" s="41">
        <v>1.05</v>
      </c>
      <c r="Q105" s="208" cm="1">
        <f t="array" ref="Q105">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1.05</v>
      </c>
      <c r="R105" s="237" cm="1">
        <f t="array" ref="R10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0.98192000000000002</v>
      </c>
      <c r="S105" s="238" cm="1">
        <f t="array" ref="S10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0.94969000000000003</v>
      </c>
      <c r="T105" s="238" cm="1">
        <f t="array" ref="T10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0.10031</v>
      </c>
      <c r="U105" s="41" t="str" cm="1">
        <f t="array" ref="U10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0.99489 and 1.09489</v>
      </c>
      <c r="V105" s="213"/>
      <c r="W105" s="213"/>
      <c r="X105" s="4"/>
      <c r="Y105" s="4"/>
      <c r="Z105" s="209"/>
      <c r="AA105" s="209"/>
      <c r="AB105" s="209"/>
      <c r="AC105" s="209"/>
      <c r="AD105" s="212"/>
      <c r="AE105" s="4"/>
      <c r="AF105" s="209"/>
      <c r="AG105" s="4"/>
      <c r="AH105" s="4"/>
      <c r="AI105" s="4"/>
      <c r="AJ105" s="4"/>
      <c r="AK105" s="4"/>
      <c r="AL105" s="6"/>
    </row>
    <row r="106" spans="2:38" x14ac:dyDescent="0.15">
      <c r="J106" s="190" t="s">
        <v>214</v>
      </c>
      <c r="K106" s="127" t="s">
        <v>34</v>
      </c>
      <c r="L106" s="208">
        <v>75</v>
      </c>
      <c r="M106" s="237">
        <f>_xlfn.LET(
  _xlpm.analyte, SensorLab[[#This Row],[Analyte]],
  _xlpm.raw, N(SensorLab[[#This Row],[Raw_Value]]),
  _xlpm.scaleF, IFERROR(
    _xlfn.XLOOKUP(_xlpm.analyte, CalibrationCoefficients[Analyte], CalibrationCoefficients[ScaleFactor]),
    1
  ),
  IF(AND(_xlpm.analyte&lt;&gt;"", ISNUMBER(_xlpm.raw)), _xlpm.raw * _xlpm.scaleF, "NA")
)</f>
        <v>7.5</v>
      </c>
      <c r="N106" s="194"/>
      <c r="O106" s="41"/>
      <c r="P106" s="41">
        <v>8.1999999999999993</v>
      </c>
      <c r="Q106" s="208" cm="1">
        <f t="array" ref="Q10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8.1999999999999993</v>
      </c>
      <c r="R106" s="237" cm="1">
        <f t="array" ref="R10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7.8809199999999997</v>
      </c>
      <c r="S106" s="238" cm="1">
        <f t="array" ref="S10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7.8480100000000004</v>
      </c>
      <c r="T106" s="238" cm="1">
        <f t="array" ref="T10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0.35199000000000003</v>
      </c>
      <c r="U106" s="41" t="str" cm="1">
        <f t="array" ref="U10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7.88230 and 7.99272</v>
      </c>
      <c r="V106" s="213"/>
      <c r="W106" s="213"/>
      <c r="X106" s="4"/>
      <c r="Y106" s="4"/>
      <c r="Z106" s="209"/>
      <c r="AA106" s="209"/>
      <c r="AB106" s="209"/>
      <c r="AC106" s="209"/>
      <c r="AD106" s="212"/>
      <c r="AE106" s="4"/>
      <c r="AF106" s="209"/>
      <c r="AG106" s="4"/>
      <c r="AH106" s="4"/>
      <c r="AI106" s="4"/>
      <c r="AJ106" s="4"/>
      <c r="AK106" s="4"/>
      <c r="AL106" s="6"/>
    </row>
    <row r="107" spans="2:38" x14ac:dyDescent="0.15">
      <c r="J107" s="190" t="s">
        <v>214</v>
      </c>
      <c r="K107" s="127" t="s">
        <v>90</v>
      </c>
      <c r="L107" s="208">
        <v>139</v>
      </c>
      <c r="M107" s="237">
        <f>_xlfn.LET(
  _xlpm.analyte, SensorLab[[#This Row],[Analyte]],
  _xlpm.raw, N(SensorLab[[#This Row],[Raw_Value]]),
  _xlpm.scaleF, IFERROR(
    _xlfn.XLOOKUP(_xlpm.analyte, CalibrationCoefficients[Analyte], CalibrationCoefficients[ScaleFactor]),
    1
  ),
  IF(AND(_xlpm.analyte&lt;&gt;"", ISNUMBER(_xlpm.raw)), _xlpm.raw * _xlpm.scaleF, "NA")
)</f>
        <v>13.9</v>
      </c>
      <c r="N107" s="194"/>
      <c r="O107" s="41"/>
      <c r="P107" s="41">
        <v>13.9</v>
      </c>
      <c r="Q107" s="208" cm="1">
        <f t="array" ref="Q107">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13.9</v>
      </c>
      <c r="R107" s="237" cm="1">
        <f t="array" ref="R10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13.88494</v>
      </c>
      <c r="S107" s="238" cm="1">
        <f t="array" ref="S10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13.84836</v>
      </c>
      <c r="T107" s="238" cm="1">
        <f t="array" ref="T10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-10.15164</v>
      </c>
      <c r="U107" s="41" t="str" cm="1">
        <f t="array" ref="U10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13.86116 and 13.93884</v>
      </c>
      <c r="V107" s="213"/>
      <c r="W107" s="213"/>
      <c r="X107" s="4"/>
      <c r="Y107" s="4"/>
      <c r="Z107" s="209"/>
      <c r="AA107" s="209"/>
      <c r="AB107" s="209"/>
      <c r="AC107" s="209"/>
      <c r="AD107" s="212"/>
      <c r="AE107" s="4"/>
      <c r="AF107" s="209"/>
      <c r="AG107" s="4"/>
      <c r="AH107" s="4"/>
      <c r="AI107" s="4"/>
      <c r="AJ107" s="4"/>
      <c r="AK107" s="4"/>
      <c r="AL107" s="6"/>
    </row>
    <row r="108" spans="2:38" x14ac:dyDescent="0.15">
      <c r="J108" s="190" t="s">
        <v>214</v>
      </c>
      <c r="K108" s="191" t="s">
        <v>43</v>
      </c>
      <c r="L108" s="208">
        <v>170</v>
      </c>
      <c r="M108" s="237">
        <f>_xlfn.LET(
  _xlpm.analyte, SensorLab[[#This Row],[Analyte]],
  _xlpm.raw, N(SensorLab[[#This Row],[Raw_Value]]),
  _xlpm.scaleF, IFERROR(
    _xlfn.XLOOKUP(_xlpm.analyte, CalibrationCoefficients[Analyte], CalibrationCoefficients[ScaleFactor]),
    1
  ),
  IF(AND(_xlpm.analyte&lt;&gt;"", ISNUMBER(_xlpm.raw)), _xlpm.raw * _xlpm.scaleF, "NA")
)</f>
        <v>17</v>
      </c>
      <c r="N108" s="194"/>
      <c r="O108" s="41"/>
      <c r="P108" s="41">
        <v>17</v>
      </c>
      <c r="Q108" s="208" cm="1">
        <f t="array" ref="Q10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17</v>
      </c>
      <c r="R108" s="237" cm="1">
        <f t="array" ref="R10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16.98517</v>
      </c>
      <c r="S108" s="238" cm="1">
        <f t="array" ref="S10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16.99858</v>
      </c>
      <c r="T108" s="238" cm="1">
        <f t="array" ref="T10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1.42E-3</v>
      </c>
      <c r="U108" s="41" t="str" cm="1">
        <f t="array" ref="U10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17.00000 and 17.00000</v>
      </c>
      <c r="V108" s="213"/>
      <c r="W108" s="213"/>
      <c r="X108" s="4"/>
      <c r="Y108" s="4"/>
      <c r="Z108" s="209"/>
      <c r="AA108" s="209"/>
      <c r="AB108" s="209"/>
      <c r="AC108" s="209"/>
      <c r="AD108" s="212"/>
      <c r="AE108" s="4"/>
      <c r="AF108" s="209"/>
      <c r="AG108" s="4"/>
      <c r="AH108" s="4"/>
      <c r="AI108" s="4"/>
      <c r="AJ108" s="4"/>
      <c r="AK108" s="4"/>
      <c r="AL108" s="6"/>
    </row>
    <row r="109" spans="2:38" x14ac:dyDescent="0.15">
      <c r="J109" s="190" t="s">
        <v>214</v>
      </c>
      <c r="K109" s="191" t="s">
        <v>45</v>
      </c>
      <c r="L109" s="208">
        <v>5.1999999999999995E-4</v>
      </c>
      <c r="M109" s="237">
        <f>_xlfn.LET(
  _xlpm.analyte, SensorLab[[#This Row],[Analyte]],
  _xlpm.raw, N(SensorLab[[#This Row],[Raw_Value]]),
  _xlpm.scaleF, IFERROR(
    _xlfn.XLOOKUP(_xlpm.analyte, CalibrationCoefficients[Analyte], CalibrationCoefficients[ScaleFactor]),
    1
  ),
  IF(AND(_xlpm.analyte&lt;&gt;"", ISNUMBER(_xlpm.raw)), _xlpm.raw * _xlpm.scaleF, "NA")
)</f>
        <v>5.1999999999999995E-4</v>
      </c>
      <c r="N109" s="194"/>
      <c r="O109" s="41"/>
      <c r="P109" s="41">
        <v>0.6</v>
      </c>
      <c r="Q109" s="208" cm="1">
        <f t="array" ref="Q109">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0.6</v>
      </c>
      <c r="R109" s="237" cm="1">
        <f t="array" ref="R10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0.60409999999999997</v>
      </c>
      <c r="S109" s="238" cm="1">
        <f t="array" ref="S10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0.6</v>
      </c>
      <c r="T109" s="238" cm="1">
        <f t="array" ref="T10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109" s="41" t="str" cm="1">
        <f t="array" ref="U10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109" s="213"/>
      <c r="W109" s="213"/>
      <c r="X109" s="4"/>
      <c r="Y109" s="4"/>
      <c r="Z109" s="209"/>
      <c r="AA109" s="209"/>
      <c r="AB109" s="209"/>
      <c r="AC109" s="209"/>
      <c r="AD109" s="212"/>
      <c r="AE109" s="4"/>
      <c r="AF109" s="209"/>
      <c r="AG109" s="4"/>
      <c r="AH109" s="4"/>
      <c r="AI109" s="4"/>
      <c r="AJ109" s="4"/>
      <c r="AK109" s="4"/>
      <c r="AL109" s="6"/>
    </row>
    <row r="110" spans="2:38" x14ac:dyDescent="0.15">
      <c r="B110" s="38"/>
      <c r="D110" s="162"/>
      <c r="J110" s="190" t="s">
        <v>214</v>
      </c>
      <c r="K110" s="127" t="s">
        <v>0</v>
      </c>
      <c r="L110" s="208">
        <v>50.77</v>
      </c>
      <c r="M110" s="237">
        <f>_xlfn.LET(
  _xlpm.analyte, SensorLab[[#This Row],[Analyte]],
  _xlpm.raw, N(SensorLab[[#This Row],[Raw_Value]]),
  _xlpm.scaleF, IFERROR(
    _xlfn.XLOOKUP(_xlpm.analyte, CalibrationCoefficients[Analyte], CalibrationCoefficients[ScaleFactor]),
    1
  ),
  IF(AND(_xlpm.analyte&lt;&gt;"", ISNUMBER(_xlpm.raw)), _xlpm.raw * _xlpm.scaleF, "NA")
)</f>
        <v>50.77</v>
      </c>
      <c r="N110" s="194"/>
      <c r="O110" s="41"/>
      <c r="P110" s="41">
        <v>52</v>
      </c>
      <c r="Q110" s="208" cm="1">
        <f t="array" ref="Q11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52</v>
      </c>
      <c r="R110" s="237" cm="1">
        <f t="array" ref="R11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52</v>
      </c>
      <c r="S110" s="238" cm="1">
        <f t="array" ref="S11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52</v>
      </c>
      <c r="T110" s="238" cm="1">
        <f t="array" ref="T11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110" s="41" t="str" cm="1">
        <f t="array" ref="U11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110" s="213"/>
      <c r="W110" s="213"/>
      <c r="X110" s="4"/>
      <c r="Y110" s="4"/>
      <c r="Z110" s="209"/>
      <c r="AA110" s="209"/>
      <c r="AB110" s="209"/>
      <c r="AC110" s="209"/>
      <c r="AD110" s="212"/>
      <c r="AE110" s="4"/>
      <c r="AF110" s="209"/>
      <c r="AG110" s="4"/>
      <c r="AH110" s="4"/>
      <c r="AI110" s="4"/>
      <c r="AJ110" s="4"/>
      <c r="AK110" s="4"/>
      <c r="AL110" s="6"/>
    </row>
    <row r="111" spans="2:38" x14ac:dyDescent="0.15">
      <c r="B111" s="38"/>
      <c r="J111" s="190" t="s">
        <v>214</v>
      </c>
      <c r="K111" s="127" t="s">
        <v>5</v>
      </c>
      <c r="L111" s="208">
        <v>34.090000000000003</v>
      </c>
      <c r="M111" s="237">
        <f>_xlfn.LET(
  _xlpm.analyte, SensorLab[[#This Row],[Analyte]],
  _xlpm.raw, N(SensorLab[[#This Row],[Raw_Value]]),
  _xlpm.scaleF, IFERROR(
    _xlfn.XLOOKUP(_xlpm.analyte, CalibrationCoefficients[Analyte], CalibrationCoefficients[ScaleFactor]),
    1
  ),
  IF(AND(_xlpm.analyte&lt;&gt;"", ISNUMBER(_xlpm.raw)), _xlpm.raw * _xlpm.scaleF, "NA")
)</f>
        <v>34.090000000000003</v>
      </c>
      <c r="N111" s="194"/>
      <c r="O111" s="41"/>
      <c r="P111" s="41">
        <v>33</v>
      </c>
      <c r="Q111" s="208" cm="1">
        <f t="array" ref="Q111">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33</v>
      </c>
      <c r="R111" s="237" cm="1">
        <f t="array" ref="R11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33</v>
      </c>
      <c r="S111" s="238" cm="1">
        <f t="array" ref="S11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33</v>
      </c>
      <c r="T111" s="238" cm="1">
        <f t="array" ref="T11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111" s="41" t="str" cm="1">
        <f t="array" ref="U11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111" s="213"/>
      <c r="W111" s="213"/>
      <c r="X111" s="4"/>
      <c r="Y111" s="4"/>
      <c r="Z111" s="209"/>
      <c r="AA111" s="209"/>
      <c r="AB111" s="209"/>
      <c r="AC111" s="209"/>
      <c r="AD111" s="212"/>
      <c r="AE111" s="4"/>
      <c r="AF111" s="209"/>
      <c r="AG111" s="4"/>
      <c r="AH111" s="4"/>
      <c r="AI111" s="4"/>
      <c r="AJ111" s="4"/>
      <c r="AK111" s="4"/>
      <c r="AL111" s="6"/>
    </row>
    <row r="112" spans="2:38" x14ac:dyDescent="0.15">
      <c r="J112" s="190" t="s">
        <v>214</v>
      </c>
      <c r="K112" s="127" t="s">
        <v>6</v>
      </c>
      <c r="L112" s="208">
        <v>15.14</v>
      </c>
      <c r="M112" s="237">
        <f>_xlfn.LET(
  _xlpm.analyte, SensorLab[[#This Row],[Analyte]],
  _xlpm.raw, N(SensorLab[[#This Row],[Raw_Value]]),
  _xlpm.scaleF, IFERROR(
    _xlfn.XLOOKUP(_xlpm.analyte, CalibrationCoefficients[Analyte], CalibrationCoefficients[ScaleFactor]),
    1
  ),
  IF(AND(_xlpm.analyte&lt;&gt;"", ISNUMBER(_xlpm.raw)), _xlpm.raw * _xlpm.scaleF, "NA")
)</f>
        <v>15.14</v>
      </c>
      <c r="N112" s="194"/>
      <c r="O112" s="41"/>
      <c r="P112" s="41">
        <v>15</v>
      </c>
      <c r="Q112" s="208" cm="1">
        <f t="array" ref="Q11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15</v>
      </c>
      <c r="R112" s="237" cm="1">
        <f t="array" ref="R11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15</v>
      </c>
      <c r="S112" s="238" cm="1">
        <f t="array" ref="S11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15</v>
      </c>
      <c r="T112" s="238" cm="1">
        <f t="array" ref="T11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112" s="41" t="str" cm="1">
        <f t="array" ref="U11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112" s="213"/>
      <c r="W112" s="213"/>
      <c r="X112" s="4"/>
      <c r="Y112" s="4"/>
      <c r="Z112" s="209"/>
      <c r="AA112" s="209"/>
      <c r="AB112" s="209"/>
      <c r="AC112" s="209"/>
      <c r="AD112" s="212"/>
      <c r="AE112" s="4"/>
      <c r="AF112" s="209"/>
      <c r="AG112" s="4"/>
      <c r="AH112" s="4"/>
      <c r="AI112" s="4"/>
      <c r="AJ112" s="4"/>
      <c r="AK112" s="4"/>
      <c r="AL112" s="6"/>
    </row>
    <row r="113" spans="2:38" ht="11.25" thickBot="1" x14ac:dyDescent="0.2">
      <c r="J113" s="192" t="s">
        <v>214</v>
      </c>
      <c r="K113" s="193" t="s">
        <v>69</v>
      </c>
      <c r="L113" s="255" t="str" cm="1">
        <f t="array" ref="L113">_xlfn.LET(
  _xlpm.bs,L110, _xlpm.si,L111, _xlpm.c,L112,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M113" s="256" t="str" cm="1">
        <f t="array" ref="M113">_xlfn.LET(
  _xlpm.bs,M110, _xlpm.si,M111, _xlpm.c,M112,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N113" s="245" t="str" cm="1">
        <f t="array" ref="N113">_xlfn.LET(
  _xlpm.bs,N110, _xlpm.si,N111, _xlpm.c,N112,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113" s="245" t="str" cm="1">
        <f t="array" ref="O113">_xlfn.LET(
  _xlpm.bs,O110, _xlpm.si,O111, _xlpm.c,O112,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P113" s="245" t="str" cm="1">
        <f t="array" ref="P113">_xlfn.LET(
  _xlpm.bs,P110, _xlpm.si,P111, _xlpm.c,P112,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Q113" s="255" t="str" cm="1">
        <f t="array" ref="Q113">_xlfn.LET(
  _xlpm.bs,Q110, _xlpm.si,Q111, _xlpm.c,Q112,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R113" s="256" t="str" cm="1">
        <f t="array" ref="R113">_xlfn.LET(
  _xlpm.bs,R110, _xlpm.si,R111, _xlpm.c,R112,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S113" s="256" t="str" cm="1">
        <f t="array" ref="S113">_xlfn.LET(
  _xlpm.bs,S110, _xlpm.si,S111, _xlpm.c,S112,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T113" s="240" cm="1">
        <f t="array" ref="T11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113" s="229" t="str" cm="1">
        <f t="array" ref="U11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(Texture match: Sandy Loam)</v>
      </c>
      <c r="V113" s="213"/>
      <c r="W113" s="213"/>
      <c r="X113" s="4"/>
      <c r="Y113" s="4"/>
      <c r="Z113" s="209"/>
      <c r="AA113" s="209"/>
      <c r="AB113" s="209"/>
      <c r="AC113" s="209"/>
      <c r="AD113" s="212"/>
      <c r="AE113" s="4"/>
      <c r="AF113" s="209"/>
      <c r="AG113" s="4"/>
      <c r="AH113" s="4"/>
      <c r="AI113" s="4"/>
      <c r="AJ113" s="4"/>
      <c r="AK113" s="4"/>
      <c r="AL113" s="6"/>
    </row>
    <row r="114" spans="2:38" x14ac:dyDescent="0.15">
      <c r="J114" s="190" t="s">
        <v>209</v>
      </c>
      <c r="K114" s="127" t="s">
        <v>39</v>
      </c>
      <c r="L114" s="208">
        <v>0</v>
      </c>
      <c r="M114"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114" s="194"/>
      <c r="O114" s="41"/>
      <c r="P114" s="41">
        <v>2</v>
      </c>
      <c r="Q114" s="207" cm="1">
        <f t="array" ref="Q11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v>
      </c>
      <c r="R114" s="239" cm="1">
        <f t="array" ref="R11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0.44663000000000003</v>
      </c>
      <c r="S114" s="241" cm="1">
        <f t="array" ref="S11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v>
      </c>
      <c r="T114" s="241" cm="1">
        <f t="array" ref="T11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-6</v>
      </c>
      <c r="U114" s="41" t="str" cm="1">
        <f t="array" ref="U11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1.17402 and 0.44663</v>
      </c>
      <c r="V114" s="213"/>
      <c r="W114" s="213"/>
      <c r="X114" s="4"/>
      <c r="Y114" s="4"/>
      <c r="Z114" s="209"/>
      <c r="AA114" s="209"/>
      <c r="AB114" s="209"/>
      <c r="AC114" s="209"/>
      <c r="AD114" s="212"/>
      <c r="AE114" s="4"/>
      <c r="AF114" s="209"/>
      <c r="AG114" s="4"/>
      <c r="AH114" s="4"/>
      <c r="AI114" s="4"/>
      <c r="AJ114" s="4"/>
      <c r="AK114" s="4"/>
      <c r="AL114" s="6"/>
    </row>
    <row r="115" spans="2:38" x14ac:dyDescent="0.15">
      <c r="J115" s="190" t="s">
        <v>209</v>
      </c>
      <c r="K115" s="191" t="s">
        <v>40</v>
      </c>
      <c r="L115" s="208">
        <v>38</v>
      </c>
      <c r="M115" s="237">
        <f>_xlfn.LET(
  _xlpm.analyte, SensorLab[[#This Row],[Analyte]],
  _xlpm.raw, N(SensorLab[[#This Row],[Raw_Value]]),
  _xlpm.scaleF, IFERROR(
    _xlfn.XLOOKUP(_xlpm.analyte, CalibrationCoefficients[Analyte], CalibrationCoefficients[ScaleFactor]),
    1
  ),
  IF(AND(_xlpm.analyte&lt;&gt;"", ISNUMBER(_xlpm.raw)), _xlpm.raw * _xlpm.scaleF, "NA")
)</f>
        <v>38</v>
      </c>
      <c r="N115" s="194"/>
      <c r="O115" s="41"/>
      <c r="P115" s="41">
        <v>16</v>
      </c>
      <c r="Q115" s="208" cm="1">
        <f t="array" ref="Q115">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16</v>
      </c>
      <c r="R115" s="237" cm="1">
        <f t="array" ref="R11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6.2648099999999998</v>
      </c>
      <c r="S115" s="238" cm="1">
        <f t="array" ref="S11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5.0747799999999996</v>
      </c>
      <c r="T115" s="238" cm="1">
        <f t="array" ref="T11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10.925219999999999</v>
      </c>
      <c r="U115" s="41" t="str" cm="1">
        <f t="array" ref="U11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10.64899 and 7.34765</v>
      </c>
      <c r="V115" s="213"/>
      <c r="W115" s="213"/>
      <c r="X115" s="4"/>
      <c r="Y115" s="4"/>
      <c r="Z115" s="209"/>
      <c r="AA115" s="209"/>
      <c r="AB115" s="209"/>
      <c r="AC115" s="209"/>
      <c r="AD115" s="212"/>
      <c r="AE115" s="4"/>
      <c r="AF115" s="209"/>
      <c r="AG115" s="4"/>
      <c r="AH115" s="4"/>
      <c r="AI115" s="4"/>
      <c r="AJ115" s="4"/>
      <c r="AK115" s="4"/>
      <c r="AL115" s="6"/>
    </row>
    <row r="116" spans="2:38" x14ac:dyDescent="0.15">
      <c r="B116" s="195" t="s">
        <v>205</v>
      </c>
      <c r="C116" s="196" t="s">
        <v>85</v>
      </c>
      <c r="D116" s="182" t="s">
        <v>86</v>
      </c>
      <c r="E116" s="196" t="s">
        <v>89</v>
      </c>
      <c r="F116" s="182" t="s">
        <v>91</v>
      </c>
      <c r="G116" s="197" t="s">
        <v>87</v>
      </c>
      <c r="J116" s="190" t="s">
        <v>209</v>
      </c>
      <c r="K116" s="191" t="s">
        <v>41</v>
      </c>
      <c r="L116" s="208">
        <v>30</v>
      </c>
      <c r="M116" s="237">
        <f>_xlfn.LET(
  _xlpm.analyte, SensorLab[[#This Row],[Analyte]],
  _xlpm.raw, N(SensorLab[[#This Row],[Raw_Value]]),
  _xlpm.scaleF, IFERROR(
    _xlfn.XLOOKUP(_xlpm.analyte, CalibrationCoefficients[Analyte], CalibrationCoefficients[ScaleFactor]),
    1
  ),
  IF(AND(_xlpm.analyte&lt;&gt;"", ISNUMBER(_xlpm.raw)), _xlpm.raw * _xlpm.scaleF, "NA")
)</f>
        <v>30</v>
      </c>
      <c r="N116" s="194"/>
      <c r="O116" s="41"/>
      <c r="P116" s="41">
        <v>152</v>
      </c>
      <c r="Q116" s="208" cm="1">
        <f t="array" ref="Q11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152</v>
      </c>
      <c r="R116" s="237" cm="1">
        <f t="array" ref="R11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120.92967</v>
      </c>
      <c r="S116" s="238" cm="1">
        <f t="array" ref="S11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107.22969999999999</v>
      </c>
      <c r="T116" s="238" cm="1">
        <f t="array" ref="T11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44.770299999999999</v>
      </c>
      <c r="U116" s="41" t="str" cm="1">
        <f t="array" ref="U11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118.04144 and 121.02144</v>
      </c>
      <c r="V116" s="213"/>
      <c r="W116" s="213"/>
      <c r="X116" s="4"/>
      <c r="Y116" s="4"/>
      <c r="Z116" s="209"/>
      <c r="AA116" s="209"/>
      <c r="AB116" s="209"/>
      <c r="AC116" s="209"/>
      <c r="AD116" s="212"/>
      <c r="AE116" s="4"/>
      <c r="AF116" s="209"/>
      <c r="AG116" s="4"/>
      <c r="AH116" s="4"/>
      <c r="AI116" s="4"/>
      <c r="AJ116" s="4"/>
      <c r="AK116" s="4"/>
      <c r="AL116" s="6"/>
    </row>
    <row r="117" spans="2:38" x14ac:dyDescent="0.15">
      <c r="B117" s="198" t="s">
        <v>90</v>
      </c>
      <c r="C117" s="199" cm="1">
        <f t="array" ref="C117">_xlfn.LET(
    _xlpm.an, ScaleFactors[[#This Row],[Analyte]],
    _xlpm.Acol, SensorLab[Analyte],
    _xlpm.SIDs, SensorLab[Sample_ID],
    _xlpm.Xcol, SensorLab[Raw_Factored],
    _xlpm.Ycol, SensorLab[Labs_Result],
    _xlpm.baseMask, (_xlpm.Acol=_xlpm.an) * ISNUMBER(_xlpm.Xcol) * ISNUMBER(_xlpm.Ycol) * (_xlpm.Xcol&lt;&gt;0) * (_xlpm.Ycol&lt;&gt;0),
    _xlpm.Kmask, IF(_xlpm.Acol="K", _xlpm.Xcol&gt;0, 1),
    _xlpm.rowsMask, _xlpm.baseMask * _xlpm.Kmask,
    _xlpm.xArr, IFERROR(_xlfn._xlws.FILTER(_xlpm.Xcol, _xlpm.rowsMask), _xlfn.SEQUENCE(0)),
    _xlpm.yArr, IFERROR(_xlfn._xlws.FILTER(_xlpm.Ycol, _xlpm.rowsMask), _xlfn.SEQUENCE(0)),
    _xlpm.n, MIN(COUNT(_xlpm.xArr), COUNT(_xlpm.yArr)),
    IF(_xlpm.n&lt;2,
        NA(),
        INDEX(LINEST(_xlpm.yArr, _xlpm.xArr, TRUE, TRUE), 1, 1)
    )
)</f>
        <v>1.0206542415264344</v>
      </c>
      <c r="D117" s="200" cm="1">
        <f t="array" ref="D117">_xlfn.LET(
    _xlpm.an, ScaleFactors[[#This Row],[Analyte]],
    _xlpm.Acol, SensorLab[Analyte],
    _xlpm.SIDs, SensorLab[Sample_ID],
    _xlpm.Xcol, SensorLab[Raw_Factored],
    _xlpm.Ycol, SensorLab[Labs_Result],
    _xlpm.baseMask, (_xlpm.Acol=_xlpm.an) * ISNUMBER(_xlpm.Xcol) * ISNUMBER(_xlpm.Ycol) * (_xlpm.Xcol&lt;&gt;0) * (_xlpm.Ycol&lt;&gt;0),
    _xlpm.Kmask, IF(_xlpm.Acol="K", _xlpm.Xcol&gt;0, 1),
    _xlpm.rowsMask, _xlpm.baseMask * _xlpm.Kmask,
    _xlpm.xArr, IFERROR(_xlfn._xlws.FILTER(_xlpm.Xcol, _xlpm.rowsMask), _xlfn.SEQUENCE(0)),
    _xlpm.yArr, IFERROR(_xlfn._xlws.FILTER(_xlpm.Ycol, _xlpm.rowsMask), _xlfn.SEQUENCE(0)),
    _xlpm.n, MIN(COUNT(_xlpm.xArr), COUNT(_xlpm.yArr)),
    IF(_xlpm.n &lt; 2,
        NA(),
        INDEX(LINEST(_xlpm.yArr, _xlpm.xArr, TRUE, TRUE), 1, 2)
    )
)</f>
        <v>-0.30215283149519223</v>
      </c>
      <c r="E117" s="199">
        <f>_xlfn.XLOOKUP(ScaleFactors[[#This Row],[Analyte]], CalibrationCoefficients[Analyte], CalibrationCoefficients[ScaleFactor])</f>
        <v>0.1</v>
      </c>
      <c r="F117" s="200" cm="1">
        <f t="array" ref="F117">_xlfn.LET(
    _xlpm.an, ScaleFactors[[#This Row],[Analyte]],
    _xlpm.Acol, SensorLab[Analyte],
    _xlpm.SIDs, SensorLab[Sample_ID],
    _xlpm.Ycol, SensorLab[Labs_Result],
    _xlpm.Pcol, SensorLab[Predicted_Base],
    _xlpm.baseMask, (_xlpm.Acol=_xlpm.an) * ISNUMBER(_xlpm.Ycol) * ISNUMBER(_xlpm.Pcol) * (N(_xlpm.Ycol)&lt;&gt;0) * (N(_xlpm.Pcol)&lt;&gt;0),
    _xlpm.Kmask, IF(_xlpm.Acol="K", SensorLab[Raw_Factored] &gt; 0, 1),
    _xlpm.rowsMask, _xlpm.baseMask * _xlpm.Kmask,
    _xlpm.yArr, IFERROR(N(_xlfn._xlws.FILTER(_xlpm.Ycol, _xlpm.rowsMask)), _xlfn.SEQUENCE(0)),
    _xlpm.pArr, IFERROR(N(_xlfn._xlws.FILTER(_xlpm.Pcol, _xlpm.rowsMask)), _xlfn.SEQUENCE(0)),
    _xlpm.cnt, MIN(COUNT(_xlpm.yArr), COUNT(_xlpm.pArr)),
    _xlpm.residuals, IF(_xlpm.cnt &gt; 0, _xlpm.yArr - _xlpm.pArr, _xlfn.SEQUENCE(0)),
    _xlpm.offset, IF(_xlpm.cnt &gt; 0, IFERROR(MEDIAN(_xlpm.residuals), NA()), NA()),
    _xlpm.offset
)</f>
        <v>-3.6580000000000723E-2</v>
      </c>
      <c r="G117" s="201" t="s">
        <v>51</v>
      </c>
      <c r="J117" s="190" t="s">
        <v>209</v>
      </c>
      <c r="K117" s="127" t="s">
        <v>52</v>
      </c>
      <c r="L117" s="208">
        <v>168</v>
      </c>
      <c r="M117" s="237">
        <f>_xlfn.LET(
  _xlpm.analyte, SensorLab[[#This Row],[Analyte]],
  _xlpm.raw, N(SensorLab[[#This Row],[Raw_Value]]),
  _xlpm.scaleF, IFERROR(
    _xlfn.XLOOKUP(_xlpm.analyte, CalibrationCoefficients[Analyte], CalibrationCoefficients[ScaleFactor]),
    1
  ),
  IF(AND(_xlpm.analyte&lt;&gt;"", ISNUMBER(_xlpm.raw)), _xlpm.raw * _xlpm.scaleF, "NA")
)</f>
        <v>0.16800000000000001</v>
      </c>
      <c r="N117" s="194"/>
      <c r="O117" s="41"/>
      <c r="P117" s="41">
        <v>1.22</v>
      </c>
      <c r="Q117" s="208" cm="1">
        <f t="array" ref="Q117">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1.22</v>
      </c>
      <c r="R117" s="237" cm="1">
        <f t="array" ref="R11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1.02583</v>
      </c>
      <c r="S117" s="238" cm="1">
        <f t="array" ref="S11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0.99360000000000004</v>
      </c>
      <c r="T117" s="238" cm="1">
        <f t="array" ref="T11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0.22639999999999999</v>
      </c>
      <c r="U117" s="41" t="str" cm="1">
        <f t="array" ref="U11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1.00937 and 1.10937</v>
      </c>
      <c r="V117" s="213"/>
      <c r="W117" s="213"/>
      <c r="X117" s="4"/>
      <c r="Y117" s="4"/>
      <c r="Z117" s="209"/>
      <c r="AA117" s="209"/>
      <c r="AB117" s="209"/>
      <c r="AC117" s="209"/>
      <c r="AD117" s="212"/>
      <c r="AE117" s="4"/>
      <c r="AF117" s="209"/>
      <c r="AG117" s="4"/>
      <c r="AH117" s="4"/>
      <c r="AI117" s="4"/>
      <c r="AJ117" s="4"/>
      <c r="AK117" s="4"/>
      <c r="AL117" s="6"/>
    </row>
    <row r="118" spans="2:38" x14ac:dyDescent="0.15">
      <c r="B118" s="198" t="s">
        <v>43</v>
      </c>
      <c r="C118" s="199" cm="1">
        <f t="array" ref="C118">_xlfn.LET(
    _xlpm.an, ScaleFactors[[#This Row],[Analyte]],
    _xlpm.Acol, SensorLab[Analyte],
    _xlpm.SIDs, SensorLab[Sample_ID],
    _xlpm.Xcol, SensorLab[Raw_Factored],
    _xlpm.Ycol, SensorLab[Labs_Result],
    _xlpm.baseMask, (_xlpm.Acol=_xlpm.an) * ISNUMBER(_xlpm.Xcol) * ISNUMBER(_xlpm.Ycol) * (_xlpm.Xcol&lt;&gt;0) * (_xlpm.Ycol&lt;&gt;0),
    _xlpm.Kmask, IF(_xlpm.Acol="K", _xlpm.Xcol&gt;0, 1),
    _xlpm.rowsMask, _xlpm.baseMask * _xlpm.Kmask,
    _xlpm.xArr, IFERROR(_xlfn._xlws.FILTER(_xlpm.Xcol, _xlpm.rowsMask), _xlfn.SEQUENCE(0)),
    _xlpm.yArr, IFERROR(_xlfn._xlws.FILTER(_xlpm.Ycol, _xlpm.rowsMask), _xlfn.SEQUENCE(0)),
    _xlpm.n, MIN(COUNT(_xlpm.xArr), COUNT(_xlpm.yArr)),
    IF(_xlpm.n&lt;2,
        NA(),
        INDEX(LINEST(_xlpm.yArr, _xlpm.xArr, TRUE, TRUE), 1, 1)
    )
)</f>
        <v>1.0002503890989694</v>
      </c>
      <c r="D118" s="200" cm="1">
        <f t="array" ref="D118">_xlfn.LET(
    _xlpm.an, ScaleFactors[[#This Row],[Analyte]],
    _xlpm.Acol, SensorLab[Analyte],
    _xlpm.SIDs, SensorLab[Sample_ID],
    _xlpm.Xcol, SensorLab[Raw_Factored],
    _xlpm.Ycol, SensorLab[Labs_Result],
    _xlpm.baseMask, (_xlpm.Acol=_xlpm.an) * ISNUMBER(_xlpm.Xcol) * ISNUMBER(_xlpm.Ycol) * (_xlpm.Xcol&lt;&gt;0) * (_xlpm.Ycol&lt;&gt;0),
    _xlpm.Kmask, IF(_xlpm.Acol="K", _xlpm.Xcol&gt;0, 1),
    _xlpm.rowsMask, _xlpm.baseMask * _xlpm.Kmask,
    _xlpm.xArr, IFERROR(_xlfn._xlws.FILTER(_xlpm.Xcol, _xlpm.rowsMask), _xlfn.SEQUENCE(0)),
    _xlpm.yArr, IFERROR(_xlfn._xlws.FILTER(_xlpm.Ycol, _xlpm.rowsMask), _xlfn.SEQUENCE(0)),
    _xlpm.n, MIN(COUNT(_xlpm.xArr), COUNT(_xlpm.yArr)),
    IF(_xlpm.n &lt; 2,
        NA(),
        INDEX(LINEST(_xlpm.yArr, _xlpm.xArr, TRUE, TRUE), 1, 2)
    )
)</f>
        <v>-1.9088944088309745E-2</v>
      </c>
      <c r="E118" s="199">
        <f>_xlfn.XLOOKUP(ScaleFactors[[#This Row],[Analyte]], CalibrationCoefficients[Analyte], CalibrationCoefficients[ScaleFactor])</f>
        <v>0.1</v>
      </c>
      <c r="F118" s="200" cm="1">
        <f t="array" ref="F118">_xlfn.LET(
    _xlpm.an, ScaleFactors[[#This Row],[Analyte]],
    _xlpm.Acol, SensorLab[Analyte],
    _xlpm.SIDs, SensorLab[Sample_ID],
    _xlpm.Ycol, SensorLab[Labs_Result],
    _xlpm.Pcol, SensorLab[Predicted_Base],
    _xlpm.baseMask, (_xlpm.Acol=_xlpm.an) * ISNUMBER(_xlpm.Ycol) * ISNUMBER(_xlpm.Pcol) * (N(_xlpm.Ycol)&lt;&gt;0) * (N(_xlpm.Pcol)&lt;&gt;0),
    _xlpm.Kmask, IF(_xlpm.Acol="K", SensorLab[Raw_Factored] &gt; 0, 1),
    _xlpm.rowsMask, _xlpm.baseMask * _xlpm.Kmask,
    _xlpm.yArr, IFERROR(N(_xlfn._xlws.FILTER(_xlpm.Ycol, _xlpm.rowsMask)), _xlfn.SEQUENCE(0)),
    _xlpm.pArr, IFERROR(N(_xlfn._xlws.FILTER(_xlpm.Pcol, _xlpm.rowsMask)), _xlfn.SEQUENCE(0)),
    _xlpm.cnt, MIN(COUNT(_xlpm.yArr), COUNT(_xlpm.pArr)),
    _xlpm.residuals, IF(_xlpm.cnt &gt; 0, _xlpm.yArr - _xlpm.pArr, _xlfn.SEQUENCE(0)),
    _xlpm.offset, IF(_xlpm.cnt &gt; 0, IFERROR(MEDIAN(_xlpm.residuals), NA()), NA()),
    _xlpm.offset
)</f>
        <v>1.3410000000000366E-2</v>
      </c>
      <c r="G118" s="201" t="s">
        <v>66</v>
      </c>
      <c r="J118" s="190" t="s">
        <v>209</v>
      </c>
      <c r="K118" s="127" t="s">
        <v>34</v>
      </c>
      <c r="L118" s="208">
        <v>82</v>
      </c>
      <c r="M118" s="237">
        <f>_xlfn.LET(
  _xlpm.analyte, SensorLab[[#This Row],[Analyte]],
  _xlpm.raw, N(SensorLab[[#This Row],[Raw_Value]]),
  _xlpm.scaleF, IFERROR(
    _xlfn.XLOOKUP(_xlpm.analyte, CalibrationCoefficients[Analyte], CalibrationCoefficients[ScaleFactor]),
    1
  ),
  IF(AND(_xlpm.analyte&lt;&gt;"", ISNUMBER(_xlpm.raw)), _xlpm.raw * _xlpm.scaleF, "NA")
)</f>
        <v>8.2000000000000011</v>
      </c>
      <c r="N118" s="194"/>
      <c r="O118" s="41"/>
      <c r="P118" s="41">
        <v>8</v>
      </c>
      <c r="Q118" s="208" cm="1">
        <f t="array" ref="Q11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8</v>
      </c>
      <c r="R118" s="237" cm="1">
        <f t="array" ref="R11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7.8489300000000002</v>
      </c>
      <c r="S118" s="238" cm="1">
        <f t="array" ref="S11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7.81602</v>
      </c>
      <c r="T118" s="238" cm="1">
        <f t="array" ref="T11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0.18398</v>
      </c>
      <c r="U118" s="41" t="str" cm="1">
        <f t="array" ref="U11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0.18398)</v>
      </c>
      <c r="V118" s="213"/>
      <c r="W118" s="213"/>
      <c r="X118" s="4"/>
      <c r="Y118" s="4"/>
      <c r="Z118" s="209"/>
      <c r="AA118" s="209"/>
      <c r="AB118" s="209"/>
      <c r="AC118" s="209"/>
      <c r="AD118" s="212"/>
      <c r="AE118" s="4"/>
      <c r="AF118" s="209"/>
      <c r="AG118" s="4"/>
      <c r="AH118" s="4"/>
      <c r="AI118" s="4"/>
      <c r="AJ118" s="4"/>
      <c r="AK118" s="4"/>
      <c r="AL118" s="6"/>
    </row>
    <row r="119" spans="2:38" x14ac:dyDescent="0.15">
      <c r="B119" s="198" t="s">
        <v>52</v>
      </c>
      <c r="C119" s="199" cm="1">
        <f t="array" ref="C119">_xlfn.LET(
    _xlpm.an, ScaleFactors[[#This Row],[Analyte]],
    _xlpm.Acol, SensorLab[Analyte],
    _xlpm.SIDs, SensorLab[Sample_ID],
    _xlpm.Xcol, SensorLab[Raw_Factored],
    _xlpm.Ycol, SensorLab[Labs_Result],
    _xlpm.baseMask, (_xlpm.Acol=_xlpm.an) * ISNUMBER(_xlpm.Xcol) * ISNUMBER(_xlpm.Ycol) * (_xlpm.Xcol&lt;&gt;0) * (_xlpm.Ycol&lt;&gt;0),
    _xlpm.Kmask, IF(_xlpm.Acol="K", _xlpm.Xcol&gt;0, 1),
    _xlpm.rowsMask, _xlpm.baseMask * _xlpm.Kmask,
    _xlpm.xArr, IFERROR(_xlfn._xlws.FILTER(_xlpm.Xcol, _xlpm.rowsMask), _xlfn.SEQUENCE(0)),
    _xlpm.yArr, IFERROR(_xlfn._xlws.FILTER(_xlpm.Ycol, _xlpm.rowsMask), _xlfn.SEQUENCE(0)),
    _xlpm.n, MIN(COUNT(_xlpm.xArr), COUNT(_xlpm.yArr)),
    IF(_xlpm.n&lt;2,
        NA(),
        INDEX(LINEST(_xlpm.yArr, _xlpm.xArr, TRUE, TRUE), 1, 1)
    )
)</f>
        <v>0.65534856823598353</v>
      </c>
      <c r="D119" s="200" cm="1">
        <f t="array" ref="D119">_xlfn.LET(
    _xlpm.an, ScaleFactors[[#This Row],[Analyte]],
    _xlpm.Acol, SensorLab[Analyte],
    _xlpm.SIDs, SensorLab[Sample_ID],
    _xlpm.Xcol, SensorLab[Raw_Factored],
    _xlpm.Ycol, SensorLab[Labs_Result],
    _xlpm.baseMask, (_xlpm.Acol=_xlpm.an) * ISNUMBER(_xlpm.Xcol) * ISNUMBER(_xlpm.Ycol) * (_xlpm.Xcol&lt;&gt;0) * (_xlpm.Ycol&lt;&gt;0),
    _xlpm.Kmask, IF(_xlpm.Acol="K", _xlpm.Xcol&gt;0, 1),
    _xlpm.rowsMask, _xlpm.baseMask * _xlpm.Kmask,
    _xlpm.xArr, IFERROR(_xlfn._xlws.FILTER(_xlpm.Xcol, _xlpm.rowsMask), _xlfn.SEQUENCE(0)),
    _xlpm.yArr, IFERROR(_xlfn._xlws.FILTER(_xlpm.Ycol, _xlpm.rowsMask), _xlfn.SEQUENCE(0)),
    _xlpm.n, MIN(COUNT(_xlpm.xArr), COUNT(_xlpm.yArr)),
    IF(_xlpm.n &lt; 2,
        NA(),
        INDEX(LINEST(_xlpm.yArr, _xlpm.xArr, TRUE, TRUE), 1, 2)
    )
)</f>
        <v>0.91572726416205208</v>
      </c>
      <c r="E119" s="199">
        <f>_xlfn.XLOOKUP(ScaleFactors[[#This Row],[Analyte]], CalibrationCoefficients[Analyte], CalibrationCoefficients[ScaleFactor])</f>
        <v>1E-3</v>
      </c>
      <c r="F119" s="200" cm="1">
        <f t="array" ref="F119">_xlfn.LET(
    _xlpm.an, ScaleFactors[[#This Row],[Analyte]],
    _xlpm.Acol, SensorLab[Analyte],
    _xlpm.SIDs, SensorLab[Sample_ID],
    _xlpm.Ycol, SensorLab[Labs_Result],
    _xlpm.Pcol, SensorLab[Predicted_Base],
    _xlpm.baseMask, (_xlpm.Acol=_xlpm.an) * ISNUMBER(_xlpm.Ycol) * ISNUMBER(_xlpm.Pcol) * (N(_xlpm.Ycol)&lt;&gt;0) * (N(_xlpm.Pcol)&lt;&gt;0),
    _xlpm.Kmask, IF(_xlpm.Acol="K", SensorLab[Raw_Factored] &gt; 0, 1),
    _xlpm.rowsMask, _xlpm.baseMask * _xlpm.Kmask,
    _xlpm.yArr, IFERROR(N(_xlfn._xlws.FILTER(_xlpm.Ycol, _xlpm.rowsMask)), _xlfn.SEQUENCE(0)),
    _xlpm.pArr, IFERROR(N(_xlfn._xlws.FILTER(_xlpm.Pcol, _xlpm.rowsMask)), _xlfn.SEQUENCE(0)),
    _xlpm.cnt, MIN(COUNT(_xlpm.yArr), COUNT(_xlpm.pArr)),
    _xlpm.residuals, IF(_xlpm.cnt &gt; 0, _xlpm.yArr - _xlpm.pArr, _xlfn.SEQUENCE(0)),
    _xlpm.offset, IF(_xlpm.cnt &gt; 0, IFERROR(MEDIAN(_xlpm.residuals), NA()), NA()),
    _xlpm.offset
)</f>
        <v>-3.2229999999999981E-2</v>
      </c>
      <c r="G119" s="201" t="s">
        <v>53</v>
      </c>
      <c r="J119" s="190" t="s">
        <v>209</v>
      </c>
      <c r="K119" s="127" t="s">
        <v>90</v>
      </c>
      <c r="L119" s="208">
        <v>159</v>
      </c>
      <c r="M119" s="237">
        <f>_xlfn.LET(
  _xlpm.analyte, SensorLab[[#This Row],[Analyte]],
  _xlpm.raw, N(SensorLab[[#This Row],[Raw_Value]]),
  _xlpm.scaleF, IFERROR(
    _xlfn.XLOOKUP(_xlpm.analyte, CalibrationCoefficients[Analyte], CalibrationCoefficients[ScaleFactor]),
    1
  ),
  IF(AND(_xlpm.analyte&lt;&gt;"", ISNUMBER(_xlpm.raw)), _xlpm.raw * _xlpm.scaleF, "NA")
)</f>
        <v>15.9</v>
      </c>
      <c r="N119" s="194"/>
      <c r="O119" s="41"/>
      <c r="P119" s="41">
        <v>15.9</v>
      </c>
      <c r="Q119" s="208" cm="1">
        <f t="array" ref="Q119">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15.9</v>
      </c>
      <c r="R119" s="237" cm="1">
        <f t="array" ref="R11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15.92625</v>
      </c>
      <c r="S119" s="238" cm="1">
        <f t="array" ref="S11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15.889670000000001</v>
      </c>
      <c r="T119" s="238" cm="1">
        <f t="array" ref="T11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-8.1103299999999994</v>
      </c>
      <c r="U119" s="41" t="str" cm="1">
        <f t="array" ref="U11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0.01033)</v>
      </c>
      <c r="V119" s="213"/>
      <c r="W119" s="213"/>
      <c r="X119" s="4"/>
      <c r="Y119" s="4"/>
      <c r="Z119" s="209"/>
      <c r="AA119" s="209"/>
      <c r="AB119" s="209"/>
      <c r="AC119" s="209"/>
      <c r="AD119" s="212"/>
      <c r="AE119" s="4"/>
      <c r="AF119" s="209"/>
      <c r="AG119" s="4"/>
      <c r="AH119" s="4"/>
      <c r="AI119" s="4"/>
      <c r="AJ119" s="4"/>
      <c r="AK119" s="4"/>
      <c r="AL119" s="6"/>
    </row>
    <row r="120" spans="2:38" x14ac:dyDescent="0.15">
      <c r="B120" s="198" t="s">
        <v>34</v>
      </c>
      <c r="C120" s="199" cm="1">
        <f t="array" ref="C120">_xlfn.LET(
    _xlpm.an, ScaleFactors[[#This Row],[Analyte]],
    _xlpm.Acol, SensorLab[Analyte],
    _xlpm.SIDs, SensorLab[Sample_ID],
    _xlpm.Xcol, SensorLab[Raw_Factored],
    _xlpm.Ycol, SensorLab[Labs_Result],
    _xlpm.baseMask, (_xlpm.Acol=_xlpm.an) * ISNUMBER(_xlpm.Xcol) * ISNUMBER(_xlpm.Ycol) * (_xlpm.Xcol&lt;&gt;0) * (_xlpm.Ycol&lt;&gt;0),
    _xlpm.Kmask, IF(_xlpm.Acol="K", _xlpm.Xcol&gt;0, 1),
    _xlpm.rowsMask, _xlpm.baseMask * _xlpm.Kmask,
    _xlpm.xArr, IFERROR(_xlfn._xlws.FILTER(_xlpm.Xcol, _xlpm.rowsMask), _xlfn.SEQUENCE(0)),
    _xlpm.yArr, IFERROR(_xlfn._xlws.FILTER(_xlpm.Ycol, _xlpm.rowsMask), _xlfn.SEQUENCE(0)),
    _xlpm.n, MIN(COUNT(_xlpm.xArr), COUNT(_xlpm.yArr)),
    IF(_xlpm.n&lt;2,
        NA(),
        INDEX(LINEST(_xlpm.yArr, _xlpm.xArr, TRUE, TRUE), 1, 1)
    )
)</f>
        <v>-4.5700493938033146E-2</v>
      </c>
      <c r="D120" s="200" cm="1">
        <f t="array" ref="D120">_xlfn.LET(
    _xlpm.an, ScaleFactors[[#This Row],[Analyte]],
    _xlpm.Acol, SensorLab[Analyte],
    _xlpm.SIDs, SensorLab[Sample_ID],
    _xlpm.Xcol, SensorLab[Raw_Factored],
    _xlpm.Ycol, SensorLab[Labs_Result],
    _xlpm.baseMask, (_xlpm.Acol=_xlpm.an) * ISNUMBER(_xlpm.Xcol) * ISNUMBER(_xlpm.Ycol) * (_xlpm.Xcol&lt;&gt;0) * (_xlpm.Ycol&lt;&gt;0),
    _xlpm.Kmask, IF(_xlpm.Acol="K", _xlpm.Xcol&gt;0, 1),
    _xlpm.rowsMask, _xlpm.baseMask * _xlpm.Kmask,
    _xlpm.xArr, IFERROR(_xlfn._xlws.FILTER(_xlpm.Xcol, _xlpm.rowsMask), _xlfn.SEQUENCE(0)),
    _xlpm.yArr, IFERROR(_xlfn._xlws.FILTER(_xlpm.Ycol, _xlpm.rowsMask), _xlfn.SEQUENCE(0)),
    _xlpm.n, MIN(COUNT(_xlpm.xArr), COUNT(_xlpm.yArr)),
    IF(_xlpm.n &lt; 2,
        NA(),
        INDEX(LINEST(_xlpm.yArr, _xlpm.xArr, TRUE, TRUE), 1, 2)
    )
)</f>
        <v>8.2236726537943419</v>
      </c>
      <c r="E120" s="199">
        <f>_xlfn.XLOOKUP(ScaleFactors[[#This Row],[Analyte]], CalibrationCoefficients[Analyte], CalibrationCoefficients[ScaleFactor])</f>
        <v>0.1</v>
      </c>
      <c r="F120" s="200" cm="1">
        <f t="array" ref="F120">_xlfn.LET(
    _xlpm.an, ScaleFactors[[#This Row],[Analyte]],
    _xlpm.Acol, SensorLab[Analyte],
    _xlpm.SIDs, SensorLab[Sample_ID],
    _xlpm.Ycol, SensorLab[Labs_Result],
    _xlpm.Pcol, SensorLab[Predicted_Base],
    _xlpm.baseMask, (_xlpm.Acol=_xlpm.an) * ISNUMBER(_xlpm.Ycol) * ISNUMBER(_xlpm.Pcol) * (N(_xlpm.Ycol)&lt;&gt;0) * (N(_xlpm.Pcol)&lt;&gt;0),
    _xlpm.Kmask, IF(_xlpm.Acol="K", SensorLab[Raw_Factored] &gt; 0, 1),
    _xlpm.rowsMask, _xlpm.baseMask * _xlpm.Kmask,
    _xlpm.yArr, IFERROR(N(_xlfn._xlws.FILTER(_xlpm.Ycol, _xlpm.rowsMask)), _xlfn.SEQUENCE(0)),
    _xlpm.pArr, IFERROR(N(_xlfn._xlws.FILTER(_xlpm.Pcol, _xlpm.rowsMask)), _xlfn.SEQUENCE(0)),
    _xlpm.cnt, MIN(COUNT(_xlpm.yArr), COUNT(_xlpm.pArr)),
    _xlpm.residuals, IF(_xlpm.cnt &gt; 0, _xlpm.yArr - _xlpm.pArr, _xlfn.SEQUENCE(0)),
    _xlpm.offset, IF(_xlpm.cnt &gt; 0, IFERROR(MEDIAN(_xlpm.residuals), NA()), NA()),
    _xlpm.offset
)</f>
        <v>-3.2910000000000217E-2</v>
      </c>
      <c r="G120" s="201" t="s">
        <v>34</v>
      </c>
      <c r="J120" s="190" t="s">
        <v>209</v>
      </c>
      <c r="K120" s="191" t="s">
        <v>43</v>
      </c>
      <c r="L120" s="208">
        <v>208</v>
      </c>
      <c r="M120" s="237">
        <f>_xlfn.LET(
  _xlpm.analyte, SensorLab[[#This Row],[Analyte]],
  _xlpm.raw, N(SensorLab[[#This Row],[Raw_Value]]),
  _xlpm.scaleF, IFERROR(
    _xlfn.XLOOKUP(_xlpm.analyte, CalibrationCoefficients[Analyte], CalibrationCoefficients[ScaleFactor]),
    1
  ),
  IF(AND(_xlpm.analyte&lt;&gt;"", ISNUMBER(_xlpm.raw)), _xlpm.raw * _xlpm.scaleF, "NA")
)</f>
        <v>20.8</v>
      </c>
      <c r="N120" s="194"/>
      <c r="O120" s="41"/>
      <c r="P120" s="41">
        <v>20.8</v>
      </c>
      <c r="Q120" s="208" cm="1">
        <f t="array" ref="Q12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20.8</v>
      </c>
      <c r="R120" s="237" cm="1">
        <f t="array" ref="R12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20.78612</v>
      </c>
      <c r="S120" s="238" cm="1">
        <f t="array" ref="S12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20.799530000000001</v>
      </c>
      <c r="T120" s="238" cm="1">
        <f t="array" ref="T12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4.6999999999999999E-4</v>
      </c>
      <c r="U120" s="41" t="str" cm="1">
        <f t="array" ref="U12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20.80000 and 20.80000</v>
      </c>
      <c r="V120" s="213"/>
      <c r="W120" s="213"/>
      <c r="X120" s="4"/>
      <c r="Y120" s="4"/>
      <c r="Z120" s="209"/>
      <c r="AA120" s="209"/>
      <c r="AB120" s="209"/>
      <c r="AC120" s="209"/>
      <c r="AD120" s="212"/>
      <c r="AE120" s="4"/>
      <c r="AF120" s="209"/>
      <c r="AG120" s="4"/>
      <c r="AH120" s="4"/>
      <c r="AI120" s="4"/>
      <c r="AJ120" s="4"/>
      <c r="AK120" s="4"/>
      <c r="AL120" s="6"/>
    </row>
    <row r="121" spans="2:38" x14ac:dyDescent="0.15">
      <c r="B121" s="198" t="s">
        <v>45</v>
      </c>
      <c r="C121" s="199" cm="1">
        <f t="array" ref="C121">_xlfn.LET(
    _xlpm.an, ScaleFactors[[#This Row],[Analyte]],
    _xlpm.Acol, SensorLab[Analyte],
    _xlpm.SIDs, SensorLab[Sample_ID],
    _xlpm.Xcol, SensorLab[Raw_Factored],
    _xlpm.Ycol, SensorLab[Labs_Result],
    _xlpm.baseMask, (_xlpm.Acol=_xlpm.an) * ISNUMBER(_xlpm.Xcol) * ISNUMBER(_xlpm.Ycol) * (_xlpm.Xcol&lt;&gt;0) * (_xlpm.Ycol&lt;&gt;0),
    _xlpm.Kmask, IF(_xlpm.Acol="K", _xlpm.Xcol&gt;0, 1),
    _xlpm.rowsMask, _xlpm.baseMask * _xlpm.Kmask,
    _xlpm.xArr, IFERROR(_xlfn._xlws.FILTER(_xlpm.Xcol, _xlpm.rowsMask), _xlfn.SEQUENCE(0)),
    _xlpm.yArr, IFERROR(_xlfn._xlws.FILTER(_xlpm.Ycol, _xlpm.rowsMask), _xlfn.SEQUENCE(0)),
    _xlpm.n, MIN(COUNT(_xlpm.xArr), COUNT(_xlpm.yArr)),
    IF(_xlpm.n&lt;2,
        NA(),
        INDEX(LINEST(_xlpm.yArr, _xlpm.xArr, TRUE, TRUE), 1, 1)
    )
)</f>
        <v>78.942340841443524</v>
      </c>
      <c r="D121" s="200" cm="1">
        <f t="array" ref="D121">_xlfn.LET(
    _xlpm.an, ScaleFactors[[#This Row],[Analyte]],
    _xlpm.Acol, SensorLab[Analyte],
    _xlpm.SIDs, SensorLab[Sample_ID],
    _xlpm.Xcol, SensorLab[Raw_Factored],
    _xlpm.Ycol, SensorLab[Labs_Result],
    _xlpm.baseMask, (_xlpm.Acol=_xlpm.an) * ISNUMBER(_xlpm.Xcol) * ISNUMBER(_xlpm.Ycol) * (_xlpm.Xcol&lt;&gt;0) * (_xlpm.Ycol&lt;&gt;0),
    _xlpm.Kmask, IF(_xlpm.Acol="K", _xlpm.Xcol&gt;0, 1),
    _xlpm.rowsMask, _xlpm.baseMask * _xlpm.Kmask,
    _xlpm.xArr, IFERROR(_xlfn._xlws.FILTER(_xlpm.Xcol, _xlpm.rowsMask), _xlfn.SEQUENCE(0)),
    _xlpm.yArr, IFERROR(_xlfn._xlws.FILTER(_xlpm.Ycol, _xlpm.rowsMask), _xlfn.SEQUENCE(0)),
    _xlpm.n, MIN(COUNT(_xlpm.xArr), COUNT(_xlpm.yArr)),
    IF(_xlpm.n &lt; 2,
        NA(),
        INDEX(LINEST(_xlpm.yArr, _xlpm.xArr, TRUE, TRUE), 1, 2)
    )
)</f>
        <v>0.56305226897048366</v>
      </c>
      <c r="E121" s="199">
        <f>_xlfn.XLOOKUP(ScaleFactors[[#This Row],[Analyte]], CalibrationCoefficients[Analyte], CalibrationCoefficients[ScaleFactor])</f>
        <v>1</v>
      </c>
      <c r="F121" s="200" cm="1">
        <f t="array" ref="F121">_xlfn.LET(
    _xlpm.an, ScaleFactors[[#This Row],[Analyte]],
    _xlpm.Acol, SensorLab[Analyte],
    _xlpm.SIDs, SensorLab[Sample_ID],
    _xlpm.Ycol, SensorLab[Labs_Result],
    _xlpm.Pcol, SensorLab[Predicted_Base],
    _xlpm.baseMask, (_xlpm.Acol=_xlpm.an) * ISNUMBER(_xlpm.Ycol) * ISNUMBER(_xlpm.Pcol) * (N(_xlpm.Ycol)&lt;&gt;0) * (N(_xlpm.Pcol)&lt;&gt;0),
    _xlpm.Kmask, IF(_xlpm.Acol="K", SensorLab[Raw_Factored] &gt; 0, 1),
    _xlpm.rowsMask, _xlpm.baseMask * _xlpm.Kmask,
    _xlpm.yArr, IFERROR(N(_xlfn._xlws.FILTER(_xlpm.Ycol, _xlpm.rowsMask)), _xlfn.SEQUENCE(0)),
    _xlpm.pArr, IFERROR(N(_xlfn._xlws.FILTER(_xlpm.Pcol, _xlpm.rowsMask)), _xlfn.SEQUENCE(0)),
    _xlpm.cnt, MIN(COUNT(_xlpm.yArr), COUNT(_xlpm.pArr)),
    _xlpm.residuals, IF(_xlpm.cnt &gt; 0, _xlpm.yArr - _xlpm.pArr, _xlfn.SEQUENCE(0)),
    _xlpm.offset, IF(_xlpm.cnt &gt; 0, IFERROR(MEDIAN(_xlpm.residuals), NA()), NA()),
    _xlpm.offset
)</f>
        <v>-4.0999999999999925E-3</v>
      </c>
      <c r="G121" s="201" t="s">
        <v>66</v>
      </c>
      <c r="J121" s="190" t="s">
        <v>209</v>
      </c>
      <c r="K121" s="191" t="s">
        <v>45</v>
      </c>
      <c r="L121" s="208">
        <v>5.1999999999999995E-4</v>
      </c>
      <c r="M121" s="237">
        <f>_xlfn.LET(
  _xlpm.analyte, SensorLab[[#This Row],[Analyte]],
  _xlpm.raw, N(SensorLab[[#This Row],[Raw_Value]]),
  _xlpm.scaleF, IFERROR(
    _xlfn.XLOOKUP(_xlpm.analyte, CalibrationCoefficients[Analyte], CalibrationCoefficients[ScaleFactor]),
    1
  ),
  IF(AND(_xlpm.analyte&lt;&gt;"", ISNUMBER(_xlpm.raw)), _xlpm.raw * _xlpm.scaleF, "NA")
)</f>
        <v>5.1999999999999995E-4</v>
      </c>
      <c r="N121" s="194"/>
      <c r="O121" s="41"/>
      <c r="P121" s="41">
        <v>0.82</v>
      </c>
      <c r="Q121" s="208" cm="1">
        <f t="array" ref="Q121">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0.82</v>
      </c>
      <c r="R121" s="237" cm="1">
        <f t="array" ref="R12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0.60409999999999997</v>
      </c>
      <c r="S121" s="238" cm="1">
        <f t="array" ref="S12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0.6</v>
      </c>
      <c r="T121" s="238" cm="1">
        <f t="array" ref="T12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0.22</v>
      </c>
      <c r="U121" s="41" t="str" cm="1">
        <f t="array" ref="U12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0.22000)</v>
      </c>
      <c r="V121" s="213"/>
      <c r="W121" s="213"/>
      <c r="X121" s="4"/>
      <c r="Y121" s="4"/>
      <c r="Z121" s="209"/>
      <c r="AA121" s="209"/>
      <c r="AB121" s="209"/>
      <c r="AC121" s="209"/>
      <c r="AD121" s="212"/>
      <c r="AE121" s="4"/>
      <c r="AF121" s="209"/>
      <c r="AG121" s="4"/>
      <c r="AH121" s="4"/>
      <c r="AI121" s="4"/>
      <c r="AJ121" s="4"/>
      <c r="AK121" s="4"/>
      <c r="AL121" s="6"/>
    </row>
    <row r="122" spans="2:38" x14ac:dyDescent="0.15">
      <c r="B122" s="198" t="s">
        <v>0</v>
      </c>
      <c r="C122" s="199" cm="1">
        <f t="array" ref="C122">_xlfn.LET(
    _xlpm.an, ScaleFactors[[#This Row],[Analyte]],
    _xlpm.Acol, SensorLab[Analyte],
    _xlpm.SIDs, SensorLab[Sample_ID],
    _xlpm.Xcol, SensorLab[Raw_Factored],
    _xlpm.Ycol, SensorLab[Labs_Result],
    _xlpm.baseMask, (_xlpm.Acol=_xlpm.an) * ISNUMBER(_xlpm.Xcol) * ISNUMBER(_xlpm.Ycol) * (_xlpm.Xcol&lt;&gt;0) * (_xlpm.Ycol&lt;&gt;0),
    _xlpm.Kmask, IF(_xlpm.Acol="K", _xlpm.Xcol&gt;0, 1),
    _xlpm.rowsMask, _xlpm.baseMask * _xlpm.Kmask,
    _xlpm.xArr, IFERROR(_xlfn._xlws.FILTER(_xlpm.Xcol, _xlpm.rowsMask), _xlfn.SEQUENCE(0)),
    _xlpm.yArr, IFERROR(_xlfn._xlws.FILTER(_xlpm.Ycol, _xlpm.rowsMask), _xlfn.SEQUENCE(0)),
    _xlpm.n, MIN(COUNT(_xlpm.xArr), COUNT(_xlpm.yArr)),
    IF(_xlpm.n&lt;2,
        NA(),
        INDEX(LINEST(_xlpm.yArr, _xlpm.xArr, TRUE, TRUE), 1, 1)
    )
)</f>
        <v>-3.4568285907529341E-2</v>
      </c>
      <c r="D122" s="200" cm="1">
        <f t="array" ref="D122">_xlfn.LET(
    _xlpm.an, ScaleFactors[[#This Row],[Analyte]],
    _xlpm.Acol, SensorLab[Analyte],
    _xlpm.SIDs, SensorLab[Sample_ID],
    _xlpm.Xcol, SensorLab[Raw_Factored],
    _xlpm.Ycol, SensorLab[Labs_Result],
    _xlpm.baseMask, (_xlpm.Acol=_xlpm.an) * ISNUMBER(_xlpm.Xcol) * ISNUMBER(_xlpm.Ycol) * (_xlpm.Xcol&lt;&gt;0) * (_xlpm.Ycol&lt;&gt;0),
    _xlpm.Kmask, IF(_xlpm.Acol="K", _xlpm.Xcol&gt;0, 1),
    _xlpm.rowsMask, _xlpm.baseMask * _xlpm.Kmask,
    _xlpm.xArr, IFERROR(_xlfn._xlws.FILTER(_xlpm.Xcol, _xlpm.rowsMask), _xlfn.SEQUENCE(0)),
    _xlpm.yArr, IFERROR(_xlfn._xlws.FILTER(_xlpm.Ycol, _xlpm.rowsMask), _xlfn.SEQUENCE(0)),
    _xlpm.n, MIN(COUNT(_xlpm.xArr), COUNT(_xlpm.yArr)),
    IF(_xlpm.n &lt; 2,
        NA(),
        INDEX(LINEST(_xlpm.yArr, _xlpm.xArr, TRUE, TRUE), 1, 2)
    )
)</f>
        <v>40.153708282130438</v>
      </c>
      <c r="E122" s="199">
        <f>_xlfn.XLOOKUP(ScaleFactors[[#This Row],[Analyte]], CalibrationCoefficients[Analyte], CalibrationCoefficients[ScaleFactor])</f>
        <v>1</v>
      </c>
      <c r="F122" s="200" cm="1">
        <f t="array" ref="F122">_xlfn.LET(
    _xlpm.an, ScaleFactors[[#This Row],[Analyte]],
    _xlpm.Acol, SensorLab[Analyte],
    _xlpm.SIDs, SensorLab[Sample_ID],
    _xlpm.Ycol, SensorLab[Labs_Result],
    _xlpm.Pcol, SensorLab[Predicted_Base],
    _xlpm.baseMask, (_xlpm.Acol=_xlpm.an) * ISNUMBER(_xlpm.Ycol) * ISNUMBER(_xlpm.Pcol) * (N(_xlpm.Ycol)&lt;&gt;0) * (N(_xlpm.Pcol)&lt;&gt;0),
    _xlpm.Kmask, IF(_xlpm.Acol="K", SensorLab[Raw_Factored] &gt; 0, 1),
    _xlpm.rowsMask, _xlpm.baseMask * _xlpm.Kmask,
    _xlpm.yArr, IFERROR(N(_xlfn._xlws.FILTER(_xlpm.Ycol, _xlpm.rowsMask)), _xlfn.SEQUENCE(0)),
    _xlpm.pArr, IFERROR(N(_xlfn._xlws.FILTER(_xlpm.Pcol, _xlpm.rowsMask)), _xlfn.SEQUENCE(0)),
    _xlpm.cnt, MIN(COUNT(_xlpm.yArr), COUNT(_xlpm.pArr)),
    _xlpm.residuals, IF(_xlpm.cnt &gt; 0, _xlpm.yArr - _xlpm.pArr, _xlfn.SEQUENCE(0)),
    _xlpm.offset, IF(_xlpm.cnt &gt; 0, IFERROR(MEDIAN(_xlpm.residuals), NA()), NA()),
    _xlpm.offset
)</f>
        <v>0</v>
      </c>
      <c r="G122" s="201" t="s">
        <v>66</v>
      </c>
      <c r="J122" s="190" t="s">
        <v>209</v>
      </c>
      <c r="K122" s="127" t="s">
        <v>0</v>
      </c>
      <c r="L122" s="208">
        <v>50.23</v>
      </c>
      <c r="M122" s="237">
        <f>_xlfn.LET(
  _xlpm.analyte, SensorLab[[#This Row],[Analyte]],
  _xlpm.raw, N(SensorLab[[#This Row],[Raw_Value]]),
  _xlpm.scaleF, IFERROR(
    _xlfn.XLOOKUP(_xlpm.analyte, CalibrationCoefficients[Analyte], CalibrationCoefficients[ScaleFactor]),
    1
  ),
  IF(AND(_xlpm.analyte&lt;&gt;"", ISNUMBER(_xlpm.raw)), _xlpm.raw * _xlpm.scaleF, "NA")
)</f>
        <v>50.23</v>
      </c>
      <c r="N122" s="194"/>
      <c r="O122" s="41"/>
      <c r="P122" s="41">
        <v>42.5</v>
      </c>
      <c r="Q122" s="208" cm="1">
        <f t="array" ref="Q12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42.5</v>
      </c>
      <c r="R122" s="237" cm="1">
        <f t="array" ref="R12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42.5</v>
      </c>
      <c r="S122" s="238" cm="1">
        <f t="array" ref="S12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42.5</v>
      </c>
      <c r="T122" s="238" cm="1">
        <f t="array" ref="T12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122" s="41" t="str" cm="1">
        <f t="array" ref="U12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122" s="213"/>
      <c r="W122" s="213"/>
      <c r="X122" s="4"/>
      <c r="Y122" s="4"/>
      <c r="Z122" s="209"/>
      <c r="AA122" s="209"/>
      <c r="AB122" s="209"/>
      <c r="AC122" s="209"/>
      <c r="AD122" s="212"/>
      <c r="AE122" s="4"/>
      <c r="AF122" s="209"/>
      <c r="AG122" s="4"/>
      <c r="AH122" s="4"/>
      <c r="AI122" s="4"/>
      <c r="AJ122" s="4"/>
      <c r="AK122" s="4"/>
      <c r="AL122" s="6"/>
    </row>
    <row r="123" spans="2:38" x14ac:dyDescent="0.15">
      <c r="B123" s="198" t="s">
        <v>5</v>
      </c>
      <c r="C123" s="199" cm="1">
        <f t="array" ref="C123">_xlfn.LET(
    _xlpm.an, ScaleFactors[[#This Row],[Analyte]],
    _xlpm.Acol, SensorLab[Analyte],
    _xlpm.SIDs, SensorLab[Sample_ID],
    _xlpm.Xcol, SensorLab[Raw_Factored],
    _xlpm.Ycol, SensorLab[Labs_Result],
    _xlpm.baseMask, (_xlpm.Acol=_xlpm.an) * ISNUMBER(_xlpm.Xcol) * ISNUMBER(_xlpm.Ycol) * (_xlpm.Xcol&lt;&gt;0) * (_xlpm.Ycol&lt;&gt;0),
    _xlpm.Kmask, IF(_xlpm.Acol="K", _xlpm.Xcol&gt;0, 1),
    _xlpm.rowsMask, _xlpm.baseMask * _xlpm.Kmask,
    _xlpm.xArr, IFERROR(_xlfn._xlws.FILTER(_xlpm.Xcol, _xlpm.rowsMask), _xlfn.SEQUENCE(0)),
    _xlpm.yArr, IFERROR(_xlfn._xlws.FILTER(_xlpm.Ycol, _xlpm.rowsMask), _xlfn.SEQUENCE(0)),
    _xlpm.n, MIN(COUNT(_xlpm.xArr), COUNT(_xlpm.yArr)),
    IF(_xlpm.n&lt;2,
        NA(),
        INDEX(LINEST(_xlpm.yArr, _xlpm.xArr, TRUE, TRUE), 1, 1)
    )
)</f>
        <v>1.4531070672678278E-2</v>
      </c>
      <c r="D123" s="200" cm="1">
        <f t="array" ref="D123">_xlfn.LET(
    _xlpm.an, ScaleFactors[[#This Row],[Analyte]],
    _xlpm.Acol, SensorLab[Analyte],
    _xlpm.SIDs, SensorLab[Sample_ID],
    _xlpm.Xcol, SensorLab[Raw_Factored],
    _xlpm.Ycol, SensorLab[Labs_Result],
    _xlpm.baseMask, (_xlpm.Acol=_xlpm.an) * ISNUMBER(_xlpm.Xcol) * ISNUMBER(_xlpm.Ycol) * (_xlpm.Xcol&lt;&gt;0) * (_xlpm.Ycol&lt;&gt;0),
    _xlpm.Kmask, IF(_xlpm.Acol="K", _xlpm.Xcol&gt;0, 1),
    _xlpm.rowsMask, _xlpm.baseMask * _xlpm.Kmask,
    _xlpm.xArr, IFERROR(_xlfn._xlws.FILTER(_xlpm.Xcol, _xlpm.rowsMask), _xlfn.SEQUENCE(0)),
    _xlpm.yArr, IFERROR(_xlfn._xlws.FILTER(_xlpm.Ycol, _xlpm.rowsMask), _xlfn.SEQUENCE(0)),
    _xlpm.n, MIN(COUNT(_xlpm.xArr), COUNT(_xlpm.yArr)),
    IF(_xlpm.n &lt; 2,
        NA(),
        INDEX(LINEST(_xlpm.yArr, _xlpm.xArr, TRUE, TRUE), 1, 2)
    )
)</f>
        <v>43.917136018407142</v>
      </c>
      <c r="E123" s="199">
        <f>_xlfn.XLOOKUP(ScaleFactors[[#This Row],[Analyte]], CalibrationCoefficients[Analyte], CalibrationCoefficients[ScaleFactor])</f>
        <v>1</v>
      </c>
      <c r="F123" s="200" cm="1">
        <f t="array" ref="F123">_xlfn.LET(
    _xlpm.an, ScaleFactors[[#This Row],[Analyte]],
    _xlpm.Acol, SensorLab[Analyte],
    _xlpm.SIDs, SensorLab[Sample_ID],
    _xlpm.Ycol, SensorLab[Labs_Result],
    _xlpm.Pcol, SensorLab[Predicted_Base],
    _xlpm.baseMask, (_xlpm.Acol=_xlpm.an) * ISNUMBER(_xlpm.Ycol) * ISNUMBER(_xlpm.Pcol) * (N(_xlpm.Ycol)&lt;&gt;0) * (N(_xlpm.Pcol)&lt;&gt;0),
    _xlpm.Kmask, IF(_xlpm.Acol="K", SensorLab[Raw_Factored] &gt; 0, 1),
    _xlpm.rowsMask, _xlpm.baseMask * _xlpm.Kmask,
    _xlpm.yArr, IFERROR(N(_xlfn._xlws.FILTER(_xlpm.Ycol, _xlpm.rowsMask)), _xlfn.SEQUENCE(0)),
    _xlpm.pArr, IFERROR(N(_xlfn._xlws.FILTER(_xlpm.Pcol, _xlpm.rowsMask)), _xlfn.SEQUENCE(0)),
    _xlpm.cnt, MIN(COUNT(_xlpm.yArr), COUNT(_xlpm.pArr)),
    _xlpm.residuals, IF(_xlpm.cnt &gt; 0, _xlpm.yArr - _xlpm.pArr, _xlfn.SEQUENCE(0)),
    _xlpm.offset, IF(_xlpm.cnt &gt; 0, IFERROR(MEDIAN(_xlpm.residuals), NA()), NA()),
    _xlpm.offset
)</f>
        <v>0</v>
      </c>
      <c r="G123" s="202" t="s">
        <v>66</v>
      </c>
      <c r="J123" s="190" t="s">
        <v>209</v>
      </c>
      <c r="K123" s="127" t="s">
        <v>5</v>
      </c>
      <c r="L123" s="208">
        <v>34.380000000000003</v>
      </c>
      <c r="M123" s="237">
        <f>_xlfn.LET(
  _xlpm.analyte, SensorLab[[#This Row],[Analyte]],
  _xlpm.raw, N(SensorLab[[#This Row],[Raw_Value]]),
  _xlpm.scaleF, IFERROR(
    _xlfn.XLOOKUP(_xlpm.analyte, CalibrationCoefficients[Analyte], CalibrationCoefficients[ScaleFactor]),
    1
  ),
  IF(AND(_xlpm.analyte&lt;&gt;"", ISNUMBER(_xlpm.raw)), _xlpm.raw * _xlpm.scaleF, "NA")
)</f>
        <v>34.380000000000003</v>
      </c>
      <c r="N123" s="194"/>
      <c r="O123" s="41"/>
      <c r="P123" s="41">
        <v>37.5</v>
      </c>
      <c r="Q123" s="208" cm="1">
        <f t="array" ref="Q123">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37.5</v>
      </c>
      <c r="R123" s="237" cm="1">
        <f t="array" ref="R12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37.5</v>
      </c>
      <c r="S123" s="238" cm="1">
        <f t="array" ref="S12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37.5</v>
      </c>
      <c r="T123" s="238" cm="1">
        <f t="array" ref="T12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123" s="41" t="str" cm="1">
        <f t="array" ref="U12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123" s="213"/>
      <c r="W123" s="213"/>
      <c r="X123" s="4"/>
      <c r="Y123" s="4"/>
      <c r="Z123" s="209"/>
      <c r="AA123" s="209"/>
      <c r="AB123" s="209"/>
      <c r="AC123" s="209"/>
      <c r="AD123" s="212"/>
      <c r="AE123" s="4"/>
      <c r="AF123" s="209"/>
      <c r="AG123" s="4"/>
      <c r="AH123" s="4"/>
      <c r="AI123" s="4"/>
      <c r="AJ123" s="4"/>
      <c r="AK123" s="4"/>
      <c r="AL123" s="6"/>
    </row>
    <row r="124" spans="2:38" x14ac:dyDescent="0.15">
      <c r="B124" s="198" t="s">
        <v>6</v>
      </c>
      <c r="C124" s="199" cm="1">
        <f t="array" ref="C124">_xlfn.LET(
    _xlpm.an, ScaleFactors[[#This Row],[Analyte]],
    _xlpm.Acol, SensorLab[Analyte],
    _xlpm.SIDs, SensorLab[Sample_ID],
    _xlpm.Xcol, SensorLab[Raw_Factored],
    _xlpm.Ycol, SensorLab[Labs_Result],
    _xlpm.baseMask, (_xlpm.Acol=_xlpm.an) * ISNUMBER(_xlpm.Xcol) * ISNUMBER(_xlpm.Ycol) * (_xlpm.Xcol&lt;&gt;0) * (_xlpm.Ycol&lt;&gt;0),
    _xlpm.Kmask, IF(_xlpm.Acol="K", _xlpm.Xcol&gt;0, 1),
    _xlpm.rowsMask, _xlpm.baseMask * _xlpm.Kmask,
    _xlpm.xArr, IFERROR(_xlfn._xlws.FILTER(_xlpm.Xcol, _xlpm.rowsMask), _xlfn.SEQUENCE(0)),
    _xlpm.yArr, IFERROR(_xlfn._xlws.FILTER(_xlpm.Ycol, _xlpm.rowsMask), _xlfn.SEQUENCE(0)),
    _xlpm.n, MIN(COUNT(_xlpm.xArr), COUNT(_xlpm.yArr)),
    IF(_xlpm.n&lt;2,
        NA(),
        INDEX(LINEST(_xlpm.yArr, _xlpm.xArr, TRUE, TRUE), 1, 1)
    )
)</f>
        <v>-0.31503145760327067</v>
      </c>
      <c r="D124" s="200" cm="1">
        <f t="array" ref="D124">_xlfn.LET(
    _xlpm.an, ScaleFactors[[#This Row],[Analyte]],
    _xlpm.Acol, SensorLab[Analyte],
    _xlpm.SIDs, SensorLab[Sample_ID],
    _xlpm.Xcol, SensorLab[Raw_Factored],
    _xlpm.Ycol, SensorLab[Labs_Result],
    _xlpm.baseMask, (_xlpm.Acol=_xlpm.an) * ISNUMBER(_xlpm.Xcol) * ISNUMBER(_xlpm.Ycol) * (_xlpm.Xcol&lt;&gt;0) * (_xlpm.Ycol&lt;&gt;0),
    _xlpm.Kmask, IF(_xlpm.Acol="K", _xlpm.Xcol&gt;0, 1),
    _xlpm.rowsMask, _xlpm.baseMask * _xlpm.Kmask,
    _xlpm.xArr, IFERROR(_xlfn._xlws.FILTER(_xlpm.Xcol, _xlpm.rowsMask), _xlfn.SEQUENCE(0)),
    _xlpm.yArr, IFERROR(_xlfn._xlws.FILTER(_xlpm.Ycol, _xlpm.rowsMask), _xlfn.SEQUENCE(0)),
    _xlpm.n, MIN(COUNT(_xlpm.xArr), COUNT(_xlpm.yArr)),
    IF(_xlpm.n &lt; 2,
        NA(),
        INDEX(LINEST(_xlpm.yArr, _xlpm.xArr, TRUE, TRUE), 1, 2)
    )
)</f>
        <v>21.754986185998032</v>
      </c>
      <c r="E124" s="199">
        <f>_xlfn.XLOOKUP(ScaleFactors[[#This Row],[Analyte]], CalibrationCoefficients[Analyte], CalibrationCoefficients[ScaleFactor])</f>
        <v>1</v>
      </c>
      <c r="F124" s="200" cm="1">
        <f t="array" ref="F124">_xlfn.LET(
    _xlpm.an, ScaleFactors[[#This Row],[Analyte]],
    _xlpm.Acol, SensorLab[Analyte],
    _xlpm.SIDs, SensorLab[Sample_ID],
    _xlpm.Ycol, SensorLab[Labs_Result],
    _xlpm.Pcol, SensorLab[Predicted_Base],
    _xlpm.baseMask, (_xlpm.Acol=_xlpm.an) * ISNUMBER(_xlpm.Ycol) * ISNUMBER(_xlpm.Pcol) * (N(_xlpm.Ycol)&lt;&gt;0) * (N(_xlpm.Pcol)&lt;&gt;0),
    _xlpm.Kmask, IF(_xlpm.Acol="K", SensorLab[Raw_Factored] &gt; 0, 1),
    _xlpm.rowsMask, _xlpm.baseMask * _xlpm.Kmask,
    _xlpm.yArr, IFERROR(N(_xlfn._xlws.FILTER(_xlpm.Ycol, _xlpm.rowsMask)), _xlfn.SEQUENCE(0)),
    _xlpm.pArr, IFERROR(N(_xlfn._xlws.FILTER(_xlpm.Pcol, _xlpm.rowsMask)), _xlfn.SEQUENCE(0)),
    _xlpm.cnt, MIN(COUNT(_xlpm.yArr), COUNT(_xlpm.pArr)),
    _xlpm.residuals, IF(_xlpm.cnt &gt; 0, _xlpm.yArr - _xlpm.pArr, _xlfn.SEQUENCE(0)),
    _xlpm.offset, IF(_xlpm.cnt &gt; 0, IFERROR(MEDIAN(_xlpm.residuals), NA()), NA()),
    _xlpm.offset
)</f>
        <v>0</v>
      </c>
      <c r="G124" s="202" t="s">
        <v>66</v>
      </c>
      <c r="J124" s="190" t="s">
        <v>209</v>
      </c>
      <c r="K124" s="127" t="s">
        <v>6</v>
      </c>
      <c r="L124" s="208">
        <v>15.39</v>
      </c>
      <c r="M124" s="237">
        <f>_xlfn.LET(
  _xlpm.analyte, SensorLab[[#This Row],[Analyte]],
  _xlpm.raw, N(SensorLab[[#This Row],[Raw_Value]]),
  _xlpm.scaleF, IFERROR(
    _xlfn.XLOOKUP(_xlpm.analyte, CalibrationCoefficients[Analyte], CalibrationCoefficients[ScaleFactor]),
    1
  ),
  IF(AND(_xlpm.analyte&lt;&gt;"", ISNUMBER(_xlpm.raw)), _xlpm.raw * _xlpm.scaleF, "NA")
)</f>
        <v>15.39</v>
      </c>
      <c r="N124" s="194"/>
      <c r="O124" s="41"/>
      <c r="P124" s="41">
        <v>20</v>
      </c>
      <c r="Q124" s="208" cm="1">
        <f t="array" ref="Q12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20</v>
      </c>
      <c r="R124" s="237" cm="1">
        <f t="array" ref="R12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20</v>
      </c>
      <c r="S124" s="238" cm="1">
        <f t="array" ref="S12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20</v>
      </c>
      <c r="T124" s="238" cm="1">
        <f t="array" ref="T12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124" s="41" t="str" cm="1">
        <f t="array" ref="U12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124" s="213"/>
      <c r="W124" s="213"/>
      <c r="X124" s="4"/>
      <c r="Y124" s="4"/>
      <c r="Z124" s="209"/>
      <c r="AA124" s="209"/>
      <c r="AB124" s="209"/>
      <c r="AC124" s="209"/>
      <c r="AD124" s="212"/>
      <c r="AE124" s="4"/>
      <c r="AF124" s="209"/>
      <c r="AG124" s="4"/>
      <c r="AH124" s="4"/>
      <c r="AI124" s="4"/>
      <c r="AJ124" s="4"/>
      <c r="AK124" s="4"/>
      <c r="AL124" s="6"/>
    </row>
    <row r="125" spans="2:38" ht="11.25" thickBot="1" x14ac:dyDescent="0.2">
      <c r="B125" s="198" t="s">
        <v>39</v>
      </c>
      <c r="C125" s="199" cm="1">
        <f t="array" ref="C125">_xlfn.LET(
    _xlpm.an, ScaleFactors[[#This Row],[Analyte]],
    _xlpm.Acol, SensorLab[Analyte],
    _xlpm.SIDs, SensorLab[Sample_ID],
    _xlpm.Xcol, SensorLab[Raw_Factored],
    _xlpm.Ycol, SensorLab[Labs_Result],
    _xlpm.baseMask, (_xlpm.Acol=_xlpm.an) * ISNUMBER(_xlpm.Xcol) * ISNUMBER(_xlpm.Ycol) * (_xlpm.Xcol&lt;&gt;0) * (_xlpm.Ycol&lt;&gt;0),
    _xlpm.Kmask, IF(_xlpm.Acol="K", _xlpm.Xcol&gt;0, 1),
    _xlpm.rowsMask, _xlpm.baseMask * _xlpm.Kmask,
    _xlpm.xArr, IFERROR(_xlfn._xlws.FILTER(_xlpm.Xcol, _xlpm.rowsMask), _xlfn.SEQUENCE(0)),
    _xlpm.yArr, IFERROR(_xlfn._xlws.FILTER(_xlpm.Ycol, _xlpm.rowsMask), _xlfn.SEQUENCE(0)),
    _xlpm.n, MIN(COUNT(_xlpm.xArr), COUNT(_xlpm.yArr)),
    IF(_xlpm.n&lt;2,
        NA(),
        INDEX(LINEST(_xlpm.yArr, _xlpm.xArr, TRUE, TRUE), 1, 1)
    )
)</f>
        <v>0.14037755710637914</v>
      </c>
      <c r="D125" s="200" cm="1">
        <f t="array" ref="D125">_xlfn.LET(
    _xlpm.an, ScaleFactors[[#This Row],[Analyte]],
    _xlpm.Acol, SensorLab[Analyte],
    _xlpm.SIDs, SensorLab[Sample_ID],
    _xlpm.Xcol, SensorLab[Raw_Factored],
    _xlpm.Ycol, SensorLab[Labs_Result],
    _xlpm.baseMask, (_xlpm.Acol=_xlpm.an) * ISNUMBER(_xlpm.Xcol) * ISNUMBER(_xlpm.Ycol) * (_xlpm.Xcol&lt;&gt;0) * (_xlpm.Ycol&lt;&gt;0),
    _xlpm.Kmask, IF(_xlpm.Acol="K", _xlpm.Xcol&gt;0, 1),
    _xlpm.rowsMask, _xlpm.baseMask * _xlpm.Kmask,
    _xlpm.xArr, IFERROR(_xlfn._xlws.FILTER(_xlpm.Xcol, _xlpm.rowsMask), _xlfn.SEQUENCE(0)),
    _xlpm.yArr, IFERROR(_xlfn._xlws.FILTER(_xlpm.Ycol, _xlpm.rowsMask), _xlfn.SEQUENCE(0)),
    _xlpm.n, MIN(COUNT(_xlpm.xArr), COUNT(_xlpm.yArr)),
    IF(_xlpm.n &lt; 2,
        NA(),
        INDEX(LINEST(_xlpm.yArr, _xlpm.xArr, TRUE, TRUE), 1, 2)
    )
)</f>
        <v>0.44662543067247995</v>
      </c>
      <c r="E125" s="199">
        <f>_xlfn.XLOOKUP(ScaleFactors[[#This Row],[Analyte]], CalibrationCoefficients[Analyte], CalibrationCoefficients[ScaleFactor])</f>
        <v>1</v>
      </c>
      <c r="F125" s="200" cm="1">
        <f t="array" ref="F125">_xlfn.LET(
    _xlpm.an, ScaleFactors[[#This Row],[Analyte]],
    _xlpm.Acol, SensorLab[Analyte],
    _xlpm.SIDs, SensorLab[Sample_ID],
    _xlpm.Ycol, SensorLab[Labs_Result],
    _xlpm.Pcol, SensorLab[Predicted_Base],
    _xlpm.baseMask, (_xlpm.Acol=_xlpm.an) * ISNUMBER(_xlpm.Ycol) * ISNUMBER(_xlpm.Pcol) * (N(_xlpm.Ycol)&lt;&gt;0) * (N(_xlpm.Pcol)&lt;&gt;0),
    _xlpm.Kmask, IF(_xlpm.Acol="K", SensorLab[Raw_Factored] &gt; 0, 1),
    _xlpm.rowsMask, _xlpm.baseMask * _xlpm.Kmask,
    _xlpm.yArr, IFERROR(N(_xlfn._xlws.FILTER(_xlpm.Ycol, _xlpm.rowsMask)), _xlfn.SEQUENCE(0)),
    _xlpm.pArr, IFERROR(N(_xlfn._xlws.FILTER(_xlpm.Pcol, _xlpm.rowsMask)), _xlfn.SEQUENCE(0)),
    _xlpm.cnt, MIN(COUNT(_xlpm.yArr), COUNT(_xlpm.pArr)),
    _xlpm.residuals, IF(_xlpm.cnt &gt; 0, _xlpm.yArr - _xlpm.pArr, _xlfn.SEQUENCE(0)),
    _xlpm.offset, IF(_xlpm.cnt &gt; 0, IFERROR(MEDIAN(_xlpm.residuals), NA()), NA()),
    _xlpm.offset
)</f>
        <v>1.5533699999999999</v>
      </c>
      <c r="G125" s="202" t="s">
        <v>88</v>
      </c>
      <c r="J125" s="190" t="s">
        <v>209</v>
      </c>
      <c r="K125" s="193" t="s">
        <v>69</v>
      </c>
      <c r="L125" s="255" t="str" cm="1">
        <f t="array" ref="L125">_xlfn.LET(
  _xlpm.bs,L122, _xlpm.si,L123, _xlpm.c,L124,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M125" s="256" t="str" cm="1">
        <f t="array" ref="M125">_xlfn.LET(
  _xlpm.bs,M122, _xlpm.si,M123, _xlpm.c,M124,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N125" s="245" t="str" cm="1">
        <f t="array" ref="N125">_xlfn.LET(
  _xlpm.bs,N122, _xlpm.si,N123, _xlpm.c,N124,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125" s="245" t="str" cm="1">
        <f t="array" ref="O125">_xlfn.LET(
  _xlpm.bs,O122, _xlpm.si,O123, _xlpm.c,O124,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P125" s="245" t="str" cm="1">
        <f t="array" ref="P125">_xlfn.LET(
  _xlpm.bs,P122, _xlpm.si,P123, _xlpm.c,P124,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Q125" s="255" t="str" cm="1">
        <f t="array" ref="Q125">_xlfn.LET(
  _xlpm.bs,Q122, _xlpm.si,Q123, _xlpm.c,Q124,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R125" s="256" t="str" cm="1">
        <f t="array" ref="R125">_xlfn.LET(
  _xlpm.bs,R122, _xlpm.si,R123, _xlpm.c,R124,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S125" s="256" t="str" cm="1">
        <f t="array" ref="S125">_xlfn.LET(
  _xlpm.bs,S122, _xlpm.si,S123, _xlpm.c,S124,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T125" s="240" cm="1">
        <f t="array" ref="T12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125" s="229" t="str" cm="1">
        <f t="array" ref="U12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(Texture match: Loam)</v>
      </c>
      <c r="V125" s="213"/>
      <c r="W125" s="213"/>
      <c r="X125" s="4"/>
      <c r="Y125" s="4"/>
      <c r="Z125" s="209"/>
      <c r="AA125" s="209"/>
      <c r="AB125" s="209"/>
      <c r="AC125" s="209"/>
      <c r="AD125" s="212"/>
      <c r="AE125" s="4"/>
      <c r="AF125" s="209"/>
      <c r="AG125" s="4"/>
      <c r="AH125" s="4"/>
      <c r="AI125" s="4"/>
      <c r="AJ125" s="4"/>
      <c r="AK125" s="4"/>
      <c r="AL125" s="6"/>
    </row>
    <row r="126" spans="2:38" x14ac:dyDescent="0.15">
      <c r="B126" s="198" t="s">
        <v>40</v>
      </c>
      <c r="C126" s="199" cm="1">
        <f t="array" ref="C126">_xlfn.LET(
    _xlpm.an, ScaleFactors[[#This Row],[Analyte]],
    _xlpm.Acol, SensorLab[Analyte],
    _xlpm.SIDs, SensorLab[Sample_ID],
    _xlpm.Xcol, SensorLab[Raw_Factored],
    _xlpm.Ycol, SensorLab[Labs_Result],
    _xlpm.baseMask, (_xlpm.Acol=_xlpm.an) * ISNUMBER(_xlpm.Xcol) * ISNUMBER(_xlpm.Ycol) * (_xlpm.Xcol&lt;&gt;0) * (_xlpm.Ycol&lt;&gt;0),
    _xlpm.Kmask, IF(_xlpm.Acol="K", _xlpm.Xcol&gt;0, 1),
    _xlpm.rowsMask, _xlpm.baseMask * _xlpm.Kmask,
    _xlpm.xArr, IFERROR(_xlfn._xlws.FILTER(_xlpm.Xcol, _xlpm.rowsMask), _xlfn.SEQUENCE(0)),
    _xlpm.yArr, IFERROR(_xlfn._xlws.FILTER(_xlpm.Ycol, _xlpm.rowsMask), _xlfn.SEQUENCE(0)),
    _xlpm.n, MIN(COUNT(_xlpm.xArr), COUNT(_xlpm.yArr)),
    IF(_xlpm.n&lt;2,
        NA(),
        INDEX(LINEST(_xlpm.yArr, _xlpm.xArr, TRUE, TRUE), 1, 1)
    )
)</f>
        <v>2.5020189534404616E-2</v>
      </c>
      <c r="D126" s="200" cm="1">
        <f t="array" ref="D126">_xlfn.LET(
    _xlpm.an, ScaleFactors[[#This Row],[Analyte]],
    _xlpm.Acol, SensorLab[Analyte],
    _xlpm.SIDs, SensorLab[Sample_ID],
    _xlpm.Xcol, SensorLab[Raw_Factored],
    _xlpm.Ycol, SensorLab[Labs_Result],
    _xlpm.baseMask, (_xlpm.Acol=_xlpm.an) * ISNUMBER(_xlpm.Xcol) * ISNUMBER(_xlpm.Ycol) * (_xlpm.Xcol&lt;&gt;0) * (_xlpm.Ycol&lt;&gt;0),
    _xlpm.Kmask, IF(_xlpm.Acol="K", _xlpm.Xcol&gt;0, 1),
    _xlpm.rowsMask, _xlpm.baseMask * _xlpm.Kmask,
    _xlpm.xArr, IFERROR(_xlfn._xlws.FILTER(_xlpm.Xcol, _xlpm.rowsMask), _xlfn.SEQUENCE(0)),
    _xlpm.yArr, IFERROR(_xlfn._xlws.FILTER(_xlpm.Ycol, _xlpm.rowsMask), _xlfn.SEQUENCE(0)),
    _xlpm.n, MIN(COUNT(_xlpm.xArr), COUNT(_xlpm.yArr)),
    IF(_xlpm.n &lt; 2,
        NA(),
        INDEX(LINEST(_xlpm.yArr, _xlpm.xArr, TRUE, TRUE), 1, 2)
    )
)</f>
        <v>5.3140443620381816</v>
      </c>
      <c r="E126" s="199">
        <f>_xlfn.XLOOKUP(ScaleFactors[[#This Row],[Analyte]], CalibrationCoefficients[Analyte], CalibrationCoefficients[ScaleFactor])</f>
        <v>1</v>
      </c>
      <c r="F126" s="200" cm="1">
        <f t="array" ref="F126">_xlfn.LET(
    _xlpm.an, ScaleFactors[[#This Row],[Analyte]],
    _xlpm.Acol, SensorLab[Analyte],
    _xlpm.SIDs, SensorLab[Sample_ID],
    _xlpm.Ycol, SensorLab[Labs_Result],
    _xlpm.Pcol, SensorLab[Predicted_Base],
    _xlpm.baseMask, (_xlpm.Acol=_xlpm.an) * ISNUMBER(_xlpm.Ycol) * ISNUMBER(_xlpm.Pcol) * (N(_xlpm.Ycol)&lt;&gt;0) * (N(_xlpm.Pcol)&lt;&gt;0),
    _xlpm.Kmask, IF(_xlpm.Acol="K", SensorLab[Raw_Factored] &gt; 0, 1),
    _xlpm.rowsMask, _xlpm.baseMask * _xlpm.Kmask,
    _xlpm.yArr, IFERROR(N(_xlfn._xlws.FILTER(_xlpm.Ycol, _xlpm.rowsMask)), _xlfn.SEQUENCE(0)),
    _xlpm.pArr, IFERROR(N(_xlfn._xlws.FILTER(_xlpm.Pcol, _xlpm.rowsMask)), _xlfn.SEQUENCE(0)),
    _xlpm.cnt, MIN(COUNT(_xlpm.yArr), COUNT(_xlpm.pArr)),
    _xlpm.residuals, IF(_xlpm.cnt &gt; 0, _xlpm.yArr - _xlpm.pArr, _xlfn.SEQUENCE(0)),
    _xlpm.offset, IF(_xlpm.cnt &gt; 0, IFERROR(MEDIAN(_xlpm.residuals), NA()), NA()),
    _xlpm.offset
)</f>
        <v>-1.1900300000000001</v>
      </c>
      <c r="G126" s="202" t="s">
        <v>88</v>
      </c>
      <c r="H126" s="4"/>
      <c r="J126" s="188" t="s">
        <v>213</v>
      </c>
      <c r="K126" s="189" t="s">
        <v>39</v>
      </c>
      <c r="L126" s="207">
        <v>27</v>
      </c>
      <c r="M126" s="239">
        <f>_xlfn.LET(
  _xlpm.analyte, SensorLab[[#This Row],[Analyte]],
  _xlpm.raw, N(SensorLab[[#This Row],[Raw_Value]]),
  _xlpm.scaleF, IFERROR(
    _xlfn.XLOOKUP(_xlpm.analyte, CalibrationCoefficients[Analyte], CalibrationCoefficients[ScaleFactor]),
    1
  ),
  IF(AND(_xlpm.analyte&lt;&gt;"", ISNUMBER(_xlpm.raw)), _xlpm.raw * _xlpm.scaleF, "NA")
)</f>
        <v>27</v>
      </c>
      <c r="N126" s="227"/>
      <c r="O126" s="228">
        <v>3.9475099999999999</v>
      </c>
      <c r="P126" s="228"/>
      <c r="Q126" s="207" cm="1">
        <f t="array" ref="Q12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3.9475099999999999</v>
      </c>
      <c r="R126" s="239" cm="1">
        <f t="array" ref="R12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4.2368199999999998</v>
      </c>
      <c r="S126" s="241" cm="1">
        <f t="array" ref="S12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5.7901899999999999</v>
      </c>
      <c r="T126" s="241" cm="1">
        <f t="array" ref="T12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-2.2098100000000001</v>
      </c>
      <c r="U126" s="228" t="str" cm="1">
        <f t="array" ref="U12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4.23682 and 4.23682</v>
      </c>
      <c r="V126" s="213"/>
      <c r="W126" s="213"/>
      <c r="X126" s="4"/>
      <c r="Y126" s="4"/>
      <c r="Z126" s="209"/>
      <c r="AA126" s="209"/>
      <c r="AB126" s="209"/>
      <c r="AC126" s="209"/>
      <c r="AD126" s="212"/>
      <c r="AE126" s="4"/>
      <c r="AF126" s="209"/>
      <c r="AG126" s="4"/>
      <c r="AH126" s="4"/>
      <c r="AI126" s="4"/>
      <c r="AJ126" s="4"/>
      <c r="AK126" s="4"/>
      <c r="AL126" s="6"/>
    </row>
    <row r="127" spans="2:38" x14ac:dyDescent="0.15">
      <c r="B127" s="203" t="s">
        <v>41</v>
      </c>
      <c r="C127" s="199" cm="1">
        <f t="array" ref="C127">_xlfn.LET(
    _xlpm.an, ScaleFactors[[#This Row],[Analyte]],
    _xlpm.Acol, SensorLab[Analyte],
    _xlpm.SIDs, SensorLab[Sample_ID],
    _xlpm.Xcol, SensorLab[Raw_Factored],
    _xlpm.Ycol, SensorLab[Labs_Result],
    _xlpm.baseMask, (_xlpm.Acol=_xlpm.an) * ISNUMBER(_xlpm.Xcol) * ISNUMBER(_xlpm.Ycol) * (_xlpm.Xcol&lt;&gt;0) * (_xlpm.Ycol&lt;&gt;0),
    _xlpm.Kmask, IF(_xlpm.Acol="K", _xlpm.Xcol&gt;0, 1),
    _xlpm.rowsMask, _xlpm.baseMask * _xlpm.Kmask,
    _xlpm.xArr, IFERROR(_xlfn._xlws.FILTER(_xlpm.Xcol, _xlpm.rowsMask), _xlfn.SEQUENCE(0)),
    _xlpm.yArr, IFERROR(_xlfn._xlws.FILTER(_xlpm.Ycol, _xlpm.rowsMask), _xlfn.SEQUENCE(0)),
    _xlpm.n, MIN(COUNT(_xlpm.xArr), COUNT(_xlpm.yArr)),
    IF(_xlpm.n&lt;2,
        NA(),
        INDEX(LINEST(_xlpm.yArr, _xlpm.xArr, TRUE, TRUE), 1, 1)
    )
)</f>
        <v>0.31419152727673927</v>
      </c>
      <c r="D127" s="200" cm="1">
        <f t="array" ref="D127">_xlfn.LET(
    _xlpm.an, ScaleFactors[[#This Row],[Analyte]],
    _xlpm.Acol, SensorLab[Analyte],
    _xlpm.SIDs, SensorLab[Sample_ID],
    _xlpm.Xcol, SensorLab[Raw_Factored],
    _xlpm.Ycol, SensorLab[Labs_Result],
    _xlpm.baseMask, (_xlpm.Acol=_xlpm.an) * ISNUMBER(_xlpm.Xcol) * ISNUMBER(_xlpm.Ycol) * (_xlpm.Xcol&lt;&gt;0) * (_xlpm.Ycol&lt;&gt;0),
    _xlpm.Kmask, IF(_xlpm.Acol="K", _xlpm.Xcol&gt;0, 1),
    _xlpm.rowsMask, _xlpm.baseMask * _xlpm.Kmask,
    _xlpm.xArr, IFERROR(_xlfn._xlws.FILTER(_xlpm.Xcol, _xlpm.rowsMask), _xlfn.SEQUENCE(0)),
    _xlpm.yArr, IFERROR(_xlfn._xlws.FILTER(_xlpm.Ycol, _xlpm.rowsMask), _xlfn.SEQUENCE(0)),
    _xlpm.n, MIN(COUNT(_xlpm.xArr), COUNT(_xlpm.yArr)),
    IF(_xlpm.n &lt; 2,
        NA(),
        INDEX(LINEST(_xlpm.yArr, _xlpm.xArr, TRUE, TRUE), 1, 2)
    )
)</f>
        <v>111.50392342386016</v>
      </c>
      <c r="E127" s="199">
        <f>_xlfn.XLOOKUP(ScaleFactors[[#This Row],[Analyte]], CalibrationCoefficients[Analyte], CalibrationCoefficients[ScaleFactor])</f>
        <v>1</v>
      </c>
      <c r="F127" s="204" cm="1">
        <f t="array" ref="F127">_xlfn.LET(
    _xlpm.an, ScaleFactors[[#This Row],[Analyte]],
    _xlpm.Acol, SensorLab[Analyte],
    _xlpm.SIDs, SensorLab[Sample_ID],
    _xlpm.Ycol, SensorLab[Labs_Result],
    _xlpm.Pcol, SensorLab[Predicted_Base],
    _xlpm.baseMask, (_xlpm.Acol=_xlpm.an) * ISNUMBER(_xlpm.Ycol) * ISNUMBER(_xlpm.Pcol) * (N(_xlpm.Ycol)&lt;&gt;0) * (N(_xlpm.Pcol)&lt;&gt;0),
    _xlpm.Kmask, IF(_xlpm.Acol="K", SensorLab[Raw_Factored] &gt; 0, 1),
    _xlpm.rowsMask, _xlpm.baseMask * _xlpm.Kmask,
    _xlpm.yArr, IFERROR(N(_xlfn._xlws.FILTER(_xlpm.Ycol, _xlpm.rowsMask)), _xlfn.SEQUENCE(0)),
    _xlpm.pArr, IFERROR(N(_xlfn._xlws.FILTER(_xlpm.Pcol, _xlpm.rowsMask)), _xlfn.SEQUENCE(0)),
    _xlpm.cnt, MIN(COUNT(_xlpm.yArr), COUNT(_xlpm.pArr)),
    _xlpm.residuals, IF(_xlpm.cnt &gt; 0, _xlpm.yArr - _xlpm.pArr, _xlfn.SEQUENCE(0)),
    _xlpm.offset, IF(_xlpm.cnt &gt; 0, IFERROR(MEDIAN(_xlpm.residuals), NA()), NA()),
    _xlpm.offset
)</f>
        <v>-13.699969999999993</v>
      </c>
      <c r="G127" s="205" t="s">
        <v>88</v>
      </c>
      <c r="H127" s="56"/>
      <c r="J127" s="190" t="s">
        <v>213</v>
      </c>
      <c r="K127" s="191" t="s">
        <v>40</v>
      </c>
      <c r="L127" s="208">
        <v>108</v>
      </c>
      <c r="M127" s="237">
        <f>_xlfn.LET(
  _xlpm.analyte, SensorLab[[#This Row],[Analyte]],
  _xlpm.raw, N(SensorLab[[#This Row],[Raw_Value]]),
  _xlpm.scaleF, IFERROR(
    _xlfn.XLOOKUP(_xlpm.analyte, CalibrationCoefficients[Analyte], CalibrationCoefficients[ScaleFactor]),
    1
  ),
  IF(AND(_xlpm.analyte&lt;&gt;"", ISNUMBER(_xlpm.raw)), _xlpm.raw * _xlpm.scaleF, "NA")
)</f>
        <v>108</v>
      </c>
      <c r="N127" s="194"/>
      <c r="O127" s="41">
        <v>4.24</v>
      </c>
      <c r="P127" s="41"/>
      <c r="Q127" s="208" cm="1">
        <f t="array" ref="Q127">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4.24</v>
      </c>
      <c r="R127" s="237" cm="1">
        <f t="array" ref="R12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8.0162200000000006</v>
      </c>
      <c r="S127" s="238" cm="1">
        <f t="array" ref="S12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6.8261900000000004</v>
      </c>
      <c r="T127" s="238" cm="1">
        <f t="array" ref="T12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-2.5861900000000002</v>
      </c>
      <c r="U127" s="41" t="str" cm="1">
        <f t="array" ref="U12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7.18243 and 6.82688</v>
      </c>
      <c r="V127" s="213"/>
      <c r="W127" s="213"/>
      <c r="X127" s="4"/>
      <c r="Y127" s="4"/>
      <c r="Z127" s="209"/>
      <c r="AA127" s="209"/>
      <c r="AB127" s="209"/>
      <c r="AC127" s="209"/>
      <c r="AD127" s="212"/>
      <c r="AE127" s="4"/>
      <c r="AF127" s="209"/>
      <c r="AG127" s="4"/>
      <c r="AH127" s="4"/>
      <c r="AI127" s="4"/>
      <c r="AJ127" s="4"/>
      <c r="AK127" s="4"/>
      <c r="AL127" s="6"/>
    </row>
    <row r="128" spans="2:38" x14ac:dyDescent="0.15">
      <c r="H128" s="60"/>
      <c r="J128" s="190" t="s">
        <v>213</v>
      </c>
      <c r="K128" s="191" t="s">
        <v>41</v>
      </c>
      <c r="L128" s="208">
        <v>101</v>
      </c>
      <c r="M128" s="237">
        <f>_xlfn.LET(
  _xlpm.analyte, SensorLab[[#This Row],[Analyte]],
  _xlpm.raw, N(SensorLab[[#This Row],[Raw_Value]]),
  _xlpm.scaleF, IFERROR(
    _xlfn.XLOOKUP(_xlpm.analyte, CalibrationCoefficients[Analyte], CalibrationCoefficients[ScaleFactor]),
    1
  ),
  IF(AND(_xlpm.analyte&lt;&gt;"", ISNUMBER(_xlpm.raw)), _xlpm.raw * _xlpm.scaleF, "NA")
)</f>
        <v>101</v>
      </c>
      <c r="N128" s="194"/>
      <c r="O128" s="41">
        <v>57</v>
      </c>
      <c r="P128" s="41"/>
      <c r="Q128" s="208" cm="1">
        <f t="array" ref="Q12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57</v>
      </c>
      <c r="R128" s="237" cm="1">
        <f t="array" ref="R12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143.23727</v>
      </c>
      <c r="S128" s="238" cm="1">
        <f t="array" ref="S12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129.53729999999999</v>
      </c>
      <c r="T128" s="238" cm="1">
        <f t="array" ref="T12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-72.537300000000002</v>
      </c>
      <c r="U128" s="41" t="str" cm="1">
        <f t="array" ref="U12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142.49124 and 76.03525</v>
      </c>
      <c r="V128" s="213"/>
      <c r="W128" s="213"/>
      <c r="X128" s="4"/>
      <c r="Y128" s="4"/>
      <c r="Z128" s="209"/>
      <c r="AA128" s="209"/>
      <c r="AB128" s="209"/>
      <c r="AC128" s="209"/>
      <c r="AD128" s="212"/>
      <c r="AE128" s="4"/>
      <c r="AF128" s="209"/>
      <c r="AG128" s="4"/>
      <c r="AH128" s="4"/>
      <c r="AI128" s="4"/>
      <c r="AJ128" s="4"/>
      <c r="AK128" s="4"/>
      <c r="AL128" s="6"/>
    </row>
    <row r="129" spans="2:38" x14ac:dyDescent="0.15">
      <c r="H129" s="57"/>
      <c r="J129" s="190" t="s">
        <v>213</v>
      </c>
      <c r="K129" s="127" t="s">
        <v>52</v>
      </c>
      <c r="L129" s="208">
        <v>314</v>
      </c>
      <c r="M129" s="237">
        <f>_xlfn.LET(
  _xlpm.analyte, SensorLab[[#This Row],[Analyte]],
  _xlpm.raw, N(SensorLab[[#This Row],[Raw_Value]]),
  _xlpm.scaleF, IFERROR(
    _xlfn.XLOOKUP(_xlpm.analyte, CalibrationCoefficients[Analyte], CalibrationCoefficients[ScaleFactor]),
    1
  ),
  IF(AND(_xlpm.analyte&lt;&gt;"", ISNUMBER(_xlpm.raw)), _xlpm.raw * _xlpm.scaleF, "NA")
)</f>
        <v>0.314</v>
      </c>
      <c r="N129" s="194"/>
      <c r="O129" s="41">
        <v>1</v>
      </c>
      <c r="P129" s="41"/>
      <c r="Q129" s="208" cm="1">
        <f t="array" ref="Q129">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v>
      </c>
      <c r="R129" s="237" cm="1">
        <f t="array" ref="R12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1.12151</v>
      </c>
      <c r="S129" s="238" cm="1">
        <f t="array" ref="S12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1.08928</v>
      </c>
      <c r="T129" s="238" cm="1">
        <f t="array" ref="T12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-8.9279999999999998E-2</v>
      </c>
      <c r="U129" s="41" t="str" cm="1">
        <f t="array" ref="U12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-0.08928)</v>
      </c>
      <c r="V129" s="213"/>
      <c r="W129" s="213"/>
      <c r="X129" s="4"/>
      <c r="Y129" s="4"/>
      <c r="Z129" s="209"/>
      <c r="AA129" s="209"/>
      <c r="AB129" s="209"/>
      <c r="AC129" s="209"/>
      <c r="AD129" s="212"/>
      <c r="AE129" s="4"/>
      <c r="AF129" s="209"/>
      <c r="AG129" s="4"/>
      <c r="AH129" s="4"/>
      <c r="AI129" s="4"/>
      <c r="AJ129" s="4"/>
      <c r="AK129" s="4"/>
      <c r="AL129" s="6"/>
    </row>
    <row r="130" spans="2:38" x14ac:dyDescent="0.15">
      <c r="B130" s="85" t="s">
        <v>124</v>
      </c>
      <c r="C130" s="100" t="s">
        <v>125</v>
      </c>
      <c r="D130" s="101" t="s">
        <v>126</v>
      </c>
      <c r="E130" s="5"/>
      <c r="F130" s="5"/>
      <c r="H130" s="57"/>
      <c r="J130" s="190" t="s">
        <v>213</v>
      </c>
      <c r="K130" s="127" t="s">
        <v>34</v>
      </c>
      <c r="L130" s="208">
        <v>77</v>
      </c>
      <c r="M130" s="237">
        <f>_xlfn.LET(
  _xlpm.analyte, SensorLab[[#This Row],[Analyte]],
  _xlpm.raw, N(SensorLab[[#This Row],[Raw_Value]]),
  _xlpm.scaleF, IFERROR(
    _xlfn.XLOOKUP(_xlpm.analyte, CalibrationCoefficients[Analyte], CalibrationCoefficients[ScaleFactor]),
    1
  ),
  IF(AND(_xlpm.analyte&lt;&gt;"", ISNUMBER(_xlpm.raw)), _xlpm.raw * _xlpm.scaleF, "NA")
)</f>
        <v>7.7</v>
      </c>
      <c r="N130" s="194"/>
      <c r="O130" s="41">
        <v>7.31</v>
      </c>
      <c r="P130" s="41"/>
      <c r="Q130" s="208" cm="1">
        <f t="array" ref="Q13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7.31</v>
      </c>
      <c r="R130" s="237" cm="1">
        <f t="array" ref="R13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7.8717800000000002</v>
      </c>
      <c r="S130" s="238" cm="1">
        <f t="array" ref="S13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7.83887</v>
      </c>
      <c r="T130" s="238" cm="1">
        <f t="array" ref="T13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-0.52886999999999995</v>
      </c>
      <c r="U130" s="41" t="str" cm="1">
        <f t="array" ref="U13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7.78243 and 7.59322</v>
      </c>
      <c r="V130" s="213"/>
      <c r="W130" s="213"/>
      <c r="X130" s="4"/>
      <c r="Y130" s="4"/>
      <c r="Z130" s="209"/>
      <c r="AA130" s="209"/>
      <c r="AB130" s="209"/>
      <c r="AC130" s="209"/>
      <c r="AD130" s="212"/>
      <c r="AE130" s="4"/>
      <c r="AF130" s="209"/>
      <c r="AG130" s="4"/>
      <c r="AH130" s="4"/>
      <c r="AI130" s="4"/>
      <c r="AJ130" s="4"/>
      <c r="AK130" s="4"/>
      <c r="AL130" s="6"/>
    </row>
    <row r="131" spans="2:38" x14ac:dyDescent="0.15">
      <c r="B131" s="87" t="s">
        <v>127</v>
      </c>
      <c r="C131" s="58">
        <v>0</v>
      </c>
      <c r="D131" s="88">
        <v>0.39</v>
      </c>
      <c r="E131" s="66"/>
      <c r="F131" s="66"/>
      <c r="J131" s="190" t="s">
        <v>213</v>
      </c>
      <c r="K131" s="127" t="s">
        <v>90</v>
      </c>
      <c r="L131" s="208">
        <v>152</v>
      </c>
      <c r="M131" s="237">
        <f>_xlfn.LET(
  _xlpm.analyte, SensorLab[[#This Row],[Analyte]],
  _xlpm.raw, N(SensorLab[[#This Row],[Raw_Value]]),
  _xlpm.scaleF, IFERROR(
    _xlfn.XLOOKUP(_xlpm.analyte, CalibrationCoefficients[Analyte], CalibrationCoefficients[ScaleFactor]),
    1
  ),
  IF(AND(_xlpm.analyte&lt;&gt;"", ISNUMBER(_xlpm.raw)), _xlpm.raw * _xlpm.scaleF, "NA")
)</f>
        <v>15.200000000000001</v>
      </c>
      <c r="N131" s="194"/>
      <c r="O131" s="41">
        <v>15.2</v>
      </c>
      <c r="P131" s="41"/>
      <c r="Q131" s="208" cm="1">
        <f t="array" ref="Q131">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15.2</v>
      </c>
      <c r="R131" s="237" cm="1">
        <f t="array" ref="R13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15.211790000000001</v>
      </c>
      <c r="S131" s="238" cm="1">
        <f t="array" ref="S13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15.17521</v>
      </c>
      <c r="T131" s="238" cm="1">
        <f t="array" ref="T13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-8.8247900000000001</v>
      </c>
      <c r="U131" s="41" t="str" cm="1">
        <f t="array" ref="U13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0.02479)</v>
      </c>
      <c r="V131" s="22"/>
      <c r="W131" s="22"/>
    </row>
    <row r="132" spans="2:38" x14ac:dyDescent="0.15">
      <c r="B132" s="87" t="s">
        <v>21</v>
      </c>
      <c r="C132" s="58">
        <v>0.4</v>
      </c>
      <c r="D132" s="88">
        <v>0.69</v>
      </c>
      <c r="E132" s="66"/>
      <c r="F132" s="168"/>
      <c r="G132" s="168"/>
      <c r="J132" s="190" t="s">
        <v>213</v>
      </c>
      <c r="K132" s="191" t="s">
        <v>43</v>
      </c>
      <c r="L132" s="208">
        <v>273</v>
      </c>
      <c r="M132" s="237">
        <f>_xlfn.LET(
  _xlpm.analyte, SensorLab[[#This Row],[Analyte]],
  _xlpm.raw, N(SensorLab[[#This Row],[Raw_Value]]),
  _xlpm.scaleF, IFERROR(
    _xlfn.XLOOKUP(_xlpm.analyte, CalibrationCoefficients[Analyte], CalibrationCoefficients[ScaleFactor]),
    1
  ),
  IF(AND(_xlpm.analyte&lt;&gt;"", ISNUMBER(_xlpm.raw)), _xlpm.raw * _xlpm.scaleF, "NA")
)</f>
        <v>27.3</v>
      </c>
      <c r="N132" s="194"/>
      <c r="O132" s="41">
        <v>27.3</v>
      </c>
      <c r="P132" s="41"/>
      <c r="Q132" s="208" cm="1">
        <f t="array" ref="Q13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27.3</v>
      </c>
      <c r="R132" s="237" cm="1">
        <f t="array" ref="R13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27.287749999999999</v>
      </c>
      <c r="S132" s="238" cm="1">
        <f t="array" ref="S13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27.301159999999999</v>
      </c>
      <c r="T132" s="238" cm="1">
        <f t="array" ref="T13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-1.16E-3</v>
      </c>
      <c r="U132" s="41" t="str" cm="1">
        <f t="array" ref="U13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27.30000 and 27.30000</v>
      </c>
      <c r="V132" s="22"/>
    </row>
    <row r="133" spans="2:38" x14ac:dyDescent="0.15">
      <c r="B133" s="89" t="s">
        <v>128</v>
      </c>
      <c r="C133" s="90">
        <v>0.7</v>
      </c>
      <c r="D133" s="91">
        <v>1</v>
      </c>
      <c r="E133" s="57"/>
      <c r="F133" s="57"/>
      <c r="J133" s="190" t="s">
        <v>213</v>
      </c>
      <c r="K133" s="191" t="s">
        <v>45</v>
      </c>
      <c r="L133" s="208">
        <v>2.8446000000000001E-3</v>
      </c>
      <c r="M133" s="237">
        <f>_xlfn.LET(
  _xlpm.analyte, SensorLab[[#This Row],[Analyte]],
  _xlpm.raw, N(SensorLab[[#This Row],[Raw_Value]]),
  _xlpm.scaleF, IFERROR(
    _xlfn.XLOOKUP(_xlpm.analyte, CalibrationCoefficients[Analyte], CalibrationCoefficients[ScaleFactor]),
    1
  ),
  IF(AND(_xlpm.analyte&lt;&gt;"", ISNUMBER(_xlpm.raw)), _xlpm.raw * _xlpm.scaleF, "NA")
)</f>
        <v>2.8446000000000001E-3</v>
      </c>
      <c r="N133" s="194"/>
      <c r="O133" s="41">
        <v>0.64</v>
      </c>
      <c r="P133" s="41"/>
      <c r="Q133" s="208" cm="1">
        <f t="array" ref="Q133">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0.64</v>
      </c>
      <c r="R133" s="237" cm="1">
        <f t="array" ref="R13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0.78761000000000003</v>
      </c>
      <c r="S133" s="238" cm="1">
        <f t="array" ref="S13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0.78351000000000004</v>
      </c>
      <c r="T133" s="238" cm="1">
        <f t="array" ref="T13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-0.14351</v>
      </c>
      <c r="U133" s="41" t="str" cm="1">
        <f t="array" ref="U13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-0.14351)</v>
      </c>
      <c r="V133" s="22"/>
    </row>
    <row r="134" spans="2:38" x14ac:dyDescent="0.15">
      <c r="B134" s="57"/>
      <c r="C134" s="57"/>
      <c r="D134" s="57"/>
      <c r="E134" s="57"/>
      <c r="F134" s="57"/>
      <c r="J134" s="190" t="s">
        <v>213</v>
      </c>
      <c r="K134" s="127" t="s">
        <v>0</v>
      </c>
      <c r="L134" s="208">
        <v>21.27</v>
      </c>
      <c r="M134" s="237">
        <f>_xlfn.LET(
  _xlpm.analyte, SensorLab[[#This Row],[Analyte]],
  _xlpm.raw, N(SensorLab[[#This Row],[Raw_Value]]),
  _xlpm.scaleF, IFERROR(
    _xlfn.XLOOKUP(_xlpm.analyte, CalibrationCoefficients[Analyte], CalibrationCoefficients[ScaleFactor]),
    1
  ),
  IF(AND(_xlpm.analyte&lt;&gt;"", ISNUMBER(_xlpm.raw)), _xlpm.raw * _xlpm.scaleF, "NA")
)</f>
        <v>21.27</v>
      </c>
      <c r="N134" s="194"/>
      <c r="O134" s="41">
        <v>42.5</v>
      </c>
      <c r="P134" s="41"/>
      <c r="Q134" s="208" cm="1">
        <f t="array" ref="Q13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42.5</v>
      </c>
      <c r="R134" s="237" cm="1">
        <f t="array" ref="R13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42.5</v>
      </c>
      <c r="S134" s="238" cm="1">
        <f t="array" ref="S13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42.5</v>
      </c>
      <c r="T134" s="238" cm="1">
        <f t="array" ref="T13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134" s="41" t="str" cm="1">
        <f t="array" ref="U13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134" s="22"/>
    </row>
    <row r="135" spans="2:38" x14ac:dyDescent="0.15">
      <c r="B135" s="120" t="s">
        <v>151</v>
      </c>
      <c r="C135" s="62" t="s">
        <v>125</v>
      </c>
      <c r="D135" s="63" t="s">
        <v>126</v>
      </c>
      <c r="J135" s="190" t="s">
        <v>213</v>
      </c>
      <c r="K135" s="127" t="s">
        <v>5</v>
      </c>
      <c r="L135" s="208">
        <v>59.34</v>
      </c>
      <c r="M135" s="237">
        <f>_xlfn.LET(
  _xlpm.analyte, SensorLab[[#This Row],[Analyte]],
  _xlpm.raw, N(SensorLab[[#This Row],[Raw_Value]]),
  _xlpm.scaleF, IFERROR(
    _xlfn.XLOOKUP(_xlpm.analyte, CalibrationCoefficients[Analyte], CalibrationCoefficients[ScaleFactor]),
    1
  ),
  IF(AND(_xlpm.analyte&lt;&gt;"", ISNUMBER(_xlpm.raw)), _xlpm.raw * _xlpm.scaleF, "NA")
)</f>
        <v>59.34</v>
      </c>
      <c r="N135" s="194"/>
      <c r="O135" s="41">
        <v>37.5</v>
      </c>
      <c r="P135" s="41"/>
      <c r="Q135" s="208" cm="1">
        <f t="array" ref="Q135">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37.5</v>
      </c>
      <c r="R135" s="237" cm="1">
        <f t="array" ref="R13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37.5</v>
      </c>
      <c r="S135" s="238" cm="1">
        <f t="array" ref="S13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37.5</v>
      </c>
      <c r="T135" s="238" cm="1">
        <f t="array" ref="T13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135" s="41" t="str" cm="1">
        <f t="array" ref="U13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135" s="22"/>
    </row>
    <row r="136" spans="2:38" x14ac:dyDescent="0.15">
      <c r="B136" s="116" t="s">
        <v>121</v>
      </c>
      <c r="C136" s="59">
        <f>MIN(SoilSpec[[N_Min]:[N_Max]])</f>
        <v>2</v>
      </c>
      <c r="D136" s="64">
        <f>MAX(SoilSpec[[N_Min]:[N_Max]])</f>
        <v>50</v>
      </c>
      <c r="J136" s="190" t="s">
        <v>213</v>
      </c>
      <c r="K136" s="127" t="s">
        <v>6</v>
      </c>
      <c r="L136" s="208">
        <v>19.39</v>
      </c>
      <c r="M136" s="237">
        <f>_xlfn.LET(
  _xlpm.analyte, SensorLab[[#This Row],[Analyte]],
  _xlpm.raw, N(SensorLab[[#This Row],[Raw_Value]]),
  _xlpm.scaleF, IFERROR(
    _xlfn.XLOOKUP(_xlpm.analyte, CalibrationCoefficients[Analyte], CalibrationCoefficients[ScaleFactor]),
    1
  ),
  IF(AND(_xlpm.analyte&lt;&gt;"", ISNUMBER(_xlpm.raw)), _xlpm.raw * _xlpm.scaleF, "NA")
)</f>
        <v>19.39</v>
      </c>
      <c r="N136" s="194"/>
      <c r="O136" s="41">
        <v>20</v>
      </c>
      <c r="P136" s="41"/>
      <c r="Q136" s="208" cm="1">
        <f t="array" ref="Q13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20</v>
      </c>
      <c r="R136" s="237" cm="1">
        <f t="array" ref="R13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20</v>
      </c>
      <c r="S136" s="238" cm="1">
        <f t="array" ref="S13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20</v>
      </c>
      <c r="T136" s="238" cm="1">
        <f t="array" ref="T13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136" s="41" t="str" cm="1">
        <f t="array" ref="U13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136" s="22"/>
    </row>
    <row r="137" spans="2:38" ht="11.25" thickBot="1" x14ac:dyDescent="0.2">
      <c r="B137" s="116" t="s">
        <v>122</v>
      </c>
      <c r="C137" s="59">
        <f>MIN(SoilSpec[[P_Min]:[P_Max]])</f>
        <v>2</v>
      </c>
      <c r="D137" s="64">
        <f>MAX(SoilSpec[[P_Min]:[P_Max]])</f>
        <v>50</v>
      </c>
      <c r="J137" s="192" t="s">
        <v>213</v>
      </c>
      <c r="K137" s="193" t="s">
        <v>69</v>
      </c>
      <c r="L137" s="255" t="str" cm="1">
        <f t="array" ref="L137">_xlfn.LET(
  _xlpm.bs,L134, _xlpm.si,L135, _xlpm.c,L136,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M137" s="256" t="str" cm="1">
        <f t="array" ref="M137">_xlfn.LET(
  _xlpm.bs,M134, _xlpm.si,M135, _xlpm.c,M136,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N137" s="245" t="str" cm="1">
        <f t="array" ref="N137">_xlfn.LET(
  _xlpm.bs,N134, _xlpm.si,N135, _xlpm.c,N136,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137" s="245" t="str" cm="1">
        <f t="array" ref="O137">_xlfn.LET(
  _xlpm.bs,O134, _xlpm.si,O135, _xlpm.c,O136,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P137" s="245" t="str" cm="1">
        <f t="array" ref="P137">_xlfn.LET(
  _xlpm.bs,P134, _xlpm.si,P135, _xlpm.c,P136,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137" s="255" t="str" cm="1">
        <f t="array" ref="Q137">_xlfn.LET(
  _xlpm.bs,Q134, _xlpm.si,Q135, _xlpm.c,Q136,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R137" s="256" t="str" cm="1">
        <f t="array" ref="R137">_xlfn.LET(
  _xlpm.bs,R134, _xlpm.si,R135, _xlpm.c,R136,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S137" s="256" t="str" cm="1">
        <f t="array" ref="S137">_xlfn.LET(
  _xlpm.bs,S134, _xlpm.si,S135, _xlpm.c,S136,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T137" s="240" cm="1">
        <f t="array" ref="T13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137" s="229" t="str" cm="1">
        <f t="array" ref="U13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(Texture match: Loam)</v>
      </c>
      <c r="V137" s="22"/>
    </row>
    <row r="138" spans="2:38" x14ac:dyDescent="0.15">
      <c r="B138" s="116" t="s">
        <v>123</v>
      </c>
      <c r="C138" s="59">
        <f>MIN(SoilSpec[[K_Min]:[K_Max]])</f>
        <v>20</v>
      </c>
      <c r="D138" s="64">
        <f>MAX(SoilSpec[[K_Min]:[K_Max]])</f>
        <v>500</v>
      </c>
      <c r="J138" s="190" t="s">
        <v>210</v>
      </c>
      <c r="K138" s="127" t="s">
        <v>39</v>
      </c>
      <c r="L138" s="208">
        <v>0</v>
      </c>
      <c r="M138"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138" s="194"/>
      <c r="O138" s="41"/>
      <c r="P138" s="41">
        <v>2</v>
      </c>
      <c r="Q138" s="207" cm="1">
        <f t="array" ref="Q13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v>
      </c>
      <c r="R138" s="239" cm="1">
        <f t="array" ref="R13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0.44663000000000003</v>
      </c>
      <c r="S138" s="241" cm="1">
        <f t="array" ref="S13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v>
      </c>
      <c r="T138" s="241" cm="1">
        <f t="array" ref="T13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-4</v>
      </c>
      <c r="U138" s="41" t="str" cm="1">
        <f t="array" ref="U13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1.17402 and 0.44663</v>
      </c>
      <c r="V138" s="22"/>
    </row>
    <row r="139" spans="2:38" x14ac:dyDescent="0.15">
      <c r="B139" s="117" t="s">
        <v>71</v>
      </c>
      <c r="C139" s="59">
        <f>MIN(SoilSpec[[SoilTemp_Min]:[SoilTemp_Max]])</f>
        <v>20</v>
      </c>
      <c r="D139" s="64">
        <f>MAX(SoilSpec[[SoilTemp_Min]:[SoilTemp_Max]])</f>
        <v>40</v>
      </c>
      <c r="J139" s="190" t="s">
        <v>210</v>
      </c>
      <c r="K139" s="191" t="s">
        <v>40</v>
      </c>
      <c r="L139" s="208">
        <v>10</v>
      </c>
      <c r="M139" s="237">
        <f>_xlfn.LET(
  _xlpm.analyte, SensorLab[[#This Row],[Analyte]],
  _xlpm.raw, N(SensorLab[[#This Row],[Raw_Value]]),
  _xlpm.scaleF, IFERROR(
    _xlfn.XLOOKUP(_xlpm.analyte, CalibrationCoefficients[Analyte], CalibrationCoefficients[ScaleFactor]),
    1
  ),
  IF(AND(_xlpm.analyte&lt;&gt;"", ISNUMBER(_xlpm.raw)), _xlpm.raw * _xlpm.scaleF, "NA")
)</f>
        <v>10</v>
      </c>
      <c r="N139" s="194"/>
      <c r="O139" s="41"/>
      <c r="P139" s="41">
        <v>2</v>
      </c>
      <c r="Q139" s="208" cm="1">
        <f t="array" ref="Q139">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v>
      </c>
      <c r="R139" s="237" cm="1">
        <f t="array" ref="R13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5.5642500000000004</v>
      </c>
      <c r="S139" s="238" cm="1">
        <f t="array" ref="S13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4.3742200000000002</v>
      </c>
      <c r="T139" s="238" cm="1">
        <f t="array" ref="T13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-2.3742200000000002</v>
      </c>
      <c r="U139" s="41" t="str" cm="1">
        <f t="array" ref="U13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5.84574 and 3.22023</v>
      </c>
      <c r="V139" s="22"/>
    </row>
    <row r="140" spans="2:38" x14ac:dyDescent="0.15">
      <c r="B140" s="117" t="s">
        <v>65</v>
      </c>
      <c r="C140" s="59">
        <f>MIN(SoilSpec[[Moisture_Min]:[Moisture_Max]])</f>
        <v>5</v>
      </c>
      <c r="D140" s="64">
        <f>MAX(SoilSpec[[Moisture_Min]:[Moisture_Max]])</f>
        <v>50</v>
      </c>
      <c r="J140" s="190" t="s">
        <v>210</v>
      </c>
      <c r="K140" s="191" t="s">
        <v>41</v>
      </c>
      <c r="L140" s="208">
        <v>2</v>
      </c>
      <c r="M140" s="237">
        <f>_xlfn.LET(
  _xlpm.analyte, SensorLab[[#This Row],[Analyte]],
  _xlpm.raw, N(SensorLab[[#This Row],[Raw_Value]]),
  _xlpm.scaleF, IFERROR(
    _xlfn.XLOOKUP(_xlpm.analyte, CalibrationCoefficients[Analyte], CalibrationCoefficients[ScaleFactor]),
    1
  ),
  IF(AND(_xlpm.analyte&lt;&gt;"", ISNUMBER(_xlpm.raw)), _xlpm.raw * _xlpm.scaleF, "NA")
)</f>
        <v>2</v>
      </c>
      <c r="N140" s="194"/>
      <c r="O140" s="41"/>
      <c r="P140" s="41">
        <v>125</v>
      </c>
      <c r="Q140" s="208" cm="1">
        <f t="array" ref="Q14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125</v>
      </c>
      <c r="R140" s="237" cm="1">
        <f t="array" ref="R14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112.13231</v>
      </c>
      <c r="S140" s="238" cm="1">
        <f t="array" ref="S14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98.432339999999996</v>
      </c>
      <c r="T140" s="238" cm="1">
        <f t="array" ref="T14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26.56766</v>
      </c>
      <c r="U140" s="41" t="str" cm="1">
        <f t="array" ref="U14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108.39927 and 111.37927</v>
      </c>
      <c r="V140" s="22"/>
    </row>
    <row r="141" spans="2:38" x14ac:dyDescent="0.15">
      <c r="B141" s="117" t="s">
        <v>74</v>
      </c>
      <c r="C141" s="59">
        <f>MIN(SoilSpec[[TF_Min]:[TF_Max]])</f>
        <v>0.05</v>
      </c>
      <c r="D141" s="64">
        <f>MAX(SoilSpec[[TF_Min]:[TF_Max]])</f>
        <v>0.72</v>
      </c>
      <c r="J141" s="190" t="s">
        <v>210</v>
      </c>
      <c r="K141" s="127" t="s">
        <v>52</v>
      </c>
      <c r="L141" s="208">
        <v>110</v>
      </c>
      <c r="M141" s="237">
        <f>_xlfn.LET(
  _xlpm.analyte, SensorLab[[#This Row],[Analyte]],
  _xlpm.raw, N(SensorLab[[#This Row],[Raw_Value]]),
  _xlpm.scaleF, IFERROR(
    _xlfn.XLOOKUP(_xlpm.analyte, CalibrationCoefficients[Analyte], CalibrationCoefficients[ScaleFactor]),
    1
  ),
  IF(AND(_xlpm.analyte&lt;&gt;"", ISNUMBER(_xlpm.raw)), _xlpm.raw * _xlpm.scaleF, "NA")
)</f>
        <v>0.11</v>
      </c>
      <c r="N141" s="194"/>
      <c r="O141" s="41"/>
      <c r="P141" s="41">
        <v>1.06</v>
      </c>
      <c r="Q141" s="208" cm="1">
        <f t="array" ref="Q141">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1.06</v>
      </c>
      <c r="R141" s="237" cm="1">
        <f t="array" ref="R14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0.98782000000000003</v>
      </c>
      <c r="S141" s="238" cm="1">
        <f t="array" ref="S14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0.95559000000000005</v>
      </c>
      <c r="T141" s="238" cm="1">
        <f t="array" ref="T14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0.10441</v>
      </c>
      <c r="U141" s="41" t="str" cm="1">
        <f t="array" ref="U14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0.99684 and 1.09684</v>
      </c>
      <c r="V141" s="22"/>
    </row>
    <row r="142" spans="2:38" x14ac:dyDescent="0.15">
      <c r="B142" s="117" t="s">
        <v>52</v>
      </c>
      <c r="C142" s="59">
        <f>MIN(SoilSpec[[EC_Min]:[EC_Max]])</f>
        <v>0.05</v>
      </c>
      <c r="D142" s="64">
        <f>MAX(SoilSpec[[EC_Min]:[EC_Max]])</f>
        <v>5</v>
      </c>
      <c r="J142" s="190" t="s">
        <v>210</v>
      </c>
      <c r="K142" s="127" t="s">
        <v>34</v>
      </c>
      <c r="L142" s="208">
        <v>80</v>
      </c>
      <c r="M142" s="237">
        <f>_xlfn.LET(
  _xlpm.analyte, SensorLab[[#This Row],[Analyte]],
  _xlpm.raw, N(SensorLab[[#This Row],[Raw_Value]]),
  _xlpm.scaleF, IFERROR(
    _xlfn.XLOOKUP(_xlpm.analyte, CalibrationCoefficients[Analyte], CalibrationCoefficients[ScaleFactor]),
    1
  ),
  IF(AND(_xlpm.analyte&lt;&gt;"", ISNUMBER(_xlpm.raw)), _xlpm.raw * _xlpm.scaleF, "NA")
)</f>
        <v>8</v>
      </c>
      <c r="N142" s="194"/>
      <c r="O142" s="41"/>
      <c r="P142" s="41">
        <v>8</v>
      </c>
      <c r="Q142" s="208" cm="1">
        <f t="array" ref="Q14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8</v>
      </c>
      <c r="R142" s="237" cm="1">
        <f t="array" ref="R14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7.8580699999999997</v>
      </c>
      <c r="S142" s="238" cm="1">
        <f t="array" ref="S14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7.8251600000000003</v>
      </c>
      <c r="T142" s="238" cm="1">
        <f t="array" ref="T14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0.17484</v>
      </c>
      <c r="U142" s="41" t="str" cm="1">
        <f t="array" ref="U14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0.17484)</v>
      </c>
      <c r="V142" s="22"/>
    </row>
    <row r="143" spans="2:38" x14ac:dyDescent="0.15">
      <c r="B143" s="117" t="s">
        <v>34</v>
      </c>
      <c r="C143" s="59">
        <v>5.5</v>
      </c>
      <c r="D143" s="64">
        <v>8</v>
      </c>
      <c r="G143" s="4"/>
      <c r="J143" s="190" t="s">
        <v>210</v>
      </c>
      <c r="K143" s="127" t="s">
        <v>90</v>
      </c>
      <c r="L143" s="208">
        <v>172</v>
      </c>
      <c r="M143" s="237">
        <f>_xlfn.LET(
  _xlpm.analyte, SensorLab[[#This Row],[Analyte]],
  _xlpm.raw, N(SensorLab[[#This Row],[Raw_Value]]),
  _xlpm.scaleF, IFERROR(
    _xlfn.XLOOKUP(_xlpm.analyte, CalibrationCoefficients[Analyte], CalibrationCoefficients[ScaleFactor]),
    1
  ),
  IF(AND(_xlpm.analyte&lt;&gt;"", ISNUMBER(_xlpm.raw)), _xlpm.raw * _xlpm.scaleF, "NA")
)</f>
        <v>17.2</v>
      </c>
      <c r="N143" s="194"/>
      <c r="O143" s="41"/>
      <c r="P143" s="41">
        <v>17.2</v>
      </c>
      <c r="Q143" s="208" cm="1">
        <f t="array" ref="Q143">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17.2</v>
      </c>
      <c r="R143" s="237" cm="1">
        <f t="array" ref="R14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17.2531</v>
      </c>
      <c r="S143" s="238" cm="1">
        <f t="array" ref="S14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17.216519999999999</v>
      </c>
      <c r="T143" s="238" cm="1">
        <f t="array" ref="T14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-6.7834800000000008</v>
      </c>
      <c r="U143" s="41" t="str" cm="1">
        <f t="array" ref="U14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-0.01652)</v>
      </c>
      <c r="V143" s="22"/>
    </row>
    <row r="144" spans="2:38" x14ac:dyDescent="0.15">
      <c r="B144" s="118" t="s">
        <v>152</v>
      </c>
      <c r="C144" s="59">
        <v>5</v>
      </c>
      <c r="D144" s="64">
        <v>20</v>
      </c>
      <c r="G144" s="4"/>
      <c r="J144" s="190" t="s">
        <v>210</v>
      </c>
      <c r="K144" s="191" t="s">
        <v>43</v>
      </c>
      <c r="L144" s="208">
        <v>200</v>
      </c>
      <c r="M144" s="237">
        <f>_xlfn.LET(
  _xlpm.analyte, SensorLab[[#This Row],[Analyte]],
  _xlpm.raw, N(SensorLab[[#This Row],[Raw_Value]]),
  _xlpm.scaleF, IFERROR(
    _xlfn.XLOOKUP(_xlpm.analyte, CalibrationCoefficients[Analyte], CalibrationCoefficients[ScaleFactor]),
    1
  ),
  IF(AND(_xlpm.analyte&lt;&gt;"", ISNUMBER(_xlpm.raw)), _xlpm.raw * _xlpm.scaleF, "NA")
)</f>
        <v>20</v>
      </c>
      <c r="N144" s="194"/>
      <c r="O144" s="41"/>
      <c r="P144" s="41">
        <v>20</v>
      </c>
      <c r="Q144" s="208" cm="1">
        <f t="array" ref="Q14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20</v>
      </c>
      <c r="R144" s="237" cm="1">
        <f t="array" ref="R14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19.98592</v>
      </c>
      <c r="S144" s="238" cm="1">
        <f t="array" ref="S14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19.99933</v>
      </c>
      <c r="T144" s="238" cm="1">
        <f t="array" ref="T14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6.7000000000000002E-4</v>
      </c>
      <c r="U144" s="41" t="str" cm="1">
        <f t="array" ref="U14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20.00000 and 20.00000</v>
      </c>
      <c r="V144" s="22"/>
    </row>
    <row r="145" spans="1:22" x14ac:dyDescent="0.15">
      <c r="B145" s="119" t="s">
        <v>153</v>
      </c>
      <c r="C145" s="61">
        <v>0</v>
      </c>
      <c r="D145" s="65">
        <v>0.1</v>
      </c>
      <c r="G145" s="4"/>
      <c r="J145" s="190" t="s">
        <v>210</v>
      </c>
      <c r="K145" s="191" t="s">
        <v>45</v>
      </c>
      <c r="L145" s="208">
        <v>5.1999999999999995E-4</v>
      </c>
      <c r="M145" s="237">
        <f>_xlfn.LET(
  _xlpm.analyte, SensorLab[[#This Row],[Analyte]],
  _xlpm.raw, N(SensorLab[[#This Row],[Raw_Value]]),
  _xlpm.scaleF, IFERROR(
    _xlfn.XLOOKUP(_xlpm.analyte, CalibrationCoefficients[Analyte], CalibrationCoefficients[ScaleFactor]),
    1
  ),
  IF(AND(_xlpm.analyte&lt;&gt;"", ISNUMBER(_xlpm.raw)), _xlpm.raw * _xlpm.scaleF, "NA")
)</f>
        <v>5.1999999999999995E-4</v>
      </c>
      <c r="N145" s="194"/>
      <c r="O145" s="41"/>
      <c r="P145" s="41">
        <v>0.6</v>
      </c>
      <c r="Q145" s="208" cm="1">
        <f t="array" ref="Q145">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0.6</v>
      </c>
      <c r="R145" s="237" cm="1">
        <f t="array" ref="R14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0.60409999999999997</v>
      </c>
      <c r="S145" s="238" cm="1">
        <f t="array" ref="S14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0.6</v>
      </c>
      <c r="T145" s="238" cm="1">
        <f t="array" ref="T14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145" s="41" t="str" cm="1">
        <f t="array" ref="U14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145" s="22"/>
    </row>
    <row r="146" spans="1:22" x14ac:dyDescent="0.15">
      <c r="G146" s="4"/>
      <c r="J146" s="190" t="s">
        <v>210</v>
      </c>
      <c r="K146" s="127" t="s">
        <v>0</v>
      </c>
      <c r="L146" s="208">
        <v>50.73</v>
      </c>
      <c r="M146" s="237">
        <f>_xlfn.LET(
  _xlpm.analyte, SensorLab[[#This Row],[Analyte]],
  _xlpm.raw, N(SensorLab[[#This Row],[Raw_Value]]),
  _xlpm.scaleF, IFERROR(
    _xlfn.XLOOKUP(_xlpm.analyte, CalibrationCoefficients[Analyte], CalibrationCoefficients[ScaleFactor]),
    1
  ),
  IF(AND(_xlpm.analyte&lt;&gt;"", ISNUMBER(_xlpm.raw)), _xlpm.raw * _xlpm.scaleF, "NA")
)</f>
        <v>50.73</v>
      </c>
      <c r="N146" s="194"/>
      <c r="O146" s="41"/>
      <c r="P146" s="41">
        <v>52</v>
      </c>
      <c r="Q146" s="208" cm="1">
        <f t="array" ref="Q14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52</v>
      </c>
      <c r="R146" s="237" cm="1">
        <f t="array" ref="R14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52</v>
      </c>
      <c r="S146" s="238" cm="1">
        <f t="array" ref="S14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52</v>
      </c>
      <c r="T146" s="238" cm="1">
        <f t="array" ref="T14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146" s="41" t="str" cm="1">
        <f t="array" ref="U14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146" s="22"/>
    </row>
    <row r="147" spans="1:22" x14ac:dyDescent="0.15">
      <c r="B147" s="120" t="s">
        <v>151</v>
      </c>
      <c r="C147" s="62" t="s">
        <v>125</v>
      </c>
      <c r="D147" s="63" t="s">
        <v>126</v>
      </c>
      <c r="G147" s="4"/>
      <c r="J147" s="190" t="s">
        <v>210</v>
      </c>
      <c r="K147" s="127" t="s">
        <v>5</v>
      </c>
      <c r="L147" s="208">
        <v>34.11</v>
      </c>
      <c r="M147" s="237">
        <f>_xlfn.LET(
  _xlpm.analyte, SensorLab[[#This Row],[Analyte]],
  _xlpm.raw, N(SensorLab[[#This Row],[Raw_Value]]),
  _xlpm.scaleF, IFERROR(
    _xlfn.XLOOKUP(_xlpm.analyte, CalibrationCoefficients[Analyte], CalibrationCoefficients[ScaleFactor]),
    1
  ),
  IF(AND(_xlpm.analyte&lt;&gt;"", ISNUMBER(_xlpm.raw)), _xlpm.raw * _xlpm.scaleF, "NA")
)</f>
        <v>34.11</v>
      </c>
      <c r="N147" s="194"/>
      <c r="O147" s="41"/>
      <c r="P147" s="41">
        <v>33</v>
      </c>
      <c r="Q147" s="208" cm="1">
        <f t="array" ref="Q147">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33</v>
      </c>
      <c r="R147" s="237" cm="1">
        <f t="array" ref="R14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33</v>
      </c>
      <c r="S147" s="238" cm="1">
        <f t="array" ref="S14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33</v>
      </c>
      <c r="T147" s="238" cm="1">
        <f t="array" ref="T14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147" s="41" t="str" cm="1">
        <f t="array" ref="U14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147" s="22"/>
    </row>
    <row r="148" spans="1:22" x14ac:dyDescent="0.15">
      <c r="B148" s="117" t="s">
        <v>65</v>
      </c>
      <c r="C148" s="59">
        <v>5</v>
      </c>
      <c r="D148" s="64">
        <v>50</v>
      </c>
      <c r="G148" s="4"/>
      <c r="J148" s="190" t="s">
        <v>210</v>
      </c>
      <c r="K148" s="127" t="s">
        <v>6</v>
      </c>
      <c r="L148" s="208">
        <v>15.16</v>
      </c>
      <c r="M148" s="237">
        <f>_xlfn.LET(
  _xlpm.analyte, SensorLab[[#This Row],[Analyte]],
  _xlpm.raw, N(SensorLab[[#This Row],[Raw_Value]]),
  _xlpm.scaleF, IFERROR(
    _xlfn.XLOOKUP(_xlpm.analyte, CalibrationCoefficients[Analyte], CalibrationCoefficients[ScaleFactor]),
    1
  ),
  IF(AND(_xlpm.analyte&lt;&gt;"", ISNUMBER(_xlpm.raw)), _xlpm.raw * _xlpm.scaleF, "NA")
)</f>
        <v>15.16</v>
      </c>
      <c r="N148" s="194"/>
      <c r="O148" s="41"/>
      <c r="P148" s="41">
        <v>15</v>
      </c>
      <c r="Q148" s="208" cm="1">
        <f t="array" ref="Q14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15</v>
      </c>
      <c r="R148" s="237" cm="1">
        <f t="array" ref="R14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15</v>
      </c>
      <c r="S148" s="238" cm="1">
        <f t="array" ref="S14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15</v>
      </c>
      <c r="T148" s="238" cm="1">
        <f t="array" ref="T14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148" s="41" t="str" cm="1">
        <f t="array" ref="U14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148" s="22"/>
    </row>
    <row r="149" spans="1:22" ht="11.25" thickBot="1" x14ac:dyDescent="0.2">
      <c r="A149" s="4"/>
      <c r="B149" s="117" t="s">
        <v>71</v>
      </c>
      <c r="C149" s="59">
        <v>10</v>
      </c>
      <c r="D149" s="64">
        <v>30</v>
      </c>
      <c r="J149" s="190" t="s">
        <v>210</v>
      </c>
      <c r="K149" s="193" t="s">
        <v>69</v>
      </c>
      <c r="L149" s="255" t="str" cm="1">
        <f t="array" ref="L149">_xlfn.LET(
  _xlpm.bs,L146, _xlpm.si,L147, _xlpm.c,L148,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M149" s="256" t="str" cm="1">
        <f t="array" ref="M149">_xlfn.LET(
  _xlpm.bs,M146, _xlpm.si,M147, _xlpm.c,M148,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N149" s="245" t="str" cm="1">
        <f t="array" ref="N149">_xlfn.LET(
  _xlpm.bs,N146, _xlpm.si,N147, _xlpm.c,N148,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149" s="245" t="str" cm="1">
        <f t="array" ref="O149">_xlfn.LET(
  _xlpm.bs,O146, _xlpm.si,O147, _xlpm.c,O148,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P149" s="245" t="str" cm="1">
        <f t="array" ref="P149">_xlfn.LET(
  _xlpm.bs,P146, _xlpm.si,P147, _xlpm.c,P148,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Q149" s="255" t="str" cm="1">
        <f t="array" ref="Q149">_xlfn.LET(
  _xlpm.bs,Q146, _xlpm.si,Q147, _xlpm.c,Q148,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R149" s="256" t="str" cm="1">
        <f t="array" ref="R149">_xlfn.LET(
  _xlpm.bs,R146, _xlpm.si,R147, _xlpm.c,R148,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S149" s="256" t="str" cm="1">
        <f t="array" ref="S149">_xlfn.LET(
  _xlpm.bs,S146, _xlpm.si,S147, _xlpm.c,S148,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T149" s="240" cm="1">
        <f t="array" ref="T14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149" s="229" t="str" cm="1">
        <f t="array" ref="U14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(Texture match: Sandy Loam)</v>
      </c>
      <c r="V149" s="22"/>
    </row>
    <row r="150" spans="1:22" x14ac:dyDescent="0.15">
      <c r="A150" s="4"/>
      <c r="B150" s="121" t="s">
        <v>52</v>
      </c>
      <c r="C150" s="59">
        <v>0.2</v>
      </c>
      <c r="D150" s="64">
        <v>1.5</v>
      </c>
      <c r="J150" s="188" t="s">
        <v>215</v>
      </c>
      <c r="K150" s="189" t="s">
        <v>39</v>
      </c>
      <c r="L150" s="207">
        <v>0</v>
      </c>
      <c r="M150" s="239">
        <f>_xlfn.LET(
  _xlpm.analyte, SensorLab[[#This Row],[Analyte]],
  _xlpm.raw, N(SensorLab[[#This Row],[Raw_Value]]),
  _xlpm.scaleF, IFERROR(
    _xlfn.XLOOKUP(_xlpm.analyte, CalibrationCoefficients[Analyte], CalibrationCoefficients[ScaleFactor]),
    1
  ),
  IF(AND(_xlpm.analyte&lt;&gt;"", ISNUMBER(_xlpm.raw)), _xlpm.raw * _xlpm.scaleF, "NA")
)</f>
        <v>0</v>
      </c>
      <c r="N150" s="227"/>
      <c r="O150" s="228"/>
      <c r="P150" s="228">
        <v>2</v>
      </c>
      <c r="Q150" s="207" cm="1">
        <f t="array" ref="Q15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v>
      </c>
      <c r="R150" s="239" cm="1">
        <f t="array" ref="R15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0.44663000000000003</v>
      </c>
      <c r="S150" s="241" cm="1">
        <f t="array" ref="S15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v>
      </c>
      <c r="T150" s="241" cm="1">
        <f t="array" ref="T15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-4</v>
      </c>
      <c r="U150" s="228" t="str" cm="1">
        <f t="array" ref="U15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1.17402 and 0.44663</v>
      </c>
      <c r="V150" s="22"/>
    </row>
    <row r="151" spans="1:22" x14ac:dyDescent="0.15">
      <c r="A151" s="4"/>
      <c r="B151" s="117" t="s">
        <v>34</v>
      </c>
      <c r="C151" s="59">
        <v>5.5</v>
      </c>
      <c r="D151" s="64">
        <v>7.5</v>
      </c>
      <c r="E151" s="4"/>
      <c r="F151" s="4"/>
      <c r="J151" s="190" t="s">
        <v>215</v>
      </c>
      <c r="K151" s="191" t="s">
        <v>40</v>
      </c>
      <c r="L151" s="208">
        <v>17</v>
      </c>
      <c r="M151" s="237">
        <f>_xlfn.LET(
  _xlpm.analyte, SensorLab[[#This Row],[Analyte]],
  _xlpm.raw, N(SensorLab[[#This Row],[Raw_Value]]),
  _xlpm.scaleF, IFERROR(
    _xlfn.XLOOKUP(_xlpm.analyte, CalibrationCoefficients[Analyte], CalibrationCoefficients[ScaleFactor]),
    1
  ),
  IF(AND(_xlpm.analyte&lt;&gt;"", ISNUMBER(_xlpm.raw)), _xlpm.raw * _xlpm.scaleF, "NA")
)</f>
        <v>17</v>
      </c>
      <c r="N151" s="194"/>
      <c r="O151" s="41"/>
      <c r="P151" s="41">
        <v>4</v>
      </c>
      <c r="Q151" s="208" cm="1">
        <f t="array" ref="Q151">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4</v>
      </c>
      <c r="R151" s="237" cm="1">
        <f t="array" ref="R15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5.7393900000000002</v>
      </c>
      <c r="S151" s="238" cm="1">
        <f t="array" ref="S15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4.5493600000000001</v>
      </c>
      <c r="T151" s="238" cm="1">
        <f t="array" ref="T15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-0.54935999999999996</v>
      </c>
      <c r="U151" s="41" t="str" cm="1">
        <f t="array" ref="U15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5.94122 and 6.44046</v>
      </c>
      <c r="V151" s="22"/>
    </row>
    <row r="152" spans="1:22" x14ac:dyDescent="0.15">
      <c r="A152" s="4"/>
      <c r="B152" s="118" t="s">
        <v>153</v>
      </c>
      <c r="C152" s="59">
        <v>0.01</v>
      </c>
      <c r="D152" s="64">
        <v>0.08</v>
      </c>
      <c r="E152" s="4"/>
      <c r="F152" s="4"/>
      <c r="J152" s="190" t="s">
        <v>215</v>
      </c>
      <c r="K152" s="191" t="s">
        <v>41</v>
      </c>
      <c r="L152" s="208">
        <v>9</v>
      </c>
      <c r="M152" s="237">
        <f>_xlfn.LET(
  _xlpm.analyte, SensorLab[[#This Row],[Analyte]],
  _xlpm.raw, N(SensorLab[[#This Row],[Raw_Value]]),
  _xlpm.scaleF, IFERROR(
    _xlfn.XLOOKUP(_xlpm.analyte, CalibrationCoefficients[Analyte], CalibrationCoefficients[ScaleFactor]),
    1
  ),
  IF(AND(_xlpm.analyte&lt;&gt;"", ISNUMBER(_xlpm.raw)), _xlpm.raw * _xlpm.scaleF, "NA")
)</f>
        <v>9</v>
      </c>
      <c r="N152" s="194"/>
      <c r="O152" s="41"/>
      <c r="P152" s="41">
        <v>152</v>
      </c>
      <c r="Q152" s="208" cm="1">
        <f t="array" ref="Q15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152</v>
      </c>
      <c r="R152" s="237" cm="1">
        <f t="array" ref="R15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114.33165</v>
      </c>
      <c r="S152" s="238" cm="1">
        <f t="array" ref="S15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100.63168</v>
      </c>
      <c r="T152" s="238" cm="1">
        <f t="array" ref="T15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51.368319999999997</v>
      </c>
      <c r="U152" s="41" t="str" cm="1">
        <f t="array" ref="U15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110.80981 and 113.78981</v>
      </c>
      <c r="V152" s="22"/>
    </row>
    <row r="153" spans="1:22" x14ac:dyDescent="0.15">
      <c r="A153" s="4"/>
      <c r="B153" s="117" t="s">
        <v>74</v>
      </c>
      <c r="C153" s="59">
        <v>0.1</v>
      </c>
      <c r="D153" s="64">
        <v>0.8</v>
      </c>
      <c r="E153" s="4"/>
      <c r="F153" s="4"/>
      <c r="J153" s="190" t="s">
        <v>215</v>
      </c>
      <c r="K153" s="127" t="s">
        <v>52</v>
      </c>
      <c r="L153" s="208">
        <v>125</v>
      </c>
      <c r="M153" s="237">
        <f>_xlfn.LET(
  _xlpm.analyte, SensorLab[[#This Row],[Analyte]],
  _xlpm.raw, N(SensorLab[[#This Row],[Raw_Value]]),
  _xlpm.scaleF, IFERROR(
    _xlfn.XLOOKUP(_xlpm.analyte, CalibrationCoefficients[Analyte], CalibrationCoefficients[ScaleFactor]),
    1
  ),
  IF(AND(_xlpm.analyte&lt;&gt;"", ISNUMBER(_xlpm.raw)), _xlpm.raw * _xlpm.scaleF, "NA")
)</f>
        <v>0.125</v>
      </c>
      <c r="N153" s="194"/>
      <c r="O153" s="41"/>
      <c r="P153" s="41">
        <v>0.96</v>
      </c>
      <c r="Q153" s="208" cm="1">
        <f t="array" ref="Q153">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0.96</v>
      </c>
      <c r="R153" s="237" cm="1">
        <f t="array" ref="R15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0.99765000000000004</v>
      </c>
      <c r="S153" s="238" cm="1">
        <f t="array" ref="S15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0.96541999999999994</v>
      </c>
      <c r="T153" s="238" cm="1">
        <f t="array" ref="T15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-5.4200000000000003E-3</v>
      </c>
      <c r="U153" s="41" t="str" cm="1">
        <f t="array" ref="U15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1.00008 and 1.10008</v>
      </c>
      <c r="V153" s="22"/>
    </row>
    <row r="154" spans="1:22" x14ac:dyDescent="0.15">
      <c r="A154" s="4"/>
      <c r="B154" s="119" t="s">
        <v>152</v>
      </c>
      <c r="C154" s="61">
        <v>8</v>
      </c>
      <c r="D154" s="65">
        <v>15</v>
      </c>
      <c r="E154" s="4"/>
      <c r="F154" s="4"/>
      <c r="J154" s="190" t="s">
        <v>215</v>
      </c>
      <c r="K154" s="127" t="s">
        <v>34</v>
      </c>
      <c r="L154" s="208">
        <v>79</v>
      </c>
      <c r="M154" s="237">
        <f>_xlfn.LET(
  _xlpm.analyte, SensorLab[[#This Row],[Analyte]],
  _xlpm.raw, N(SensorLab[[#This Row],[Raw_Value]]),
  _xlpm.scaleF, IFERROR(
    _xlfn.XLOOKUP(_xlpm.analyte, CalibrationCoefficients[Analyte], CalibrationCoefficients[ScaleFactor]),
    1
  ),
  IF(AND(_xlpm.analyte&lt;&gt;"", ISNUMBER(_xlpm.raw)), _xlpm.raw * _xlpm.scaleF, "NA")
)</f>
        <v>7.9</v>
      </c>
      <c r="N154" s="194"/>
      <c r="O154" s="41"/>
      <c r="P154" s="41">
        <v>8</v>
      </c>
      <c r="Q154" s="208" cm="1">
        <f t="array" ref="Q15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8</v>
      </c>
      <c r="R154" s="237" cm="1">
        <f t="array" ref="R15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7.8626399999999999</v>
      </c>
      <c r="S154" s="238" cm="1">
        <f t="array" ref="S15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7.8297299999999996</v>
      </c>
      <c r="T154" s="238" cm="1">
        <f t="array" ref="T15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0.17027</v>
      </c>
      <c r="U154" s="41" t="str" cm="1">
        <f t="array" ref="U15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0.17027)</v>
      </c>
      <c r="V154" s="22"/>
    </row>
    <row r="155" spans="1:22" x14ac:dyDescent="0.15">
      <c r="B155" s="4"/>
      <c r="C155" s="4"/>
      <c r="D155" s="4"/>
      <c r="E155" s="4"/>
      <c r="F155" s="4"/>
      <c r="J155" s="190" t="s">
        <v>215</v>
      </c>
      <c r="K155" s="127" t="s">
        <v>90</v>
      </c>
      <c r="L155" s="208">
        <v>133</v>
      </c>
      <c r="M155" s="237">
        <f>_xlfn.LET(
  _xlpm.analyte, SensorLab[[#This Row],[Analyte]],
  _xlpm.raw, N(SensorLab[[#This Row],[Raw_Value]]),
  _xlpm.scaleF, IFERROR(
    _xlfn.XLOOKUP(_xlpm.analyte, CalibrationCoefficients[Analyte], CalibrationCoefficients[ScaleFactor]),
    1
  ),
  IF(AND(_xlpm.analyte&lt;&gt;"", ISNUMBER(_xlpm.raw)), _xlpm.raw * _xlpm.scaleF, "NA")
)</f>
        <v>13.3</v>
      </c>
      <c r="N155" s="194"/>
      <c r="O155" s="41"/>
      <c r="P155" s="41">
        <v>13.3</v>
      </c>
      <c r="Q155" s="208" cm="1">
        <f t="array" ref="Q155">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13.3</v>
      </c>
      <c r="R155" s="237" cm="1">
        <f t="array" ref="R15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13.272550000000001</v>
      </c>
      <c r="S155" s="238" cm="1">
        <f t="array" ref="S15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13.23597</v>
      </c>
      <c r="T155" s="238" cm="1">
        <f t="array" ref="T15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-10.76403</v>
      </c>
      <c r="U155" s="41" t="str" cm="1">
        <f t="array" ref="U15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13.26284 and 13.33716</v>
      </c>
      <c r="V155" s="22"/>
    </row>
    <row r="156" spans="1:22" x14ac:dyDescent="0.15">
      <c r="B156" s="159" t="s">
        <v>171</v>
      </c>
      <c r="C156" s="160" t="s">
        <v>127</v>
      </c>
      <c r="D156" s="160" t="s">
        <v>21</v>
      </c>
      <c r="E156" s="160" t="s">
        <v>128</v>
      </c>
      <c r="F156" s="4"/>
      <c r="J156" s="190" t="s">
        <v>215</v>
      </c>
      <c r="K156" s="191" t="s">
        <v>43</v>
      </c>
      <c r="L156" s="208">
        <v>183</v>
      </c>
      <c r="M156" s="237">
        <f>_xlfn.LET(
  _xlpm.analyte, SensorLab[[#This Row],[Analyte]],
  _xlpm.raw, N(SensorLab[[#This Row],[Raw_Value]]),
  _xlpm.scaleF, IFERROR(
    _xlfn.XLOOKUP(_xlpm.analyte, CalibrationCoefficients[Analyte], CalibrationCoefficients[ScaleFactor]),
    1
  ),
  IF(AND(_xlpm.analyte&lt;&gt;"", ISNUMBER(_xlpm.raw)), _xlpm.raw * _xlpm.scaleF, "NA")
)</f>
        <v>18.3</v>
      </c>
      <c r="N156" s="194"/>
      <c r="O156" s="41"/>
      <c r="P156" s="41">
        <v>18.3</v>
      </c>
      <c r="Q156" s="208" cm="1">
        <f t="array" ref="Q15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18.3</v>
      </c>
      <c r="R156" s="237" cm="1">
        <f t="array" ref="R15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18.285489999999999</v>
      </c>
      <c r="S156" s="238" cm="1">
        <f t="array" ref="S15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18.2989</v>
      </c>
      <c r="T156" s="238" cm="1">
        <f t="array" ref="T15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1.1000000000000001E-3</v>
      </c>
      <c r="U156" s="41" t="str" cm="1">
        <f t="array" ref="U15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18.30000 and 18.30000</v>
      </c>
      <c r="V156" s="22"/>
    </row>
    <row r="157" spans="1:22" x14ac:dyDescent="0.15">
      <c r="B157" s="34" t="s">
        <v>172</v>
      </c>
      <c r="C157" s="29" t="s">
        <v>173</v>
      </c>
      <c r="D157" s="158" t="s">
        <v>174</v>
      </c>
      <c r="E157" s="29" t="s">
        <v>175</v>
      </c>
      <c r="J157" s="190" t="s">
        <v>215</v>
      </c>
      <c r="K157" s="191" t="s">
        <v>45</v>
      </c>
      <c r="L157" s="208">
        <v>5.1999999999999995E-4</v>
      </c>
      <c r="M157" s="237">
        <f>_xlfn.LET(
  _xlpm.analyte, SensorLab[[#This Row],[Analyte]],
  _xlpm.raw, N(SensorLab[[#This Row],[Raw_Value]]),
  _xlpm.scaleF, IFERROR(
    _xlfn.XLOOKUP(_xlpm.analyte, CalibrationCoefficients[Analyte], CalibrationCoefficients[ScaleFactor]),
    1
  ),
  IF(AND(_xlpm.analyte&lt;&gt;"", ISNUMBER(_xlpm.raw)), _xlpm.raw * _xlpm.scaleF, "NA")
)</f>
        <v>5.1999999999999995E-4</v>
      </c>
      <c r="N157" s="194"/>
      <c r="O157" s="41"/>
      <c r="P157" s="41">
        <v>0.6</v>
      </c>
      <c r="Q157" s="208" cm="1">
        <f t="array" ref="Q157">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0.6</v>
      </c>
      <c r="R157" s="237" cm="1">
        <f t="array" ref="R15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0.60409999999999997</v>
      </c>
      <c r="S157" s="238" cm="1">
        <f t="array" ref="S15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0.6</v>
      </c>
      <c r="T157" s="238" cm="1">
        <f t="array" ref="T15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157" s="41" t="str" cm="1">
        <f t="array" ref="U15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157" s="22"/>
    </row>
    <row r="158" spans="1:22" x14ac:dyDescent="0.15">
      <c r="B158" s="34" t="s">
        <v>176</v>
      </c>
      <c r="C158" s="29" t="s">
        <v>177</v>
      </c>
      <c r="D158" s="29" t="s">
        <v>178</v>
      </c>
      <c r="E158" s="29" t="s">
        <v>179</v>
      </c>
      <c r="J158" s="190" t="s">
        <v>215</v>
      </c>
      <c r="K158" s="127" t="s">
        <v>0</v>
      </c>
      <c r="L158" s="208">
        <v>50.76</v>
      </c>
      <c r="M158" s="237">
        <f>_xlfn.LET(
  _xlpm.analyte, SensorLab[[#This Row],[Analyte]],
  _xlpm.raw, N(SensorLab[[#This Row],[Raw_Value]]),
  _xlpm.scaleF, IFERROR(
    _xlfn.XLOOKUP(_xlpm.analyte, CalibrationCoefficients[Analyte], CalibrationCoefficients[ScaleFactor]),
    1
  ),
  IF(AND(_xlpm.analyte&lt;&gt;"", ISNUMBER(_xlpm.raw)), _xlpm.raw * _xlpm.scaleF, "NA")
)</f>
        <v>50.76</v>
      </c>
      <c r="N158" s="194"/>
      <c r="O158" s="41"/>
      <c r="P158" s="41">
        <v>52</v>
      </c>
      <c r="Q158" s="208" cm="1">
        <f t="array" ref="Q15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52</v>
      </c>
      <c r="R158" s="237" cm="1">
        <f t="array" ref="R15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52</v>
      </c>
      <c r="S158" s="238" cm="1">
        <f t="array" ref="S15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52</v>
      </c>
      <c r="T158" s="238" cm="1">
        <f t="array" ref="T15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158" s="41" t="str" cm="1">
        <f t="array" ref="U15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158" s="22"/>
    </row>
    <row r="159" spans="1:22" x14ac:dyDescent="0.15">
      <c r="B159" s="34" t="s">
        <v>180</v>
      </c>
      <c r="C159" s="29" t="s">
        <v>181</v>
      </c>
      <c r="D159" s="29" t="s">
        <v>182</v>
      </c>
      <c r="E159" s="29" t="s">
        <v>194</v>
      </c>
      <c r="J159" s="190" t="s">
        <v>215</v>
      </c>
      <c r="K159" s="127" t="s">
        <v>5</v>
      </c>
      <c r="L159" s="208">
        <v>34.1</v>
      </c>
      <c r="M159" s="237">
        <f>_xlfn.LET(
  _xlpm.analyte, SensorLab[[#This Row],[Analyte]],
  _xlpm.raw, N(SensorLab[[#This Row],[Raw_Value]]),
  _xlpm.scaleF, IFERROR(
    _xlfn.XLOOKUP(_xlpm.analyte, CalibrationCoefficients[Analyte], CalibrationCoefficients[ScaleFactor]),
    1
  ),
  IF(AND(_xlpm.analyte&lt;&gt;"", ISNUMBER(_xlpm.raw)), _xlpm.raw * _xlpm.scaleF, "NA")
)</f>
        <v>34.1</v>
      </c>
      <c r="N159" s="194"/>
      <c r="O159" s="41"/>
      <c r="P159" s="41">
        <v>33</v>
      </c>
      <c r="Q159" s="208" cm="1">
        <f t="array" ref="Q159">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33</v>
      </c>
      <c r="R159" s="237" cm="1">
        <f t="array" ref="R15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33</v>
      </c>
      <c r="S159" s="238" cm="1">
        <f t="array" ref="S15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33</v>
      </c>
      <c r="T159" s="238" cm="1">
        <f t="array" ref="T15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159" s="41" t="str" cm="1">
        <f t="array" ref="U15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159" s="22"/>
    </row>
    <row r="160" spans="1:22" x14ac:dyDescent="0.15">
      <c r="C160" s="4"/>
      <c r="D160" s="4"/>
      <c r="E160" s="4"/>
      <c r="J160" s="190" t="s">
        <v>215</v>
      </c>
      <c r="K160" s="127" t="s">
        <v>6</v>
      </c>
      <c r="L160" s="208">
        <v>15.14</v>
      </c>
      <c r="M160" s="237">
        <f>_xlfn.LET(
  _xlpm.analyte, SensorLab[[#This Row],[Analyte]],
  _xlpm.raw, N(SensorLab[[#This Row],[Raw_Value]]),
  _xlpm.scaleF, IFERROR(
    _xlfn.XLOOKUP(_xlpm.analyte, CalibrationCoefficients[Analyte], CalibrationCoefficients[ScaleFactor]),
    1
  ),
  IF(AND(_xlpm.analyte&lt;&gt;"", ISNUMBER(_xlpm.raw)), _xlpm.raw * _xlpm.scaleF, "NA")
)</f>
        <v>15.14</v>
      </c>
      <c r="N160" s="194"/>
      <c r="O160" s="41"/>
      <c r="P160" s="41">
        <v>15</v>
      </c>
      <c r="Q160" s="208" cm="1">
        <f t="array" ref="Q16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15</v>
      </c>
      <c r="R160" s="237" cm="1">
        <f t="array" ref="R16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15</v>
      </c>
      <c r="S160" s="238" cm="1">
        <f t="array" ref="S16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15</v>
      </c>
      <c r="T160" s="238" cm="1">
        <f t="array" ref="T16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160" s="41" t="str" cm="1">
        <f t="array" ref="U16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160" s="22"/>
    </row>
    <row r="161" spans="2:22" ht="11.25" thickBot="1" x14ac:dyDescent="0.2">
      <c r="B161" s="159" t="s">
        <v>183</v>
      </c>
      <c r="C161" s="160" t="s">
        <v>191</v>
      </c>
      <c r="D161" s="160" t="s">
        <v>184</v>
      </c>
      <c r="E161" s="4"/>
      <c r="J161" s="192" t="s">
        <v>215</v>
      </c>
      <c r="K161" s="193" t="s">
        <v>69</v>
      </c>
      <c r="L161" s="255" t="str" cm="1">
        <f t="array" ref="L161">_xlfn.LET(
  _xlpm.bs,L158, _xlpm.si,L159, _xlpm.c,L160,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M161" s="256" t="str" cm="1">
        <f t="array" ref="M161">_xlfn.LET(
  _xlpm.bs,M158, _xlpm.si,M159, _xlpm.c,M160,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N161" s="245" t="str" cm="1">
        <f t="array" ref="N161">_xlfn.LET(
  _xlpm.bs,N158, _xlpm.si,N159, _xlpm.c,N160,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161" s="245" t="str" cm="1">
        <f t="array" ref="O161">_xlfn.LET(
  _xlpm.bs,O158, _xlpm.si,O159, _xlpm.c,O160,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P161" s="245" t="str" cm="1">
        <f t="array" ref="P161">_xlfn.LET(
  _xlpm.bs,P158, _xlpm.si,P159, _xlpm.c,P160,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Q161" s="255" t="str" cm="1">
        <f t="array" ref="Q161">_xlfn.LET(
  _xlpm.bs,Q158, _xlpm.si,Q159, _xlpm.c,Q160,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R161" s="256" t="str" cm="1">
        <f t="array" ref="R161">_xlfn.LET(
  _xlpm.bs,R158, _xlpm.si,R159, _xlpm.c,R160,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S161" s="256" t="str" cm="1">
        <f t="array" ref="S161">_xlfn.LET(
  _xlpm.bs,S158, _xlpm.si,S159, _xlpm.c,S160,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T161" s="240" cm="1">
        <f t="array" ref="T16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161" s="229" t="str" cm="1">
        <f t="array" ref="U16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(Texture match: Sandy Loam)</v>
      </c>
      <c r="V161" s="22"/>
    </row>
    <row r="162" spans="2:22" x14ac:dyDescent="0.15">
      <c r="B162" s="34" t="s">
        <v>193</v>
      </c>
      <c r="C162" s="29" t="s">
        <v>195</v>
      </c>
      <c r="D162" s="29" t="s">
        <v>192</v>
      </c>
      <c r="E162" s="4"/>
      <c r="J162" s="190" t="s">
        <v>216</v>
      </c>
      <c r="K162" s="127" t="s">
        <v>39</v>
      </c>
      <c r="L162" s="208">
        <v>0</v>
      </c>
      <c r="M162"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162" s="194"/>
      <c r="O162" s="41">
        <v>2</v>
      </c>
      <c r="P162" s="41"/>
      <c r="Q162" s="207" cm="1">
        <f t="array" ref="Q16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v>
      </c>
      <c r="R162" s="239" cm="1">
        <f t="array" ref="R16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0.44663000000000003</v>
      </c>
      <c r="S162" s="241" cm="1">
        <f t="array" ref="S16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v>
      </c>
      <c r="T162" s="241" cm="1">
        <f t="array" ref="T16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-8</v>
      </c>
      <c r="U162" s="41" t="str" cm="1">
        <f t="array" ref="U16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1.17402 and 0.44663</v>
      </c>
      <c r="V162" s="22"/>
    </row>
    <row r="163" spans="2:22" x14ac:dyDescent="0.15">
      <c r="B163" s="34" t="s">
        <v>185</v>
      </c>
      <c r="C163" s="29" t="s">
        <v>188</v>
      </c>
      <c r="D163" s="29" t="s">
        <v>189</v>
      </c>
      <c r="E163" s="4"/>
      <c r="J163" s="190" t="s">
        <v>216</v>
      </c>
      <c r="K163" s="191" t="s">
        <v>40</v>
      </c>
      <c r="L163" s="208">
        <v>12</v>
      </c>
      <c r="M163" s="237">
        <f>_xlfn.LET(
  _xlpm.analyte, SensorLab[[#This Row],[Analyte]],
  _xlpm.raw, N(SensorLab[[#This Row],[Raw_Value]]),
  _xlpm.scaleF, IFERROR(
    _xlfn.XLOOKUP(_xlpm.analyte, CalibrationCoefficients[Analyte], CalibrationCoefficients[ScaleFactor]),
    1
  ),
  IF(AND(_xlpm.analyte&lt;&gt;"", ISNUMBER(_xlpm.raw)), _xlpm.raw * _xlpm.scaleF, "NA")
)</f>
        <v>12</v>
      </c>
      <c r="N163" s="194"/>
      <c r="O163" s="41">
        <v>5.18</v>
      </c>
      <c r="P163" s="41"/>
      <c r="Q163" s="208" cm="1">
        <f t="array" ref="Q163">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5.18</v>
      </c>
      <c r="R163" s="237" cm="1">
        <f t="array" ref="R16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5.6142899999999996</v>
      </c>
      <c r="S163" s="238" cm="1">
        <f t="array" ref="S16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4.4242600000000003</v>
      </c>
      <c r="T163" s="238" cm="1">
        <f t="array" ref="T16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-1.5757399999999997</v>
      </c>
      <c r="U163" s="41" t="str" cm="1">
        <f t="array" ref="U16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5.87302 and 6.99302</v>
      </c>
      <c r="V163" s="22"/>
    </row>
    <row r="164" spans="2:22" x14ac:dyDescent="0.15">
      <c r="B164" s="34" t="s">
        <v>186</v>
      </c>
      <c r="C164" s="29" t="s">
        <v>188</v>
      </c>
      <c r="D164" s="29" t="s">
        <v>190</v>
      </c>
      <c r="E164" s="4"/>
      <c r="J164" s="190" t="s">
        <v>216</v>
      </c>
      <c r="K164" s="191" t="s">
        <v>41</v>
      </c>
      <c r="L164" s="208">
        <v>4</v>
      </c>
      <c r="M164" s="237">
        <f>_xlfn.LET(
  _xlpm.analyte, SensorLab[[#This Row],[Analyte]],
  _xlpm.raw, N(SensorLab[[#This Row],[Raw_Value]]),
  _xlpm.scaleF, IFERROR(
    _xlfn.XLOOKUP(_xlpm.analyte, CalibrationCoefficients[Analyte], CalibrationCoefficients[ScaleFactor]),
    1
  ),
  IF(AND(_xlpm.analyte&lt;&gt;"", ISNUMBER(_xlpm.raw)), _xlpm.raw * _xlpm.scaleF, "NA")
)</f>
        <v>4</v>
      </c>
      <c r="N164" s="194"/>
      <c r="O164" s="41">
        <v>97</v>
      </c>
      <c r="P164" s="41"/>
      <c r="Q164" s="208" cm="1">
        <f t="array" ref="Q16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97</v>
      </c>
      <c r="R164" s="237" cm="1">
        <f t="array" ref="R16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112.76069</v>
      </c>
      <c r="S164" s="238" cm="1">
        <f t="array" ref="S16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99.060720000000003</v>
      </c>
      <c r="T164" s="238" cm="1">
        <f t="array" ref="T16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-2.0607199999999999</v>
      </c>
      <c r="U164" s="41" t="str" cm="1">
        <f t="array" ref="U16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109.08800 and 112.06800</v>
      </c>
      <c r="V164" s="22"/>
    </row>
    <row r="165" spans="2:22" x14ac:dyDescent="0.15">
      <c r="B165" s="34" t="s">
        <v>187</v>
      </c>
      <c r="C165" s="29" t="s">
        <v>195</v>
      </c>
      <c r="D165" s="29" t="s">
        <v>190</v>
      </c>
      <c r="J165" s="190" t="s">
        <v>216</v>
      </c>
      <c r="K165" s="127" t="s">
        <v>52</v>
      </c>
      <c r="L165" s="208">
        <v>115</v>
      </c>
      <c r="M165" s="237">
        <f>_xlfn.LET(
  _xlpm.analyte, SensorLab[[#This Row],[Analyte]],
  _xlpm.raw, N(SensorLab[[#This Row],[Raw_Value]]),
  _xlpm.scaleF, IFERROR(
    _xlfn.XLOOKUP(_xlpm.analyte, CalibrationCoefficients[Analyte], CalibrationCoefficients[ScaleFactor]),
    1
  ),
  IF(AND(_xlpm.analyte&lt;&gt;"", ISNUMBER(_xlpm.raw)), _xlpm.raw * _xlpm.scaleF, "NA")
)</f>
        <v>0.115</v>
      </c>
      <c r="N165" s="194"/>
      <c r="O165" s="41">
        <v>0.7</v>
      </c>
      <c r="P165" s="41"/>
      <c r="Q165" s="208" cm="1">
        <f t="array" ref="Q165">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0.7</v>
      </c>
      <c r="R165" s="237" cm="1">
        <f t="array" ref="R16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0.99109000000000003</v>
      </c>
      <c r="S165" s="238" cm="1">
        <f t="array" ref="S16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0.95886000000000005</v>
      </c>
      <c r="T165" s="238" cm="1">
        <f t="array" ref="T16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-0.25885999999999998</v>
      </c>
      <c r="U165" s="41" t="str" cm="1">
        <f t="array" ref="U16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0.99792 and 0.86100</v>
      </c>
      <c r="V165" s="22"/>
    </row>
    <row r="166" spans="2:22" x14ac:dyDescent="0.15">
      <c r="J166" s="190" t="s">
        <v>216</v>
      </c>
      <c r="K166" s="127" t="s">
        <v>34</v>
      </c>
      <c r="L166" s="208">
        <v>83</v>
      </c>
      <c r="M166" s="237">
        <f>_xlfn.LET(
  _xlpm.analyte, SensorLab[[#This Row],[Analyte]],
  _xlpm.raw, N(SensorLab[[#This Row],[Raw_Value]]),
  _xlpm.scaleF, IFERROR(
    _xlfn.XLOOKUP(_xlpm.analyte, CalibrationCoefficients[Analyte], CalibrationCoefficients[ScaleFactor]),
    1
  ),
  IF(AND(_xlpm.analyte&lt;&gt;"", ISNUMBER(_xlpm.raw)), _xlpm.raw * _xlpm.scaleF, "NA")
)</f>
        <v>8.3000000000000007</v>
      </c>
      <c r="N166" s="194"/>
      <c r="O166" s="41">
        <v>7.73</v>
      </c>
      <c r="P166" s="41"/>
      <c r="Q166" s="208" cm="1">
        <f t="array" ref="Q16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7.73</v>
      </c>
      <c r="R166" s="237" cm="1">
        <f t="array" ref="R16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7.84436</v>
      </c>
      <c r="S166" s="238" cm="1">
        <f t="array" ref="S16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7.8114499999999998</v>
      </c>
      <c r="T166" s="238" cm="1">
        <f t="array" ref="T16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-8.1449999999999995E-2</v>
      </c>
      <c r="U166" s="41" t="str" cm="1">
        <f t="array" ref="U16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-0.08145)</v>
      </c>
      <c r="V166" s="22"/>
    </row>
    <row r="167" spans="2:22" x14ac:dyDescent="0.15">
      <c r="B167" s="171" t="s">
        <v>200</v>
      </c>
      <c r="C167" s="171" t="s">
        <v>201</v>
      </c>
      <c r="D167" s="171" t="s">
        <v>202</v>
      </c>
      <c r="J167" s="190" t="s">
        <v>216</v>
      </c>
      <c r="K167" s="127" t="s">
        <v>90</v>
      </c>
      <c r="L167" s="208">
        <v>159</v>
      </c>
      <c r="M167" s="237">
        <f>_xlfn.LET(
  _xlpm.analyte, SensorLab[[#This Row],[Analyte]],
  _xlpm.raw, N(SensorLab[[#This Row],[Raw_Value]]),
  _xlpm.scaleF, IFERROR(
    _xlfn.XLOOKUP(_xlpm.analyte, CalibrationCoefficients[Analyte], CalibrationCoefficients[ScaleFactor]),
    1
  ),
  IF(AND(_xlpm.analyte&lt;&gt;"", ISNUMBER(_xlpm.raw)), _xlpm.raw * _xlpm.scaleF, "NA")
)</f>
        <v>15.9</v>
      </c>
      <c r="N167" s="194"/>
      <c r="O167" s="41">
        <v>15.9</v>
      </c>
      <c r="P167" s="41"/>
      <c r="Q167" s="208" cm="1">
        <f t="array" ref="Q167">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15.9</v>
      </c>
      <c r="R167" s="237" cm="1">
        <f t="array" ref="R16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15.92625</v>
      </c>
      <c r="S167" s="238" cm="1">
        <f t="array" ref="S16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15.889670000000001</v>
      </c>
      <c r="T167" s="238" cm="1">
        <f t="array" ref="T16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-8.1103299999999994</v>
      </c>
      <c r="U167" s="41" t="str" cm="1">
        <f t="array" ref="U16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0.01033)</v>
      </c>
      <c r="V167" s="22"/>
    </row>
    <row r="168" spans="2:22" x14ac:dyDescent="0.15">
      <c r="B168" s="4">
        <v>0</v>
      </c>
      <c r="C168" s="4">
        <v>10</v>
      </c>
      <c r="D168" s="4">
        <v>1.1000000000000001</v>
      </c>
      <c r="J168" s="190" t="s">
        <v>216</v>
      </c>
      <c r="K168" s="191" t="s">
        <v>43</v>
      </c>
      <c r="L168" s="208">
        <v>198</v>
      </c>
      <c r="M168" s="237">
        <f>_xlfn.LET(
  _xlpm.analyte, SensorLab[[#This Row],[Analyte]],
  _xlpm.raw, N(SensorLab[[#This Row],[Raw_Value]]),
  _xlpm.scaleF, IFERROR(
    _xlfn.XLOOKUP(_xlpm.analyte, CalibrationCoefficients[Analyte], CalibrationCoefficients[ScaleFactor]),
    1
  ),
  IF(AND(_xlpm.analyte&lt;&gt;"", ISNUMBER(_xlpm.raw)), _xlpm.raw * _xlpm.scaleF, "NA")
)</f>
        <v>19.8</v>
      </c>
      <c r="N168" s="194"/>
      <c r="O168" s="41">
        <v>19.8</v>
      </c>
      <c r="P168" s="41"/>
      <c r="Q168" s="208" cm="1">
        <f t="array" ref="Q16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19.8</v>
      </c>
      <c r="R168" s="237" cm="1">
        <f t="array" ref="R16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19.785869999999999</v>
      </c>
      <c r="S168" s="238" cm="1">
        <f t="array" ref="S16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19.79928</v>
      </c>
      <c r="T168" s="238" cm="1">
        <f t="array" ref="T16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-0.20072000000000045</v>
      </c>
      <c r="U168" s="41" t="str" cm="1">
        <f t="array" ref="U16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19.80000 and 19.80000</v>
      </c>
      <c r="V168" s="22"/>
    </row>
    <row r="169" spans="2:22" x14ac:dyDescent="0.15">
      <c r="B169" s="4">
        <v>10</v>
      </c>
      <c r="C169" s="4">
        <v>14</v>
      </c>
      <c r="D169" s="4">
        <v>1</v>
      </c>
      <c r="J169" s="190" t="s">
        <v>216</v>
      </c>
      <c r="K169" s="191" t="s">
        <v>45</v>
      </c>
      <c r="L169" s="208">
        <v>5.1999999999999995E-4</v>
      </c>
      <c r="M169" s="237">
        <f>_xlfn.LET(
  _xlpm.analyte, SensorLab[[#This Row],[Analyte]],
  _xlpm.raw, N(SensorLab[[#This Row],[Raw_Value]]),
  _xlpm.scaleF, IFERROR(
    _xlfn.XLOOKUP(_xlpm.analyte, CalibrationCoefficients[Analyte], CalibrationCoefficients[ScaleFactor]),
    1
  ),
  IF(AND(_xlpm.analyte&lt;&gt;"", ISNUMBER(_xlpm.raw)), _xlpm.raw * _xlpm.scaleF, "NA")
)</f>
        <v>5.1999999999999995E-4</v>
      </c>
      <c r="N169" s="194"/>
      <c r="O169" s="41">
        <v>0.74</v>
      </c>
      <c r="P169" s="41"/>
      <c r="Q169" s="208" cm="1">
        <f t="array" ref="Q169">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0.74</v>
      </c>
      <c r="R169" s="237" cm="1">
        <f t="array" ref="R16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0.60409999999999997</v>
      </c>
      <c r="S169" s="238" cm="1">
        <f t="array" ref="S16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0.6</v>
      </c>
      <c r="T169" s="238" cm="1">
        <f t="array" ref="T16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0.14000000000000001</v>
      </c>
      <c r="U169" s="41" t="str" cm="1">
        <f t="array" ref="U16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0.14000)</v>
      </c>
      <c r="V169" s="22"/>
    </row>
    <row r="170" spans="2:22" x14ac:dyDescent="0.15">
      <c r="B170" s="4">
        <v>15</v>
      </c>
      <c r="C170" s="4">
        <v>20</v>
      </c>
      <c r="D170" s="4">
        <v>0.85</v>
      </c>
      <c r="J170" s="190" t="s">
        <v>216</v>
      </c>
      <c r="K170" s="127" t="s">
        <v>0</v>
      </c>
      <c r="L170" s="208">
        <v>50.73</v>
      </c>
      <c r="M170" s="237">
        <f>_xlfn.LET(
  _xlpm.analyte, SensorLab[[#This Row],[Analyte]],
  _xlpm.raw, N(SensorLab[[#This Row],[Raw_Value]]),
  _xlpm.scaleF, IFERROR(
    _xlfn.XLOOKUP(_xlpm.analyte, CalibrationCoefficients[Analyte], CalibrationCoefficients[ScaleFactor]),
    1
  ),
  IF(AND(_xlpm.analyte&lt;&gt;"", ISNUMBER(_xlpm.raw)), _xlpm.raw * _xlpm.scaleF, "NA")
)</f>
        <v>50.73</v>
      </c>
      <c r="N170" s="41"/>
      <c r="O170" s="41">
        <v>15</v>
      </c>
      <c r="P170" s="41"/>
      <c r="Q170" s="208" cm="1">
        <f t="array" ref="Q17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15</v>
      </c>
      <c r="R170" s="237" cm="1">
        <f t="array" ref="R17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15</v>
      </c>
      <c r="S170" s="238" cm="1">
        <f t="array" ref="S17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15</v>
      </c>
      <c r="T170" s="238" cm="1">
        <f t="array" ref="T17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170" s="41" t="str" cm="1">
        <f t="array" ref="U17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170" s="22"/>
    </row>
    <row r="171" spans="2:22" x14ac:dyDescent="0.15">
      <c r="J171" s="190" t="s">
        <v>216</v>
      </c>
      <c r="K171" s="127" t="s">
        <v>5</v>
      </c>
      <c r="L171" s="208">
        <v>34.11</v>
      </c>
      <c r="M171" s="237">
        <f>_xlfn.LET(
  _xlpm.analyte, SensorLab[[#This Row],[Analyte]],
  _xlpm.raw, N(SensorLab[[#This Row],[Raw_Value]]),
  _xlpm.scaleF, IFERROR(
    _xlfn.XLOOKUP(_xlpm.analyte, CalibrationCoefficients[Analyte], CalibrationCoefficients[ScaleFactor]),
    1
  ),
  IF(AND(_xlpm.analyte&lt;&gt;"", ISNUMBER(_xlpm.raw)), _xlpm.raw * _xlpm.scaleF, "NA")
)</f>
        <v>34.11</v>
      </c>
      <c r="N171" s="41"/>
      <c r="O171" s="41">
        <v>70</v>
      </c>
      <c r="P171" s="41"/>
      <c r="Q171" s="208" cm="1">
        <f t="array" ref="Q171">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70</v>
      </c>
      <c r="R171" s="237" cm="1">
        <f t="array" ref="R17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70</v>
      </c>
      <c r="S171" s="238" cm="1">
        <f t="array" ref="S17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70</v>
      </c>
      <c r="T171" s="238" cm="1">
        <f t="array" ref="T17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171" s="41" t="str" cm="1">
        <f t="array" ref="U17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70.00000 and 66.40764</v>
      </c>
      <c r="V171" s="22"/>
    </row>
    <row r="172" spans="2:22" x14ac:dyDescent="0.15">
      <c r="J172" s="190" t="s">
        <v>216</v>
      </c>
      <c r="K172" s="127" t="s">
        <v>6</v>
      </c>
      <c r="L172" s="208">
        <v>15.16</v>
      </c>
      <c r="M172" s="237">
        <f>_xlfn.LET(
  _xlpm.analyte, SensorLab[[#This Row],[Analyte]],
  _xlpm.raw, N(SensorLab[[#This Row],[Raw_Value]]),
  _xlpm.scaleF, IFERROR(
    _xlfn.XLOOKUP(_xlpm.analyte, CalibrationCoefficients[Analyte], CalibrationCoefficients[ScaleFactor]),
    1
  ),
  IF(AND(_xlpm.analyte&lt;&gt;"", ISNUMBER(_xlpm.raw)), _xlpm.raw * _xlpm.scaleF, "NA")
)</f>
        <v>15.16</v>
      </c>
      <c r="N172" s="41"/>
      <c r="O172" s="41">
        <v>15</v>
      </c>
      <c r="P172" s="41"/>
      <c r="Q172" s="208" cm="1">
        <f t="array" ref="Q17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15</v>
      </c>
      <c r="R172" s="237" cm="1">
        <f t="array" ref="R17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15</v>
      </c>
      <c r="S172" s="238" cm="1">
        <f t="array" ref="S17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15</v>
      </c>
      <c r="T172" s="238" cm="1">
        <f t="array" ref="T17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172" s="41" t="str" cm="1">
        <f t="array" ref="U17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172" s="22"/>
    </row>
    <row r="173" spans="2:22" ht="11.25" thickBot="1" x14ac:dyDescent="0.2">
      <c r="J173" s="190" t="s">
        <v>216</v>
      </c>
      <c r="K173" s="193" t="s">
        <v>69</v>
      </c>
      <c r="L173" s="255" t="str" cm="1">
        <f t="array" ref="L173">_xlfn.LET(
  _xlpm.bs,L170, _xlpm.si,L171, _xlpm.c,L172,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M173" s="256" t="str" cm="1">
        <f t="array" ref="M173">_xlfn.LET(
  _xlpm.bs,M170, _xlpm.si,M171, _xlpm.c,M172,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N173" s="245" t="str" cm="1">
        <f t="array" ref="N173">_xlfn.LET(
  _xlpm.bs,N170, _xlpm.si,N171, _xlpm.c,N172,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173" s="245" t="str" cm="1">
        <f t="array" ref="O173">_xlfn.LET(
  _xlpm.bs,O170, _xlpm.si,O171, _xlpm.c,O172,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P173" s="245" t="str" cm="1">
        <f t="array" ref="P173">_xlfn.LET(
  _xlpm.bs,P170, _xlpm.si,P171, _xlpm.c,P172,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173" s="255" t="str" cm="1">
        <f t="array" ref="Q173">_xlfn.LET(
  _xlpm.bs,Q170, _xlpm.si,Q171, _xlpm.c,Q172,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R173" s="256" t="str" cm="1">
        <f t="array" ref="R173">_xlfn.LET(
  _xlpm.bs,R170, _xlpm.si,R171, _xlpm.c,R172,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S173" s="256" t="str" cm="1">
        <f t="array" ref="S173">_xlfn.LET(
  _xlpm.bs,S170, _xlpm.si,S171, _xlpm.c,S172,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T173" s="240" cm="1">
        <f t="array" ref="T17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173" s="229" t="str" cm="1">
        <f t="array" ref="U17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(Texture match: Silt Loam)</v>
      </c>
      <c r="V173" s="22"/>
    </row>
    <row r="174" spans="2:22" x14ac:dyDescent="0.15">
      <c r="J174" s="188" t="s">
        <v>217</v>
      </c>
      <c r="K174" s="189" t="s">
        <v>39</v>
      </c>
      <c r="L174" s="207">
        <v>0</v>
      </c>
      <c r="M174" s="239">
        <f>_xlfn.LET(
  _xlpm.analyte, SensorLab[[#This Row],[Analyte]],
  _xlpm.raw, N(SensorLab[[#This Row],[Raw_Value]]),
  _xlpm.scaleF, IFERROR(
    _xlfn.XLOOKUP(_xlpm.analyte, CalibrationCoefficients[Analyte], CalibrationCoefficients[ScaleFactor]),
    1
  ),
  IF(AND(_xlpm.analyte&lt;&gt;"", ISNUMBER(_xlpm.raw)), _xlpm.raw * _xlpm.scaleF, "NA")
)</f>
        <v>0</v>
      </c>
      <c r="N174" s="227"/>
      <c r="O174" s="228">
        <v>2</v>
      </c>
      <c r="P174" s="228"/>
      <c r="Q174" s="207" cm="1">
        <f t="array" ref="Q17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v>
      </c>
      <c r="R174" s="239" cm="1">
        <f t="array" ref="R17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0.44663000000000003</v>
      </c>
      <c r="S174" s="241" cm="1">
        <f t="array" ref="S17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v>
      </c>
      <c r="T174" s="241" cm="1">
        <f t="array" ref="T17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-8</v>
      </c>
      <c r="U174" s="228" t="str" cm="1">
        <f t="array" ref="U17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1.17402 and 0.44663</v>
      </c>
      <c r="V174" s="22"/>
    </row>
    <row r="175" spans="2:22" x14ac:dyDescent="0.15">
      <c r="J175" s="190" t="s">
        <v>217</v>
      </c>
      <c r="K175" s="191" t="s">
        <v>40</v>
      </c>
      <c r="L175" s="208">
        <v>7</v>
      </c>
      <c r="M175" s="237">
        <f>_xlfn.LET(
  _xlpm.analyte, SensorLab[[#This Row],[Analyte]],
  _xlpm.raw, N(SensorLab[[#This Row],[Raw_Value]]),
  _xlpm.scaleF, IFERROR(
    _xlfn.XLOOKUP(_xlpm.analyte, CalibrationCoefficients[Analyte], CalibrationCoefficients[ScaleFactor]),
    1
  ),
  IF(AND(_xlpm.analyte&lt;&gt;"", ISNUMBER(_xlpm.raw)), _xlpm.raw * _xlpm.scaleF, "NA")
)</f>
        <v>7</v>
      </c>
      <c r="N175" s="194"/>
      <c r="O175" s="41">
        <v>5.38</v>
      </c>
      <c r="P175" s="41"/>
      <c r="Q175" s="208" cm="1">
        <f t="array" ref="Q175">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5.38</v>
      </c>
      <c r="R175" s="237" cm="1">
        <f t="array" ref="R17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5.4891899999999998</v>
      </c>
      <c r="S175" s="238" cm="1">
        <f t="array" ref="S17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4.2991599999999996</v>
      </c>
      <c r="T175" s="238" cm="1">
        <f t="array" ref="T17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-1.7008400000000004</v>
      </c>
      <c r="U175" s="41" t="str" cm="1">
        <f t="array" ref="U17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5.80482 and 6.92482</v>
      </c>
      <c r="V175" s="22"/>
    </row>
    <row r="176" spans="2:22" x14ac:dyDescent="0.15">
      <c r="J176" s="190" t="s">
        <v>217</v>
      </c>
      <c r="K176" s="191" t="s">
        <v>41</v>
      </c>
      <c r="L176" s="208">
        <v>0</v>
      </c>
      <c r="M176"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176" s="194"/>
      <c r="O176" s="41">
        <v>97</v>
      </c>
      <c r="P176" s="41"/>
      <c r="Q176" s="208" cm="1">
        <f t="array" ref="Q17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97</v>
      </c>
      <c r="R176" s="237" cm="1">
        <f t="array" ref="R17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111.50391999999999</v>
      </c>
      <c r="S176" s="238" cm="1">
        <f t="array" ref="S17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97.80395</v>
      </c>
      <c r="T176" s="238" cm="1">
        <f t="array" ref="T17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-0.80395000000000005</v>
      </c>
      <c r="U176" s="41" t="str" cm="1">
        <f t="array" ref="U17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107.71054 and 110.69054</v>
      </c>
      <c r="V176" s="22"/>
    </row>
    <row r="177" spans="10:22" x14ac:dyDescent="0.15">
      <c r="J177" s="190" t="s">
        <v>217</v>
      </c>
      <c r="K177" s="127" t="s">
        <v>52</v>
      </c>
      <c r="L177" s="208">
        <v>105</v>
      </c>
      <c r="M177" s="237">
        <f>_xlfn.LET(
  _xlpm.analyte, SensorLab[[#This Row],[Analyte]],
  _xlpm.raw, N(SensorLab[[#This Row],[Raw_Value]]),
  _xlpm.scaleF, IFERROR(
    _xlfn.XLOOKUP(_xlpm.analyte, CalibrationCoefficients[Analyte], CalibrationCoefficients[ScaleFactor]),
    1
  ),
  IF(AND(_xlpm.analyte&lt;&gt;"", ISNUMBER(_xlpm.raw)), _xlpm.raw * _xlpm.scaleF, "NA")
)</f>
        <v>0.105</v>
      </c>
      <c r="N177" s="194"/>
      <c r="O177" s="41">
        <v>1.1299999999999999</v>
      </c>
      <c r="P177" s="41"/>
      <c r="Q177" s="208" cm="1">
        <f t="array" ref="Q177">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1.1299999999999999</v>
      </c>
      <c r="R177" s="237" cm="1">
        <f t="array" ref="R17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0.98453999999999997</v>
      </c>
      <c r="S177" s="238" cm="1">
        <f t="array" ref="S17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0.95230999999999999</v>
      </c>
      <c r="T177" s="238" cm="1">
        <f t="array" ref="T17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0.17768999999999999</v>
      </c>
      <c r="U177" s="41" t="str" cm="1">
        <f t="array" ref="U17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0.99576 and 1.09576</v>
      </c>
      <c r="V177" s="22"/>
    </row>
    <row r="178" spans="10:22" x14ac:dyDescent="0.15">
      <c r="J178" s="190" t="s">
        <v>217</v>
      </c>
      <c r="K178" s="127" t="s">
        <v>34</v>
      </c>
      <c r="L178" s="208">
        <v>77</v>
      </c>
      <c r="M178" s="237">
        <f>_xlfn.LET(
  _xlpm.analyte, SensorLab[[#This Row],[Analyte]],
  _xlpm.raw, N(SensorLab[[#This Row],[Raw_Value]]),
  _xlpm.scaleF, IFERROR(
    _xlfn.XLOOKUP(_xlpm.analyte, CalibrationCoefficients[Analyte], CalibrationCoefficients[ScaleFactor]),
    1
  ),
  IF(AND(_xlpm.analyte&lt;&gt;"", ISNUMBER(_xlpm.raw)), _xlpm.raw * _xlpm.scaleF, "NA")
)</f>
        <v>7.7</v>
      </c>
      <c r="N178" s="194"/>
      <c r="O178" s="41">
        <v>7.58</v>
      </c>
      <c r="P178" s="41"/>
      <c r="Q178" s="208" cm="1">
        <f t="array" ref="Q17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7.58</v>
      </c>
      <c r="R178" s="237" cm="1">
        <f t="array" ref="R17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7.8717800000000002</v>
      </c>
      <c r="S178" s="238" cm="1">
        <f t="array" ref="S17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7.83887</v>
      </c>
      <c r="T178" s="238" cm="1">
        <f t="array" ref="T17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-0.25886999999999999</v>
      </c>
      <c r="U178" s="41" t="str" cm="1">
        <f t="array" ref="U17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-0.25887)</v>
      </c>
      <c r="V178" s="22"/>
    </row>
    <row r="179" spans="10:22" x14ac:dyDescent="0.15">
      <c r="J179" s="190" t="s">
        <v>217</v>
      </c>
      <c r="K179" s="127" t="s">
        <v>90</v>
      </c>
      <c r="L179" s="208">
        <v>175</v>
      </c>
      <c r="M179" s="237">
        <f>_xlfn.LET(
  _xlpm.analyte, SensorLab[[#This Row],[Analyte]],
  _xlpm.raw, N(SensorLab[[#This Row],[Raw_Value]]),
  _xlpm.scaleF, IFERROR(
    _xlfn.XLOOKUP(_xlpm.analyte, CalibrationCoefficients[Analyte], CalibrationCoefficients[ScaleFactor]),
    1
  ),
  IF(AND(_xlpm.analyte&lt;&gt;"", ISNUMBER(_xlpm.raw)), _xlpm.raw * _xlpm.scaleF, "NA")
)</f>
        <v>17.5</v>
      </c>
      <c r="N179" s="194"/>
      <c r="O179" s="41">
        <v>17.5</v>
      </c>
      <c r="P179" s="41"/>
      <c r="Q179" s="208" cm="1">
        <f t="array" ref="Q179">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17.5</v>
      </c>
      <c r="R179" s="237" cm="1">
        <f t="array" ref="R17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17.5593</v>
      </c>
      <c r="S179" s="238" cm="1">
        <f t="array" ref="S17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17.52272</v>
      </c>
      <c r="T179" s="238" cm="1">
        <f t="array" ref="T17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-6.4772800000000004</v>
      </c>
      <c r="U179" s="41" t="str" cm="1">
        <f t="array" ref="U17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-0.02272)</v>
      </c>
      <c r="V179" s="22"/>
    </row>
    <row r="180" spans="10:22" x14ac:dyDescent="0.15">
      <c r="J180" s="190" t="s">
        <v>217</v>
      </c>
      <c r="K180" s="191" t="s">
        <v>43</v>
      </c>
      <c r="L180" s="208">
        <v>222</v>
      </c>
      <c r="M180" s="237">
        <f>_xlfn.LET(
  _xlpm.analyte, SensorLab[[#This Row],[Analyte]],
  _xlpm.raw, N(SensorLab[[#This Row],[Raw_Value]]),
  _xlpm.scaleF, IFERROR(
    _xlfn.XLOOKUP(_xlpm.analyte, CalibrationCoefficients[Analyte], CalibrationCoefficients[ScaleFactor]),
    1
  ),
  IF(AND(_xlpm.analyte&lt;&gt;"", ISNUMBER(_xlpm.raw)), _xlpm.raw * _xlpm.scaleF, "NA")
)</f>
        <v>22.200000000000003</v>
      </c>
      <c r="N180" s="194"/>
      <c r="O180" s="41">
        <v>22.2</v>
      </c>
      <c r="P180" s="41"/>
      <c r="Q180" s="208" cm="1">
        <f t="array" ref="Q18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22.2</v>
      </c>
      <c r="R180" s="237" cm="1">
        <f t="array" ref="R18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22.18647</v>
      </c>
      <c r="S180" s="238" cm="1">
        <f t="array" ref="S18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22.19988</v>
      </c>
      <c r="T180" s="238" cm="1">
        <f t="array" ref="T18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1.2E-4</v>
      </c>
      <c r="U180" s="41" t="str" cm="1">
        <f t="array" ref="U18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22.20000 and 22.20000</v>
      </c>
      <c r="V180" s="22"/>
    </row>
    <row r="181" spans="10:22" x14ac:dyDescent="0.15">
      <c r="J181" s="190" t="s">
        <v>217</v>
      </c>
      <c r="K181" s="191" t="s">
        <v>45</v>
      </c>
      <c r="L181" s="208">
        <v>5.1999999999999995E-4</v>
      </c>
      <c r="M181" s="237">
        <f>_xlfn.LET(
  _xlpm.analyte, SensorLab[[#This Row],[Analyte]],
  _xlpm.raw, N(SensorLab[[#This Row],[Raw_Value]]),
  _xlpm.scaleF, IFERROR(
    _xlfn.XLOOKUP(_xlpm.analyte, CalibrationCoefficients[Analyte], CalibrationCoefficients[ScaleFactor]),
    1
  ),
  IF(AND(_xlpm.analyte&lt;&gt;"", ISNUMBER(_xlpm.raw)), _xlpm.raw * _xlpm.scaleF, "NA")
)</f>
        <v>5.1999999999999995E-4</v>
      </c>
      <c r="N181" s="194"/>
      <c r="O181" s="41">
        <v>0.44</v>
      </c>
      <c r="P181" s="41"/>
      <c r="Q181" s="208" cm="1">
        <f t="array" ref="Q181">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0.44</v>
      </c>
      <c r="R181" s="237" cm="1">
        <f t="array" ref="R18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0.60409999999999997</v>
      </c>
      <c r="S181" s="238" cm="1">
        <f t="array" ref="S18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0.6</v>
      </c>
      <c r="T181" s="238" cm="1">
        <f t="array" ref="T18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-0.16</v>
      </c>
      <c r="U181" s="41" t="str" cm="1">
        <f t="array" ref="U18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-0.16000)</v>
      </c>
      <c r="V181" s="22"/>
    </row>
    <row r="182" spans="10:22" x14ac:dyDescent="0.15">
      <c r="J182" s="190" t="s">
        <v>217</v>
      </c>
      <c r="K182" s="127" t="s">
        <v>0</v>
      </c>
      <c r="L182" s="208">
        <v>50.19</v>
      </c>
      <c r="M182" s="237">
        <f>_xlfn.LET(
  _xlpm.analyte, SensorLab[[#This Row],[Analyte]],
  _xlpm.raw, N(SensorLab[[#This Row],[Raw_Value]]),
  _xlpm.scaleF, IFERROR(
    _xlfn.XLOOKUP(_xlpm.analyte, CalibrationCoefficients[Analyte], CalibrationCoefficients[ScaleFactor]),
    1
  ),
  IF(AND(_xlpm.analyte&lt;&gt;"", ISNUMBER(_xlpm.raw)), _xlpm.raw * _xlpm.scaleF, "NA")
)</f>
        <v>50.19</v>
      </c>
      <c r="N182" s="41"/>
      <c r="O182" s="41">
        <v>15</v>
      </c>
      <c r="P182" s="41"/>
      <c r="Q182" s="208" cm="1">
        <f t="array" ref="Q18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15</v>
      </c>
      <c r="R182" s="237" cm="1">
        <f t="array" ref="R18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15</v>
      </c>
      <c r="S182" s="238" cm="1">
        <f t="array" ref="S18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15</v>
      </c>
      <c r="T182" s="238" cm="1">
        <f t="array" ref="T18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182" s="41" t="str" cm="1">
        <f t="array" ref="U18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182" s="22"/>
    </row>
    <row r="183" spans="10:22" x14ac:dyDescent="0.15">
      <c r="J183" s="190" t="s">
        <v>217</v>
      </c>
      <c r="K183" s="127" t="s">
        <v>5</v>
      </c>
      <c r="L183" s="208">
        <v>34.4</v>
      </c>
      <c r="M183" s="237">
        <f>_xlfn.LET(
  _xlpm.analyte, SensorLab[[#This Row],[Analyte]],
  _xlpm.raw, N(SensorLab[[#This Row],[Raw_Value]]),
  _xlpm.scaleF, IFERROR(
    _xlfn.XLOOKUP(_xlpm.analyte, CalibrationCoefficients[Analyte], CalibrationCoefficients[ScaleFactor]),
    1
  ),
  IF(AND(_xlpm.analyte&lt;&gt;"", ISNUMBER(_xlpm.raw)), _xlpm.raw * _xlpm.scaleF, "NA")
)</f>
        <v>34.4</v>
      </c>
      <c r="N183" s="41"/>
      <c r="O183" s="41">
        <v>67.5</v>
      </c>
      <c r="P183" s="41"/>
      <c r="Q183" s="208" cm="1">
        <f t="array" ref="Q183">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67.5</v>
      </c>
      <c r="R183" s="237" cm="1">
        <f t="array" ref="R18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67.5</v>
      </c>
      <c r="S183" s="238" cm="1">
        <f t="array" ref="S18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67.5</v>
      </c>
      <c r="T183" s="238" cm="1">
        <f t="array" ref="T18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183" s="41" t="str" cm="1">
        <f t="array" ref="U18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67.50000 and 66.34983</v>
      </c>
      <c r="V183" s="22"/>
    </row>
    <row r="184" spans="10:22" x14ac:dyDescent="0.15">
      <c r="J184" s="190" t="s">
        <v>217</v>
      </c>
      <c r="K184" s="127" t="s">
        <v>6</v>
      </c>
      <c r="L184" s="208">
        <v>15.41</v>
      </c>
      <c r="M184" s="237">
        <f>_xlfn.LET(
  _xlpm.analyte, SensorLab[[#This Row],[Analyte]],
  _xlpm.raw, N(SensorLab[[#This Row],[Raw_Value]]),
  _xlpm.scaleF, IFERROR(
    _xlfn.XLOOKUP(_xlpm.analyte, CalibrationCoefficients[Analyte], CalibrationCoefficients[ScaleFactor]),
    1
  ),
  IF(AND(_xlpm.analyte&lt;&gt;"", ISNUMBER(_xlpm.raw)), _xlpm.raw * _xlpm.scaleF, "NA")
)</f>
        <v>15.41</v>
      </c>
      <c r="N184" s="41"/>
      <c r="O184" s="41">
        <v>17.5</v>
      </c>
      <c r="P184" s="41"/>
      <c r="Q184" s="208" cm="1">
        <f t="array" ref="Q18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17.5</v>
      </c>
      <c r="R184" s="237" cm="1">
        <f t="array" ref="R18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17.5</v>
      </c>
      <c r="S184" s="238" cm="1">
        <f t="array" ref="S18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17.5</v>
      </c>
      <c r="T184" s="238" cm="1">
        <f t="array" ref="T18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184" s="41" t="str" cm="1">
        <f t="array" ref="U18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184" s="22"/>
    </row>
    <row r="185" spans="10:22" ht="11.25" thickBot="1" x14ac:dyDescent="0.2">
      <c r="J185" s="190" t="s">
        <v>217</v>
      </c>
      <c r="K185" s="193" t="s">
        <v>69</v>
      </c>
      <c r="L185" s="255" t="str" cm="1">
        <f t="array" ref="L185">_xlfn.LET(
  _xlpm.bs,L182, _xlpm.si,L183, _xlpm.c,L184,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M185" s="256" t="str" cm="1">
        <f t="array" ref="M185">_xlfn.LET(
  _xlpm.bs,M182, _xlpm.si,M183, _xlpm.c,M184,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N185" s="245" t="str" cm="1">
        <f t="array" ref="N185">_xlfn.LET(
  _xlpm.bs,N182, _xlpm.si,N183, _xlpm.c,N184,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185" s="245" t="str" cm="1">
        <f t="array" ref="O185">_xlfn.LET(
  _xlpm.bs,O182, _xlpm.si,O183, _xlpm.c,O184,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P185" s="245" t="str" cm="1">
        <f t="array" ref="P185">_xlfn.LET(
  _xlpm.bs,P182, _xlpm.si,P183, _xlpm.c,P184,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185" s="255" t="str" cm="1">
        <f t="array" ref="Q185">_xlfn.LET(
  _xlpm.bs,Q182, _xlpm.si,Q183, _xlpm.c,Q184,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R185" s="256" t="str" cm="1">
        <f t="array" ref="R185">_xlfn.LET(
  _xlpm.bs,R182, _xlpm.si,R183, _xlpm.c,R184,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S185" s="256" t="str" cm="1">
        <f t="array" ref="S185">_xlfn.LET(
  _xlpm.bs,S182, _xlpm.si,S183, _xlpm.c,S184,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T185" s="240" cm="1">
        <f t="array" ref="T18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185" s="229" t="str" cm="1">
        <f t="array" ref="U18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(Texture match: Silt Loam)</v>
      </c>
      <c r="V185" s="22"/>
    </row>
    <row r="186" spans="10:22" x14ac:dyDescent="0.15">
      <c r="J186" s="188" t="s">
        <v>218</v>
      </c>
      <c r="K186" s="189" t="s">
        <v>39</v>
      </c>
      <c r="L186" s="207">
        <v>0</v>
      </c>
      <c r="M186" s="239">
        <f>_xlfn.LET(
  _xlpm.analyte, SensorLab[[#This Row],[Analyte]],
  _xlpm.raw, N(SensorLab[[#This Row],[Raw_Value]]),
  _xlpm.scaleF, IFERROR(
    _xlfn.XLOOKUP(_xlpm.analyte, CalibrationCoefficients[Analyte], CalibrationCoefficients[ScaleFactor]),
    1
  ),
  IF(AND(_xlpm.analyte&lt;&gt;"", ISNUMBER(_xlpm.raw)), _xlpm.raw * _xlpm.scaleF, "NA")
)</f>
        <v>0</v>
      </c>
      <c r="N186" s="227"/>
      <c r="O186" s="228">
        <v>2</v>
      </c>
      <c r="P186" s="228"/>
      <c r="Q186" s="207" cm="1">
        <f t="array" ref="Q18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v>
      </c>
      <c r="R186" s="239" cm="1">
        <f t="array" ref="R18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0.44663000000000003</v>
      </c>
      <c r="S186" s="241" cm="1">
        <f t="array" ref="S18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v>
      </c>
      <c r="T186" s="241" cm="1">
        <f t="array" ref="T18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-6</v>
      </c>
      <c r="U186" s="228" t="str" cm="1">
        <f t="array" ref="U18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1.17402 and 0.44663</v>
      </c>
      <c r="V186" s="22"/>
    </row>
    <row r="187" spans="10:22" x14ac:dyDescent="0.15">
      <c r="J187" s="190" t="s">
        <v>218</v>
      </c>
      <c r="K187" s="191" t="s">
        <v>40</v>
      </c>
      <c r="L187" s="208">
        <v>0</v>
      </c>
      <c r="M187"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187" s="194"/>
      <c r="O187" s="41">
        <v>4.75</v>
      </c>
      <c r="P187" s="41"/>
      <c r="Q187" s="208" cm="1">
        <f t="array" ref="Q187">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4.75</v>
      </c>
      <c r="R187" s="237" cm="1">
        <f t="array" ref="R18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5.3140400000000003</v>
      </c>
      <c r="S187" s="238" cm="1">
        <f t="array" ref="S18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4.1240100000000002</v>
      </c>
      <c r="T187" s="238" cm="1">
        <f t="array" ref="T18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-0.87598999999999982</v>
      </c>
      <c r="U187" s="41" t="str" cm="1">
        <f t="array" ref="U18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5.70934 and 6.82934</v>
      </c>
      <c r="V187" s="22"/>
    </row>
    <row r="188" spans="10:22" x14ac:dyDescent="0.15">
      <c r="J188" s="190" t="s">
        <v>218</v>
      </c>
      <c r="K188" s="191" t="s">
        <v>41</v>
      </c>
      <c r="L188" s="208">
        <v>0</v>
      </c>
      <c r="M188"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188" s="194"/>
      <c r="O188" s="41">
        <v>85</v>
      </c>
      <c r="P188" s="41"/>
      <c r="Q188" s="208" cm="1">
        <f t="array" ref="Q18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85</v>
      </c>
      <c r="R188" s="237" cm="1">
        <f t="array" ref="R18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111.50391999999999</v>
      </c>
      <c r="S188" s="238" cm="1">
        <f t="array" ref="S18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97.80395</v>
      </c>
      <c r="T188" s="238" cm="1">
        <f t="array" ref="T18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-12.80395</v>
      </c>
      <c r="U188" s="41" t="str" cm="1">
        <f t="array" ref="U18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107.71054 and 110.69054</v>
      </c>
      <c r="V188" s="22"/>
    </row>
    <row r="189" spans="10:22" x14ac:dyDescent="0.15">
      <c r="J189" s="190" t="s">
        <v>218</v>
      </c>
      <c r="K189" s="127" t="s">
        <v>52</v>
      </c>
      <c r="L189" s="208">
        <v>60</v>
      </c>
      <c r="M189" s="237">
        <f>_xlfn.LET(
  _xlpm.analyte, SensorLab[[#This Row],[Analyte]],
  _xlpm.raw, N(SensorLab[[#This Row],[Raw_Value]]),
  _xlpm.scaleF, IFERROR(
    _xlfn.XLOOKUP(_xlpm.analyte, CalibrationCoefficients[Analyte], CalibrationCoefficients[ScaleFactor]),
    1
  ),
  IF(AND(_xlpm.analyte&lt;&gt;"", ISNUMBER(_xlpm.raw)), _xlpm.raw * _xlpm.scaleF, "NA")
)</f>
        <v>0.06</v>
      </c>
      <c r="N189" s="194"/>
      <c r="O189" s="41">
        <v>1</v>
      </c>
      <c r="P189" s="41"/>
      <c r="Q189" s="208" cm="1">
        <f t="array" ref="Q189">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v>
      </c>
      <c r="R189" s="237" cm="1">
        <f t="array" ref="R18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0.95504999999999995</v>
      </c>
      <c r="S189" s="238" cm="1">
        <f t="array" ref="S18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0.92281999999999997</v>
      </c>
      <c r="T189" s="238" cm="1">
        <f t="array" ref="T18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7.7179999999999999E-2</v>
      </c>
      <c r="U189" s="41" t="str" cm="1">
        <f t="array" ref="U18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0.98604 and 1.08604</v>
      </c>
      <c r="V189" s="22"/>
    </row>
    <row r="190" spans="10:22" x14ac:dyDescent="0.15">
      <c r="J190" s="190" t="s">
        <v>218</v>
      </c>
      <c r="K190" s="127" t="s">
        <v>34</v>
      </c>
      <c r="L190" s="208">
        <v>77</v>
      </c>
      <c r="M190" s="237">
        <f>_xlfn.LET(
  _xlpm.analyte, SensorLab[[#This Row],[Analyte]],
  _xlpm.raw, N(SensorLab[[#This Row],[Raw_Value]]),
  _xlpm.scaleF, IFERROR(
    _xlfn.XLOOKUP(_xlpm.analyte, CalibrationCoefficients[Analyte], CalibrationCoefficients[ScaleFactor]),
    1
  ),
  IF(AND(_xlpm.analyte&lt;&gt;"", ISNUMBER(_xlpm.raw)), _xlpm.raw * _xlpm.scaleF, "NA")
)</f>
        <v>7.7</v>
      </c>
      <c r="N190" s="194"/>
      <c r="O190" s="41">
        <v>7.68</v>
      </c>
      <c r="P190" s="41"/>
      <c r="Q190" s="208" cm="1">
        <f t="array" ref="Q19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7.68</v>
      </c>
      <c r="R190" s="237" cm="1">
        <f t="array" ref="R19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7.8717800000000002</v>
      </c>
      <c r="S190" s="238" cm="1">
        <f t="array" ref="S19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7.83887</v>
      </c>
      <c r="T190" s="238" cm="1">
        <f t="array" ref="T19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-0.15887000000000001</v>
      </c>
      <c r="U190" s="41" t="str" cm="1">
        <f t="array" ref="U19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-0.15887)</v>
      </c>
      <c r="V190" s="22"/>
    </row>
    <row r="191" spans="10:22" x14ac:dyDescent="0.15">
      <c r="J191" s="190" t="s">
        <v>218</v>
      </c>
      <c r="K191" s="127" t="s">
        <v>90</v>
      </c>
      <c r="L191" s="208">
        <v>189</v>
      </c>
      <c r="M191" s="237">
        <f>_xlfn.LET(
  _xlpm.analyte, SensorLab[[#This Row],[Analyte]],
  _xlpm.raw, N(SensorLab[[#This Row],[Raw_Value]]),
  _xlpm.scaleF, IFERROR(
    _xlfn.XLOOKUP(_xlpm.analyte, CalibrationCoefficients[Analyte], CalibrationCoefficients[ScaleFactor]),
    1
  ),
  IF(AND(_xlpm.analyte&lt;&gt;"", ISNUMBER(_xlpm.raw)), _xlpm.raw * _xlpm.scaleF, "NA")
)</f>
        <v>18.900000000000002</v>
      </c>
      <c r="N191" s="194"/>
      <c r="O191" s="41">
        <v>18.899999999999999</v>
      </c>
      <c r="P191" s="41"/>
      <c r="Q191" s="208" cm="1">
        <f t="array" ref="Q191">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18.899999999999999</v>
      </c>
      <c r="R191" s="237" cm="1">
        <f t="array" ref="R19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18.988209999999999</v>
      </c>
      <c r="S191" s="238" cm="1">
        <f t="array" ref="S19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18.951630000000002</v>
      </c>
      <c r="T191" s="238" cm="1">
        <f t="array" ref="T19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-5.0483699999999985</v>
      </c>
      <c r="U191" s="41" t="str" cm="1">
        <f t="array" ref="U19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18.85269 and 18.94731</v>
      </c>
      <c r="V191" s="22"/>
    </row>
    <row r="192" spans="10:22" x14ac:dyDescent="0.15">
      <c r="J192" s="190" t="s">
        <v>218</v>
      </c>
      <c r="K192" s="191" t="s">
        <v>43</v>
      </c>
      <c r="L192" s="208">
        <v>170</v>
      </c>
      <c r="M192" s="237">
        <f>_xlfn.LET(
  _xlpm.analyte, SensorLab[[#This Row],[Analyte]],
  _xlpm.raw, N(SensorLab[[#This Row],[Raw_Value]]),
  _xlpm.scaleF, IFERROR(
    _xlfn.XLOOKUP(_xlpm.analyte, CalibrationCoefficients[Analyte], CalibrationCoefficients[ScaleFactor]),
    1
  ),
  IF(AND(_xlpm.analyte&lt;&gt;"", ISNUMBER(_xlpm.raw)), _xlpm.raw * _xlpm.scaleF, "NA")
)</f>
        <v>17</v>
      </c>
      <c r="N192" s="194"/>
      <c r="O192" s="41">
        <v>17</v>
      </c>
      <c r="P192" s="41"/>
      <c r="Q192" s="208" cm="1">
        <f t="array" ref="Q19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17</v>
      </c>
      <c r="R192" s="237" cm="1">
        <f t="array" ref="R19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16.98517</v>
      </c>
      <c r="S192" s="238" cm="1">
        <f t="array" ref="S19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16.99858</v>
      </c>
      <c r="T192" s="238" cm="1">
        <f t="array" ref="T19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1.42E-3</v>
      </c>
      <c r="U192" s="41" t="str" cm="1">
        <f t="array" ref="U19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17.00000 and 17.00000</v>
      </c>
      <c r="V192" s="22"/>
    </row>
    <row r="193" spans="10:22" x14ac:dyDescent="0.15">
      <c r="J193" s="190" t="s">
        <v>218</v>
      </c>
      <c r="K193" s="191" t="s">
        <v>45</v>
      </c>
      <c r="L193" s="208">
        <v>5.1999999999999995E-4</v>
      </c>
      <c r="M193" s="237">
        <f>_xlfn.LET(
  _xlpm.analyte, SensorLab[[#This Row],[Analyte]],
  _xlpm.raw, N(SensorLab[[#This Row],[Raw_Value]]),
  _xlpm.scaleF, IFERROR(
    _xlfn.XLOOKUP(_xlpm.analyte, CalibrationCoefficients[Analyte], CalibrationCoefficients[ScaleFactor]),
    1
  ),
  IF(AND(_xlpm.analyte&lt;&gt;"", ISNUMBER(_xlpm.raw)), _xlpm.raw * _xlpm.scaleF, "NA")
)</f>
        <v>5.1999999999999995E-4</v>
      </c>
      <c r="N193" s="194"/>
      <c r="O193" s="41">
        <v>0.67</v>
      </c>
      <c r="P193" s="41"/>
      <c r="Q193" s="208" cm="1">
        <f t="array" ref="Q193">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0.67</v>
      </c>
      <c r="R193" s="237" cm="1">
        <f t="array" ref="R19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0.60409999999999997</v>
      </c>
      <c r="S193" s="238" cm="1">
        <f t="array" ref="S19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0.6</v>
      </c>
      <c r="T193" s="238" cm="1">
        <f t="array" ref="T19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7.0000000000000007E-2</v>
      </c>
      <c r="U193" s="41" t="str" cm="1">
        <f t="array" ref="U19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0.07000)</v>
      </c>
      <c r="V193" s="22"/>
    </row>
    <row r="194" spans="10:22" x14ac:dyDescent="0.15">
      <c r="J194" s="190" t="s">
        <v>218</v>
      </c>
      <c r="K194" s="127" t="s">
        <v>0</v>
      </c>
      <c r="L194" s="208">
        <v>50.77</v>
      </c>
      <c r="M194" s="237">
        <f>_xlfn.LET(
  _xlpm.analyte, SensorLab[[#This Row],[Analyte]],
  _xlpm.raw, N(SensorLab[[#This Row],[Raw_Value]]),
  _xlpm.scaleF, IFERROR(
    _xlfn.XLOOKUP(_xlpm.analyte, CalibrationCoefficients[Analyte], CalibrationCoefficients[ScaleFactor]),
    1
  ),
  IF(AND(_xlpm.analyte&lt;&gt;"", ISNUMBER(_xlpm.raw)), _xlpm.raw * _xlpm.scaleF, "NA")
)</f>
        <v>50.77</v>
      </c>
      <c r="N194" s="41"/>
      <c r="O194" s="41">
        <v>33</v>
      </c>
      <c r="P194" s="41"/>
      <c r="Q194" s="208" cm="1">
        <f t="array" ref="Q19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33</v>
      </c>
      <c r="R194" s="237" cm="1">
        <f t="array" ref="R19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33</v>
      </c>
      <c r="S194" s="238" cm="1">
        <f t="array" ref="S19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33</v>
      </c>
      <c r="T194" s="238" cm="1">
        <f t="array" ref="T19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194" s="41" t="str" cm="1">
        <f t="array" ref="U19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194" s="22"/>
    </row>
    <row r="195" spans="10:22" x14ac:dyDescent="0.15">
      <c r="J195" s="190" t="s">
        <v>218</v>
      </c>
      <c r="K195" s="127" t="s">
        <v>5</v>
      </c>
      <c r="L195" s="208">
        <v>34.090000000000003</v>
      </c>
      <c r="M195" s="237">
        <f>_xlfn.LET(
  _xlpm.analyte, SensorLab[[#This Row],[Analyte]],
  _xlpm.raw, N(SensorLab[[#This Row],[Raw_Value]]),
  _xlpm.scaleF, IFERROR(
    _xlfn.XLOOKUP(_xlpm.analyte, CalibrationCoefficients[Analyte], CalibrationCoefficients[ScaleFactor]),
    1
  ),
  IF(AND(_xlpm.analyte&lt;&gt;"", ISNUMBER(_xlpm.raw)), _xlpm.raw * _xlpm.scaleF, "NA")
)</f>
        <v>34.090000000000003</v>
      </c>
      <c r="N195" s="41"/>
      <c r="O195" s="41">
        <v>35</v>
      </c>
      <c r="P195" s="41"/>
      <c r="Q195" s="208" cm="1">
        <f t="array" ref="Q195">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35</v>
      </c>
      <c r="R195" s="237" cm="1">
        <f t="array" ref="R19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35</v>
      </c>
      <c r="S195" s="238" cm="1">
        <f t="array" ref="S19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35</v>
      </c>
      <c r="T195" s="238" cm="1">
        <f t="array" ref="T19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195" s="41" t="str" cm="1">
        <f t="array" ref="U19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195" s="22"/>
    </row>
    <row r="196" spans="10:22" x14ac:dyDescent="0.15">
      <c r="J196" s="190" t="s">
        <v>218</v>
      </c>
      <c r="K196" s="127" t="s">
        <v>6</v>
      </c>
      <c r="L196" s="208">
        <v>15.14</v>
      </c>
      <c r="M196" s="237">
        <f>_xlfn.LET(
  _xlpm.analyte, SensorLab[[#This Row],[Analyte]],
  _xlpm.raw, N(SensorLab[[#This Row],[Raw_Value]]),
  _xlpm.scaleF, IFERROR(
    _xlfn.XLOOKUP(_xlpm.analyte, CalibrationCoefficients[Analyte], CalibrationCoefficients[ScaleFactor]),
    1
  ),
  IF(AND(_xlpm.analyte&lt;&gt;"", ISNUMBER(_xlpm.raw)), _xlpm.raw * _xlpm.scaleF, "NA")
)</f>
        <v>15.14</v>
      </c>
      <c r="N196" s="41"/>
      <c r="O196" s="41">
        <v>22.5</v>
      </c>
      <c r="P196" s="41"/>
      <c r="Q196" s="208" cm="1">
        <f t="array" ref="Q19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22.5</v>
      </c>
      <c r="R196" s="237" cm="1">
        <f t="array" ref="R19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22.5</v>
      </c>
      <c r="S196" s="238" cm="1">
        <f t="array" ref="S19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22.5</v>
      </c>
      <c r="T196" s="238" cm="1">
        <f t="array" ref="T19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196" s="41" t="str" cm="1">
        <f t="array" ref="U19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22.50000 and 21.40317</v>
      </c>
      <c r="V196" s="22"/>
    </row>
    <row r="197" spans="10:22" ht="11.25" thickBot="1" x14ac:dyDescent="0.2">
      <c r="J197" s="190" t="s">
        <v>218</v>
      </c>
      <c r="K197" s="193" t="s">
        <v>69</v>
      </c>
      <c r="L197" s="255" t="str" cm="1">
        <f t="array" ref="L197">_xlfn.LET(
  _xlpm.bs,L194, _xlpm.si,L195, _xlpm.c,L196,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M197" s="256" t="str" cm="1">
        <f t="array" ref="M197">_xlfn.LET(
  _xlpm.bs,M194, _xlpm.si,M195, _xlpm.c,M196,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N197" s="245" t="str" cm="1">
        <f t="array" ref="N197">_xlfn.LET(
  _xlpm.bs,N194, _xlpm.si,N195, _xlpm.c,N196,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197" s="245" t="str" cm="1">
        <f t="array" ref="O197">_xlfn.LET(
  _xlpm.bs,O194, _xlpm.si,O195, _xlpm.c,O196,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P197" s="245" t="str" cm="1">
        <f t="array" ref="P197">_xlfn.LET(
  _xlpm.bs,P194, _xlpm.si,P195, _xlpm.c,P196,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197" s="255" t="str" cm="1">
        <f t="array" ref="Q197">_xlfn.LET(
  _xlpm.bs,Q194, _xlpm.si,Q195, _xlpm.c,Q196,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R197" s="256" t="str" cm="1">
        <f t="array" ref="R197">_xlfn.LET(
  _xlpm.bs,R194, _xlpm.si,R195, _xlpm.c,R196,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S197" s="256" t="str" cm="1">
        <f t="array" ref="S197">_xlfn.LET(
  _xlpm.bs,S194, _xlpm.si,S195, _xlpm.c,S196,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T197" s="240" cm="1">
        <f t="array" ref="T19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197" s="229" t="str" cm="1">
        <f t="array" ref="U19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(Texture match: Loam)</v>
      </c>
      <c r="V197" s="22"/>
    </row>
    <row r="198" spans="10:22" x14ac:dyDescent="0.15">
      <c r="J198" s="188" t="s">
        <v>219</v>
      </c>
      <c r="K198" s="189" t="s">
        <v>39</v>
      </c>
      <c r="L198" s="207">
        <v>0</v>
      </c>
      <c r="M198" s="239">
        <f>_xlfn.LET(
  _xlpm.analyte, SensorLab[[#This Row],[Analyte]],
  _xlpm.raw, N(SensorLab[[#This Row],[Raw_Value]]),
  _xlpm.scaleF, IFERROR(
    _xlfn.XLOOKUP(_xlpm.analyte, CalibrationCoefficients[Analyte], CalibrationCoefficients[ScaleFactor]),
    1
  ),
  IF(AND(_xlpm.analyte&lt;&gt;"", ISNUMBER(_xlpm.raw)), _xlpm.raw * _xlpm.scaleF, "NA")
)</f>
        <v>0</v>
      </c>
      <c r="N198" s="227"/>
      <c r="O198" s="228">
        <v>2</v>
      </c>
      <c r="P198" s="228"/>
      <c r="Q198" s="207" cm="1">
        <f t="array" ref="Q19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v>
      </c>
      <c r="R198" s="239" cm="1">
        <f t="array" ref="R19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0.44663000000000003</v>
      </c>
      <c r="S198" s="241" cm="1">
        <f t="array" ref="S19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v>
      </c>
      <c r="T198" s="241" cm="1">
        <f t="array" ref="T19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-6</v>
      </c>
      <c r="U198" s="228" t="str" cm="1">
        <f t="array" ref="U19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1.17402 and 0.44663</v>
      </c>
      <c r="V198" s="22"/>
    </row>
    <row r="199" spans="10:22" x14ac:dyDescent="0.15">
      <c r="J199" s="190" t="s">
        <v>219</v>
      </c>
      <c r="K199" s="191" t="s">
        <v>40</v>
      </c>
      <c r="L199" s="208">
        <v>0</v>
      </c>
      <c r="M199"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199" s="194"/>
      <c r="O199" s="41">
        <v>4.1100000000000003</v>
      </c>
      <c r="P199" s="41"/>
      <c r="Q199" s="208" cm="1">
        <f t="array" ref="Q199">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4.1100000000000003</v>
      </c>
      <c r="R199" s="237" cm="1">
        <f t="array" ref="R19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5.3140400000000003</v>
      </c>
      <c r="S199" s="238" cm="1">
        <f t="array" ref="S19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4.1240100000000002</v>
      </c>
      <c r="T199" s="238" cm="1">
        <f t="array" ref="T19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-0.87598999999999982</v>
      </c>
      <c r="U199" s="41" t="str" cm="1">
        <f t="array" ref="U19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5.70934 and 6.61757</v>
      </c>
      <c r="V199" s="22"/>
    </row>
    <row r="200" spans="10:22" x14ac:dyDescent="0.15">
      <c r="J200" s="190" t="s">
        <v>219</v>
      </c>
      <c r="K200" s="191" t="s">
        <v>41</v>
      </c>
      <c r="L200" s="208">
        <v>0</v>
      </c>
      <c r="M200"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200" s="194"/>
      <c r="O200" s="41">
        <v>86</v>
      </c>
      <c r="P200" s="41"/>
      <c r="Q200" s="208" cm="1">
        <f t="array" ref="Q20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86</v>
      </c>
      <c r="R200" s="237" cm="1">
        <f t="array" ref="R20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111.50391999999999</v>
      </c>
      <c r="S200" s="238" cm="1">
        <f t="array" ref="S20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97.80395</v>
      </c>
      <c r="T200" s="238" cm="1">
        <f t="array" ref="T20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-11.80395</v>
      </c>
      <c r="U200" s="41" t="str" cm="1">
        <f t="array" ref="U20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107.71054 and 110.69054</v>
      </c>
      <c r="V200" s="22"/>
    </row>
    <row r="201" spans="10:22" x14ac:dyDescent="0.15">
      <c r="J201" s="190" t="s">
        <v>219</v>
      </c>
      <c r="K201" s="127" t="s">
        <v>52</v>
      </c>
      <c r="L201" s="208">
        <v>0</v>
      </c>
      <c r="M201"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201" s="194"/>
      <c r="O201" s="41">
        <v>0.7</v>
      </c>
      <c r="P201" s="41"/>
      <c r="Q201" s="208" cm="1">
        <f t="array" ref="Q201">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0.7</v>
      </c>
      <c r="R201" s="237" cm="1">
        <f t="array" ref="R20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0.91573000000000004</v>
      </c>
      <c r="S201" s="238" cm="1">
        <f t="array" ref="S20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0.88349999999999995</v>
      </c>
      <c r="T201" s="238" cm="1">
        <f t="array" ref="T20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-0.1835</v>
      </c>
      <c r="U201" s="41" t="str" cm="1">
        <f t="array" ref="U20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0.97307 and 0.86100</v>
      </c>
      <c r="V201" s="22"/>
    </row>
    <row r="202" spans="10:22" x14ac:dyDescent="0.15">
      <c r="J202" s="190" t="s">
        <v>219</v>
      </c>
      <c r="K202" s="127" t="s">
        <v>34</v>
      </c>
      <c r="L202" s="208">
        <v>78</v>
      </c>
      <c r="M202" s="237">
        <f>_xlfn.LET(
  _xlpm.analyte, SensorLab[[#This Row],[Analyte]],
  _xlpm.raw, N(SensorLab[[#This Row],[Raw_Value]]),
  _xlpm.scaleF, IFERROR(
    _xlfn.XLOOKUP(_xlpm.analyte, CalibrationCoefficients[Analyte], CalibrationCoefficients[ScaleFactor]),
    1
  ),
  IF(AND(_xlpm.analyte&lt;&gt;"", ISNUMBER(_xlpm.raw)), _xlpm.raw * _xlpm.scaleF, "NA")
)</f>
        <v>7.8000000000000007</v>
      </c>
      <c r="N202" s="194"/>
      <c r="O202" s="41">
        <v>7.48</v>
      </c>
      <c r="P202" s="41"/>
      <c r="Q202" s="208" cm="1">
        <f t="array" ref="Q20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7.48</v>
      </c>
      <c r="R202" s="237" cm="1">
        <f t="array" ref="R20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7.86721</v>
      </c>
      <c r="S202" s="238" cm="1">
        <f t="array" ref="S20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7.8342999999999998</v>
      </c>
      <c r="T202" s="238" cm="1">
        <f t="array" ref="T20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-0.3543</v>
      </c>
      <c r="U202" s="41" t="str" cm="1">
        <f t="array" ref="U20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7.77728 and 7.76981</v>
      </c>
      <c r="V202" s="22"/>
    </row>
    <row r="203" spans="10:22" x14ac:dyDescent="0.15">
      <c r="J203" s="190" t="s">
        <v>219</v>
      </c>
      <c r="K203" s="127" t="s">
        <v>90</v>
      </c>
      <c r="L203" s="208">
        <v>205</v>
      </c>
      <c r="M203" s="237">
        <f>_xlfn.LET(
  _xlpm.analyte, SensorLab[[#This Row],[Analyte]],
  _xlpm.raw, N(SensorLab[[#This Row],[Raw_Value]]),
  _xlpm.scaleF, IFERROR(
    _xlfn.XLOOKUP(_xlpm.analyte, CalibrationCoefficients[Analyte], CalibrationCoefficients[ScaleFactor]),
    1
  ),
  IF(AND(_xlpm.analyte&lt;&gt;"", ISNUMBER(_xlpm.raw)), _xlpm.raw * _xlpm.scaleF, "NA")
)</f>
        <v>20.5</v>
      </c>
      <c r="N203" s="194"/>
      <c r="O203" s="41">
        <v>20.5</v>
      </c>
      <c r="P203" s="41"/>
      <c r="Q203" s="208" cm="1">
        <f t="array" ref="Q203">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20.5</v>
      </c>
      <c r="R203" s="237" cm="1">
        <f t="array" ref="R20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20.621259999999999</v>
      </c>
      <c r="S203" s="238" cm="1">
        <f t="array" ref="S20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20.584679999999999</v>
      </c>
      <c r="T203" s="238" cm="1">
        <f t="array" ref="T20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-3.4153200000000012</v>
      </c>
      <c r="U203" s="41" t="str" cm="1">
        <f t="array" ref="U20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20.45269 and 20.54731</v>
      </c>
      <c r="V203" s="22"/>
    </row>
    <row r="204" spans="10:22" x14ac:dyDescent="0.15">
      <c r="J204" s="190" t="s">
        <v>219</v>
      </c>
      <c r="K204" s="191" t="s">
        <v>43</v>
      </c>
      <c r="L204" s="208">
        <v>170</v>
      </c>
      <c r="M204" s="237">
        <f>_xlfn.LET(
  _xlpm.analyte, SensorLab[[#This Row],[Analyte]],
  _xlpm.raw, N(SensorLab[[#This Row],[Raw_Value]]),
  _xlpm.scaleF, IFERROR(
    _xlfn.XLOOKUP(_xlpm.analyte, CalibrationCoefficients[Analyte], CalibrationCoefficients[ScaleFactor]),
    1
  ),
  IF(AND(_xlpm.analyte&lt;&gt;"", ISNUMBER(_xlpm.raw)), _xlpm.raw * _xlpm.scaleF, "NA")
)</f>
        <v>17</v>
      </c>
      <c r="N204" s="194"/>
      <c r="O204" s="41">
        <v>17</v>
      </c>
      <c r="P204" s="41"/>
      <c r="Q204" s="208" cm="1">
        <f t="array" ref="Q20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17</v>
      </c>
      <c r="R204" s="237" cm="1">
        <f t="array" ref="R20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16.98517</v>
      </c>
      <c r="S204" s="238" cm="1">
        <f t="array" ref="S20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16.99858</v>
      </c>
      <c r="T204" s="238" cm="1">
        <f t="array" ref="T20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1.42E-3</v>
      </c>
      <c r="U204" s="41" t="str" cm="1">
        <f t="array" ref="U20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17.00000 and 17.00000</v>
      </c>
      <c r="V204" s="22"/>
    </row>
    <row r="205" spans="10:22" x14ac:dyDescent="0.15">
      <c r="J205" s="190" t="s">
        <v>219</v>
      </c>
      <c r="K205" s="191" t="s">
        <v>45</v>
      </c>
      <c r="L205" s="208">
        <v>5.1999999999999995E-4</v>
      </c>
      <c r="M205" s="237">
        <f>_xlfn.LET(
  _xlpm.analyte, SensorLab[[#This Row],[Analyte]],
  _xlpm.raw, N(SensorLab[[#This Row],[Raw_Value]]),
  _xlpm.scaleF, IFERROR(
    _xlfn.XLOOKUP(_xlpm.analyte, CalibrationCoefficients[Analyte], CalibrationCoefficients[ScaleFactor]),
    1
  ),
  IF(AND(_xlpm.analyte&lt;&gt;"", ISNUMBER(_xlpm.raw)), _xlpm.raw * _xlpm.scaleF, "NA")
)</f>
        <v>5.1999999999999995E-4</v>
      </c>
      <c r="N205" s="194"/>
      <c r="O205" s="41">
        <v>0.92</v>
      </c>
      <c r="P205" s="41"/>
      <c r="Q205" s="208" cm="1">
        <f t="array" ref="Q205">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0.92</v>
      </c>
      <c r="R205" s="237" cm="1">
        <f t="array" ref="R20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0.60409999999999997</v>
      </c>
      <c r="S205" s="238" cm="1">
        <f t="array" ref="S20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0.6</v>
      </c>
      <c r="T205" s="238" cm="1">
        <f t="array" ref="T20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0.32</v>
      </c>
      <c r="U205" s="41" t="str" cm="1">
        <f t="array" ref="U20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0.65838 and 1.18162</v>
      </c>
      <c r="V205" s="22"/>
    </row>
    <row r="206" spans="10:22" x14ac:dyDescent="0.15">
      <c r="J206" s="190" t="s">
        <v>219</v>
      </c>
      <c r="K206" s="127" t="s">
        <v>0</v>
      </c>
      <c r="L206" s="208">
        <v>50.77</v>
      </c>
      <c r="M206" s="237">
        <f>_xlfn.LET(
  _xlpm.analyte, SensorLab[[#This Row],[Analyte]],
  _xlpm.raw, N(SensorLab[[#This Row],[Raw_Value]]),
  _xlpm.scaleF, IFERROR(
    _xlfn.XLOOKUP(_xlpm.analyte, CalibrationCoefficients[Analyte], CalibrationCoefficients[ScaleFactor]),
    1
  ),
  IF(AND(_xlpm.analyte&lt;&gt;"", ISNUMBER(_xlpm.raw)), _xlpm.raw * _xlpm.scaleF, "NA")
)</f>
        <v>50.77</v>
      </c>
      <c r="N206" s="194"/>
      <c r="O206" s="41">
        <v>40</v>
      </c>
      <c r="P206" s="41"/>
      <c r="Q206" s="208" cm="1">
        <f t="array" ref="Q20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40</v>
      </c>
      <c r="R206" s="237" cm="1">
        <f t="array" ref="R20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40</v>
      </c>
      <c r="S206" s="238" cm="1">
        <f t="array" ref="S20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40</v>
      </c>
      <c r="T206" s="238" cm="1">
        <f t="array" ref="T20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206" s="41" t="str" cm="1">
        <f t="array" ref="U20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206" s="22"/>
    </row>
    <row r="207" spans="10:22" x14ac:dyDescent="0.15">
      <c r="J207" s="190" t="s">
        <v>219</v>
      </c>
      <c r="K207" s="127" t="s">
        <v>5</v>
      </c>
      <c r="L207" s="208">
        <v>34.090000000000003</v>
      </c>
      <c r="M207" s="237">
        <f>_xlfn.LET(
  _xlpm.analyte, SensorLab[[#This Row],[Analyte]],
  _xlpm.raw, N(SensorLab[[#This Row],[Raw_Value]]),
  _xlpm.scaleF, IFERROR(
    _xlfn.XLOOKUP(_xlpm.analyte, CalibrationCoefficients[Analyte], CalibrationCoefficients[ScaleFactor]),
    1
  ),
  IF(AND(_xlpm.analyte&lt;&gt;"", ISNUMBER(_xlpm.raw)), _xlpm.raw * _xlpm.scaleF, "NA")
)</f>
        <v>34.090000000000003</v>
      </c>
      <c r="N207" s="194"/>
      <c r="O207" s="41">
        <v>40</v>
      </c>
      <c r="P207" s="41"/>
      <c r="Q207" s="208" cm="1">
        <f t="array" ref="Q207">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40</v>
      </c>
      <c r="R207" s="237" cm="1">
        <f t="array" ref="R20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40</v>
      </c>
      <c r="S207" s="238" cm="1">
        <f t="array" ref="S20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40</v>
      </c>
      <c r="T207" s="238" cm="1">
        <f t="array" ref="T20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207" s="41" t="str" cm="1">
        <f t="array" ref="U20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207" s="22"/>
    </row>
    <row r="208" spans="10:22" x14ac:dyDescent="0.15">
      <c r="J208" s="190" t="s">
        <v>219</v>
      </c>
      <c r="K208" s="127" t="s">
        <v>6</v>
      </c>
      <c r="L208" s="208">
        <v>15.14</v>
      </c>
      <c r="M208" s="237">
        <f>_xlfn.LET(
  _xlpm.analyte, SensorLab[[#This Row],[Analyte]],
  _xlpm.raw, N(SensorLab[[#This Row],[Raw_Value]]),
  _xlpm.scaleF, IFERROR(
    _xlfn.XLOOKUP(_xlpm.analyte, CalibrationCoefficients[Analyte], CalibrationCoefficients[ScaleFactor]),
    1
  ),
  IF(AND(_xlpm.analyte&lt;&gt;"", ISNUMBER(_xlpm.raw)), _xlpm.raw * _xlpm.scaleF, "NA")
)</f>
        <v>15.14</v>
      </c>
      <c r="N208" s="194"/>
      <c r="O208" s="41">
        <v>20</v>
      </c>
      <c r="P208" s="41"/>
      <c r="Q208" s="208" cm="1">
        <f t="array" ref="Q20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20</v>
      </c>
      <c r="R208" s="237" cm="1">
        <f t="array" ref="R20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20</v>
      </c>
      <c r="S208" s="238" cm="1">
        <f t="array" ref="S20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20</v>
      </c>
      <c r="T208" s="238" cm="1">
        <f t="array" ref="T20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208" s="41" t="str" cm="1">
        <f t="array" ref="U20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208" s="22"/>
    </row>
    <row r="209" spans="10:22" ht="11.25" thickBot="1" x14ac:dyDescent="0.2">
      <c r="J209" s="190" t="s">
        <v>219</v>
      </c>
      <c r="K209" s="193" t="s">
        <v>69</v>
      </c>
      <c r="L209" s="255" t="str" cm="1">
        <f t="array" ref="L209">_xlfn.LET(
  _xlpm.bs,L206, _xlpm.si,L207, _xlpm.c,L208,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M209" s="256" t="str" cm="1">
        <f t="array" ref="M209">_xlfn.LET(
  _xlpm.bs,M206, _xlpm.si,M207, _xlpm.c,M208,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N209" s="245" t="str" cm="1">
        <f t="array" ref="N209">_xlfn.LET(
  _xlpm.bs,N206, _xlpm.si,N207, _xlpm.c,N208,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209" s="245" t="str" cm="1">
        <f t="array" ref="O209">_xlfn.LET(
  _xlpm.bs,O206, _xlpm.si,O207, _xlpm.c,O208,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P209" s="245" t="str" cm="1">
        <f t="array" ref="P209">_xlfn.LET(
  _xlpm.bs,P206, _xlpm.si,P207, _xlpm.c,P208,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209" s="255" t="str" cm="1">
        <f t="array" ref="Q209">_xlfn.LET(
  _xlpm.bs,Q206, _xlpm.si,Q207, _xlpm.c,Q208,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R209" s="256" t="str" cm="1">
        <f t="array" ref="R209">_xlfn.LET(
  _xlpm.bs,R206, _xlpm.si,R207, _xlpm.c,R208,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S209" s="256" t="str" cm="1">
        <f t="array" ref="S209">_xlfn.LET(
  _xlpm.bs,S206, _xlpm.si,S207, _xlpm.c,S208,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T209" s="240" cm="1">
        <f t="array" ref="T20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209" s="229" t="str" cm="1">
        <f t="array" ref="U20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(Texture match: Loam)</v>
      </c>
      <c r="V209" s="22"/>
    </row>
    <row r="210" spans="10:22" x14ac:dyDescent="0.15">
      <c r="J210" s="188" t="s">
        <v>220</v>
      </c>
      <c r="K210" s="189" t="s">
        <v>39</v>
      </c>
      <c r="L210" s="207">
        <v>0</v>
      </c>
      <c r="M210" s="239">
        <f>_xlfn.LET(
  _xlpm.analyte, SensorLab[[#This Row],[Analyte]],
  _xlpm.raw, N(SensorLab[[#This Row],[Raw_Value]]),
  _xlpm.scaleF, IFERROR(
    _xlfn.XLOOKUP(_xlpm.analyte, CalibrationCoefficients[Analyte], CalibrationCoefficients[ScaleFactor]),
    1
  ),
  IF(AND(_xlpm.analyte&lt;&gt;"", ISNUMBER(_xlpm.raw)), _xlpm.raw * _xlpm.scaleF, "NA")
)</f>
        <v>0</v>
      </c>
      <c r="N210" s="228"/>
      <c r="O210" s="228">
        <v>2</v>
      </c>
      <c r="P210" s="228"/>
      <c r="Q210" s="207" cm="1">
        <f t="array" ref="Q21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v>
      </c>
      <c r="R210" s="239" cm="1">
        <f t="array" ref="R21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0.44663000000000003</v>
      </c>
      <c r="S210" s="241" cm="1">
        <f t="array" ref="S21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v>
      </c>
      <c r="T210" s="241" cm="1">
        <f t="array" ref="T21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-8</v>
      </c>
      <c r="U210" s="228" t="str" cm="1">
        <f t="array" ref="U21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1.17402 and 0.44663</v>
      </c>
      <c r="V210" s="22"/>
    </row>
    <row r="211" spans="10:22" x14ac:dyDescent="0.15">
      <c r="J211" s="190" t="s">
        <v>220</v>
      </c>
      <c r="K211" s="191" t="s">
        <v>40</v>
      </c>
      <c r="L211" s="208">
        <v>16</v>
      </c>
      <c r="M211" s="237">
        <f>_xlfn.LET(
  _xlpm.analyte, SensorLab[[#This Row],[Analyte]],
  _xlpm.raw, N(SensorLab[[#This Row],[Raw_Value]]),
  _xlpm.scaleF, IFERROR(
    _xlfn.XLOOKUP(_xlpm.analyte, CalibrationCoefficients[Analyte], CalibrationCoefficients[ScaleFactor]),
    1
  ),
  IF(AND(_xlpm.analyte&lt;&gt;"", ISNUMBER(_xlpm.raw)), _xlpm.raw * _xlpm.scaleF, "NA")
)</f>
        <v>16</v>
      </c>
      <c r="N211" s="41"/>
      <c r="O211" s="41">
        <v>7.08</v>
      </c>
      <c r="P211" s="41"/>
      <c r="Q211" s="208" cm="1">
        <f t="array" ref="Q211">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7.08</v>
      </c>
      <c r="R211" s="237" cm="1">
        <f t="array" ref="R21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5.7143699999999997</v>
      </c>
      <c r="S211" s="238" cm="1">
        <f t="array" ref="S21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4.5243399999999996</v>
      </c>
      <c r="T211" s="238" cm="1">
        <f t="array" ref="T21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-1.4756600000000004</v>
      </c>
      <c r="U211" s="41" t="str" cm="1">
        <f t="array" ref="U21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5.92758 and 7.04758</v>
      </c>
      <c r="V211" s="22"/>
    </row>
    <row r="212" spans="10:22" x14ac:dyDescent="0.15">
      <c r="J212" s="190" t="s">
        <v>220</v>
      </c>
      <c r="K212" s="191" t="s">
        <v>41</v>
      </c>
      <c r="L212" s="208">
        <v>8</v>
      </c>
      <c r="M212" s="237">
        <f>_xlfn.LET(
  _xlpm.analyte, SensorLab[[#This Row],[Analyte]],
  _xlpm.raw, N(SensorLab[[#This Row],[Raw_Value]]),
  _xlpm.scaleF, IFERROR(
    _xlfn.XLOOKUP(_xlpm.analyte, CalibrationCoefficients[Analyte], CalibrationCoefficients[ScaleFactor]),
    1
  ),
  IF(AND(_xlpm.analyte&lt;&gt;"", ISNUMBER(_xlpm.raw)), _xlpm.raw * _xlpm.scaleF, "NA")
)</f>
        <v>8</v>
      </c>
      <c r="N212" s="41"/>
      <c r="O212" s="41">
        <v>103</v>
      </c>
      <c r="P212" s="41"/>
      <c r="Q212" s="208" cm="1">
        <f t="array" ref="Q21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103</v>
      </c>
      <c r="R212" s="237" cm="1">
        <f t="array" ref="R21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114.01746</v>
      </c>
      <c r="S212" s="238" cm="1">
        <f t="array" ref="S21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100.31749000000001</v>
      </c>
      <c r="T212" s="238" cm="1">
        <f t="array" ref="T21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2.6825100000000002</v>
      </c>
      <c r="U212" s="41" t="str" cm="1">
        <f t="array" ref="U21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110.46545 and 113.44545</v>
      </c>
      <c r="V212" s="22"/>
    </row>
    <row r="213" spans="10:22" x14ac:dyDescent="0.15">
      <c r="J213" s="190" t="s">
        <v>220</v>
      </c>
      <c r="K213" s="127" t="s">
        <v>52</v>
      </c>
      <c r="L213" s="208">
        <v>123</v>
      </c>
      <c r="M213" s="237">
        <f>_xlfn.LET(
  _xlpm.analyte, SensorLab[[#This Row],[Analyte]],
  _xlpm.raw, N(SensorLab[[#This Row],[Raw_Value]]),
  _xlpm.scaleF, IFERROR(
    _xlfn.XLOOKUP(_xlpm.analyte, CalibrationCoefficients[Analyte], CalibrationCoefficients[ScaleFactor]),
    1
  ),
  IF(AND(_xlpm.analyte&lt;&gt;"", ISNUMBER(_xlpm.raw)), _xlpm.raw * _xlpm.scaleF, "NA")
)</f>
        <v>0.123</v>
      </c>
      <c r="N213" s="41"/>
      <c r="O213" s="41">
        <v>0.57999999999999996</v>
      </c>
      <c r="P213" s="41"/>
      <c r="Q213" s="208" cm="1">
        <f t="array" ref="Q213">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0.57999999999999996</v>
      </c>
      <c r="R213" s="237" cm="1">
        <f t="array" ref="R21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0.99634</v>
      </c>
      <c r="S213" s="238" cm="1">
        <f t="array" ref="S21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0.96411000000000002</v>
      </c>
      <c r="T213" s="238" cm="1">
        <f t="array" ref="T21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-0.38411000000000001</v>
      </c>
      <c r="U213" s="41" t="str" cm="1">
        <f t="array" ref="U21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0.99965 and 0.71340</v>
      </c>
      <c r="V213" s="22"/>
    </row>
    <row r="214" spans="10:22" x14ac:dyDescent="0.15">
      <c r="J214" s="190" t="s">
        <v>220</v>
      </c>
      <c r="K214" s="127" t="s">
        <v>34</v>
      </c>
      <c r="L214" s="208">
        <v>79</v>
      </c>
      <c r="M214" s="237">
        <f>_xlfn.LET(
  _xlpm.analyte, SensorLab[[#This Row],[Analyte]],
  _xlpm.raw, N(SensorLab[[#This Row],[Raw_Value]]),
  _xlpm.scaleF, IFERROR(
    _xlfn.XLOOKUP(_xlpm.analyte, CalibrationCoefficients[Analyte], CalibrationCoefficients[ScaleFactor]),
    1
  ),
  IF(AND(_xlpm.analyte&lt;&gt;"", ISNUMBER(_xlpm.raw)), _xlpm.raw * _xlpm.scaleF, "NA")
)</f>
        <v>7.9</v>
      </c>
      <c r="N214" s="41"/>
      <c r="O214" s="41">
        <v>7.39</v>
      </c>
      <c r="P214" s="41"/>
      <c r="Q214" s="208" cm="1">
        <f t="array" ref="Q21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7.39</v>
      </c>
      <c r="R214" s="237" cm="1">
        <f t="array" ref="R21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7.8626399999999999</v>
      </c>
      <c r="S214" s="238" cm="1">
        <f t="array" ref="S21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7.8297299999999996</v>
      </c>
      <c r="T214" s="238" cm="1">
        <f t="array" ref="T21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-0.43973000000000001</v>
      </c>
      <c r="U214" s="41" t="str" cm="1">
        <f t="array" ref="U21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7.77214 and 7.67632</v>
      </c>
      <c r="V214" s="22"/>
    </row>
    <row r="215" spans="10:22" x14ac:dyDescent="0.15">
      <c r="J215" s="190" t="s">
        <v>220</v>
      </c>
      <c r="K215" s="127" t="s">
        <v>90</v>
      </c>
      <c r="L215" s="208">
        <v>183</v>
      </c>
      <c r="M215" s="237">
        <f>_xlfn.LET(
  _xlpm.analyte, SensorLab[[#This Row],[Analyte]],
  _xlpm.raw, N(SensorLab[[#This Row],[Raw_Value]]),
  _xlpm.scaleF, IFERROR(
    _xlfn.XLOOKUP(_xlpm.analyte, CalibrationCoefficients[Analyte], CalibrationCoefficients[ScaleFactor]),
    1
  ),
  IF(AND(_xlpm.analyte&lt;&gt;"", ISNUMBER(_xlpm.raw)), _xlpm.raw * _xlpm.scaleF, "NA")
)</f>
        <v>18.3</v>
      </c>
      <c r="N215" s="41"/>
      <c r="O215" s="41">
        <v>18.3</v>
      </c>
      <c r="P215" s="41"/>
      <c r="Q215" s="208" cm="1">
        <f t="array" ref="Q215">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18.3</v>
      </c>
      <c r="R215" s="237" cm="1">
        <f t="array" ref="R21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18.375820000000001</v>
      </c>
      <c r="S215" s="238" cm="1">
        <f t="array" ref="S21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18.33924</v>
      </c>
      <c r="T215" s="238" cm="1">
        <f t="array" ref="T21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-5.6607599999999998</v>
      </c>
      <c r="U215" s="41" t="str" cm="1">
        <f t="array" ref="U21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-0.03924)</v>
      </c>
      <c r="V215" s="22"/>
    </row>
    <row r="216" spans="10:22" x14ac:dyDescent="0.15">
      <c r="J216" s="190" t="s">
        <v>220</v>
      </c>
      <c r="K216" s="191" t="s">
        <v>43</v>
      </c>
      <c r="L216" s="208">
        <v>228</v>
      </c>
      <c r="M216" s="237">
        <f>_xlfn.LET(
  _xlpm.analyte, SensorLab[[#This Row],[Analyte]],
  _xlpm.raw, N(SensorLab[[#This Row],[Raw_Value]]),
  _xlpm.scaleF, IFERROR(
    _xlfn.XLOOKUP(_xlpm.analyte, CalibrationCoefficients[Analyte], CalibrationCoefficients[ScaleFactor]),
    1
  ),
  IF(AND(_xlpm.analyte&lt;&gt;"", ISNUMBER(_xlpm.raw)), _xlpm.raw * _xlpm.scaleF, "NA")
)</f>
        <v>22.8</v>
      </c>
      <c r="N216" s="41"/>
      <c r="O216" s="41">
        <v>22.8</v>
      </c>
      <c r="P216" s="41"/>
      <c r="Q216" s="208" cm="1">
        <f t="array" ref="Q21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22.8</v>
      </c>
      <c r="R216" s="237" cm="1">
        <f t="array" ref="R21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22.786619999999999</v>
      </c>
      <c r="S216" s="238" cm="1">
        <f t="array" ref="S21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22.80003</v>
      </c>
      <c r="T216" s="238" cm="1">
        <f t="array" ref="T21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-3.0000000000000001E-5</v>
      </c>
      <c r="U216" s="41" t="str" cm="1">
        <f t="array" ref="U21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22.80000 and 22.80000</v>
      </c>
      <c r="V216" s="22"/>
    </row>
    <row r="217" spans="10:22" x14ac:dyDescent="0.15">
      <c r="J217" s="190" t="s">
        <v>220</v>
      </c>
      <c r="K217" s="191" t="s">
        <v>45</v>
      </c>
      <c r="L217" s="208">
        <v>5.1999999999999995E-4</v>
      </c>
      <c r="M217" s="237">
        <f>_xlfn.LET(
  _xlpm.analyte, SensorLab[[#This Row],[Analyte]],
  _xlpm.raw, N(SensorLab[[#This Row],[Raw_Value]]),
  _xlpm.scaleF, IFERROR(
    _xlfn.XLOOKUP(_xlpm.analyte, CalibrationCoefficients[Analyte], CalibrationCoefficients[ScaleFactor]),
    1
  ),
  IF(AND(_xlpm.analyte&lt;&gt;"", ISNUMBER(_xlpm.raw)), _xlpm.raw * _xlpm.scaleF, "NA")
)</f>
        <v>5.1999999999999995E-4</v>
      </c>
      <c r="N217" s="41"/>
      <c r="O217" s="41">
        <v>0.43</v>
      </c>
      <c r="P217" s="41"/>
      <c r="Q217" s="208" cm="1">
        <f t="array" ref="Q217">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0.43</v>
      </c>
      <c r="R217" s="237" cm="1">
        <f t="array" ref="R21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0.60409999999999997</v>
      </c>
      <c r="S217" s="238" cm="1">
        <f t="array" ref="S21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0.6</v>
      </c>
      <c r="T217" s="238" cm="1">
        <f t="array" ref="T21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-0.17</v>
      </c>
      <c r="U217" s="41" t="str" cm="1">
        <f t="array" ref="U21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-0.17000)</v>
      </c>
      <c r="V217" s="22"/>
    </row>
    <row r="218" spans="10:22" x14ac:dyDescent="0.15">
      <c r="J218" s="190" t="s">
        <v>220</v>
      </c>
      <c r="K218" s="127" t="s">
        <v>0</v>
      </c>
      <c r="L218" s="208">
        <v>50.18</v>
      </c>
      <c r="M218" s="237">
        <f>_xlfn.LET(
  _xlpm.analyte, SensorLab[[#This Row],[Analyte]],
  _xlpm.raw, N(SensorLab[[#This Row],[Raw_Value]]),
  _xlpm.scaleF, IFERROR(
    _xlfn.XLOOKUP(_xlpm.analyte, CalibrationCoefficients[Analyte], CalibrationCoefficients[ScaleFactor]),
    1
  ),
  IF(AND(_xlpm.analyte&lt;&gt;"", ISNUMBER(_xlpm.raw)), _xlpm.raw * _xlpm.scaleF, "NA")
)</f>
        <v>50.18</v>
      </c>
      <c r="N218" s="41"/>
      <c r="O218" s="41">
        <v>7.5</v>
      </c>
      <c r="P218" s="41"/>
      <c r="Q218" s="208" cm="1">
        <f t="array" ref="Q21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7.5</v>
      </c>
      <c r="R218" s="237" cm="1">
        <f t="array" ref="R21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7.5</v>
      </c>
      <c r="S218" s="238" cm="1">
        <f t="array" ref="S21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7.5</v>
      </c>
      <c r="T218" s="238" cm="1">
        <f t="array" ref="T21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218" s="41" t="str" cm="1">
        <f t="array" ref="U21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14.94292 and 7.50000</v>
      </c>
      <c r="V218" s="22"/>
    </row>
    <row r="219" spans="10:22" x14ac:dyDescent="0.15">
      <c r="J219" s="190" t="s">
        <v>220</v>
      </c>
      <c r="K219" s="127" t="s">
        <v>5</v>
      </c>
      <c r="L219" s="208">
        <v>34.409999999999997</v>
      </c>
      <c r="M219" s="237">
        <f>_xlfn.LET(
  _xlpm.analyte, SensorLab[[#This Row],[Analyte]],
  _xlpm.raw, N(SensorLab[[#This Row],[Raw_Value]]),
  _xlpm.scaleF, IFERROR(
    _xlfn.XLOOKUP(_xlpm.analyte, CalibrationCoefficients[Analyte], CalibrationCoefficients[ScaleFactor]),
    1
  ),
  IF(AND(_xlpm.analyte&lt;&gt;"", ISNUMBER(_xlpm.raw)), _xlpm.raw * _xlpm.scaleF, "NA")
)</f>
        <v>34.409999999999997</v>
      </c>
      <c r="N219" s="41"/>
      <c r="O219" s="41">
        <v>77.5</v>
      </c>
      <c r="P219" s="41"/>
      <c r="Q219" s="208" cm="1">
        <f t="array" ref="Q219">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77.5</v>
      </c>
      <c r="R219" s="237" cm="1">
        <f t="array" ref="R21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77.5</v>
      </c>
      <c r="S219" s="238" cm="1">
        <f t="array" ref="S21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77.5</v>
      </c>
      <c r="T219" s="238" cm="1">
        <f t="array" ref="T21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219" s="41" t="str" cm="1">
        <f t="array" ref="U21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77.50000 and 66.34784</v>
      </c>
      <c r="V219" s="22"/>
    </row>
    <row r="220" spans="10:22" x14ac:dyDescent="0.15">
      <c r="J220" s="190" t="s">
        <v>220</v>
      </c>
      <c r="K220" s="127" t="s">
        <v>6</v>
      </c>
      <c r="L220" s="208">
        <v>15.41</v>
      </c>
      <c r="M220" s="237">
        <f>_xlfn.LET(
  _xlpm.analyte, SensorLab[[#This Row],[Analyte]],
  _xlpm.raw, N(SensorLab[[#This Row],[Raw_Value]]),
  _xlpm.scaleF, IFERROR(
    _xlfn.XLOOKUP(_xlpm.analyte, CalibrationCoefficients[Analyte], CalibrationCoefficients[ScaleFactor]),
    1
  ),
  IF(AND(_xlpm.analyte&lt;&gt;"", ISNUMBER(_xlpm.raw)), _xlpm.raw * _xlpm.scaleF, "NA")
)</f>
        <v>15.41</v>
      </c>
      <c r="N220" s="41"/>
      <c r="O220" s="41">
        <v>15</v>
      </c>
      <c r="P220" s="41"/>
      <c r="Q220" s="208" cm="1">
        <f t="array" ref="Q22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15</v>
      </c>
      <c r="R220" s="237" cm="1">
        <f t="array" ref="R22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15</v>
      </c>
      <c r="S220" s="238" cm="1">
        <f t="array" ref="S22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15</v>
      </c>
      <c r="T220" s="238" cm="1">
        <f t="array" ref="T22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220" s="41" t="str" cm="1">
        <f t="array" ref="U22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220" s="22"/>
    </row>
    <row r="221" spans="10:22" ht="11.25" thickBot="1" x14ac:dyDescent="0.2">
      <c r="J221" s="190" t="s">
        <v>220</v>
      </c>
      <c r="K221" s="193" t="s">
        <v>69</v>
      </c>
      <c r="L221" s="255" t="str" cm="1">
        <f t="array" ref="L221">_xlfn.LET(
  _xlpm.bs,L218, _xlpm.si,L219, _xlpm.c,L220,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M221" s="256" t="str" cm="1">
        <f t="array" ref="M221">_xlfn.LET(
  _xlpm.bs,M218, _xlpm.si,M219, _xlpm.c,M220,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N221" s="245" t="str" cm="1">
        <f t="array" ref="N221">_xlfn.LET(
  _xlpm.bs,N218, _xlpm.si,N219, _xlpm.c,N220,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221" s="245" t="str" cm="1">
        <f t="array" ref="O221">_xlfn.LET(
  _xlpm.bs,O218, _xlpm.si,O219, _xlpm.c,O220,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P221" s="245" t="str" cm="1">
        <f t="array" ref="P221">_xlfn.LET(
  _xlpm.bs,P218, _xlpm.si,P219, _xlpm.c,P220,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221" s="255" t="str" cm="1">
        <f t="array" ref="Q221">_xlfn.LET(
  _xlpm.bs,Q218, _xlpm.si,Q219, _xlpm.c,Q220,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R221" s="256" t="str" cm="1">
        <f t="array" ref="R221">_xlfn.LET(
  _xlpm.bs,R218, _xlpm.si,R219, _xlpm.c,R220,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S221" s="256" t="str" cm="1">
        <f t="array" ref="S221">_xlfn.LET(
  _xlpm.bs,S218, _xlpm.si,S219, _xlpm.c,S220,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T221" s="240" cm="1">
        <f t="array" ref="T22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221" s="229" t="str" cm="1">
        <f t="array" ref="U22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(Texture match: Silt Loam)</v>
      </c>
      <c r="V221" s="22"/>
    </row>
    <row r="222" spans="10:22" x14ac:dyDescent="0.15">
      <c r="J222" s="188" t="s">
        <v>221</v>
      </c>
      <c r="K222" s="189" t="s">
        <v>39</v>
      </c>
      <c r="L222" s="207">
        <v>0</v>
      </c>
      <c r="M222" s="239">
        <f>_xlfn.LET(
  _xlpm.analyte, SensorLab[[#This Row],[Analyte]],
  _xlpm.raw, N(SensorLab[[#This Row],[Raw_Value]]),
  _xlpm.scaleF, IFERROR(
    _xlfn.XLOOKUP(_xlpm.analyte, CalibrationCoefficients[Analyte], CalibrationCoefficients[ScaleFactor]),
    1
  ),
  IF(AND(_xlpm.analyte&lt;&gt;"", ISNUMBER(_xlpm.raw)), _xlpm.raw * _xlpm.scaleF, "NA")
)</f>
        <v>0</v>
      </c>
      <c r="N222" s="228"/>
      <c r="O222" s="228">
        <v>2</v>
      </c>
      <c r="P222" s="228"/>
      <c r="Q222" s="207" cm="1">
        <f t="array" ref="Q22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v>
      </c>
      <c r="R222" s="239" cm="1">
        <f t="array" ref="R22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0.44663000000000003</v>
      </c>
      <c r="S222" s="241" cm="1">
        <f t="array" ref="S22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v>
      </c>
      <c r="T222" s="241" cm="1">
        <f t="array" ref="T22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-10</v>
      </c>
      <c r="U222" s="228" t="str" cm="1">
        <f t="array" ref="U22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1.17402 and 0.44663</v>
      </c>
      <c r="V222" s="22"/>
    </row>
    <row r="223" spans="10:22" x14ac:dyDescent="0.15">
      <c r="J223" s="190" t="s">
        <v>221</v>
      </c>
      <c r="K223" s="191" t="s">
        <v>40</v>
      </c>
      <c r="L223" s="208">
        <v>0</v>
      </c>
      <c r="M223"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223" s="41"/>
      <c r="O223" s="41">
        <v>7.19</v>
      </c>
      <c r="P223" s="41"/>
      <c r="Q223" s="208" cm="1">
        <f t="array" ref="Q223">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7.19</v>
      </c>
      <c r="R223" s="237" cm="1">
        <f t="array" ref="R22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5.3140400000000003</v>
      </c>
      <c r="S223" s="238" cm="1">
        <f t="array" ref="S22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4.1240100000000002</v>
      </c>
      <c r="T223" s="238" cm="1">
        <f t="array" ref="T22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-3.8759899999999998</v>
      </c>
      <c r="U223" s="41" t="str" cm="1">
        <f t="array" ref="U22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5.70934 and 6.82934</v>
      </c>
      <c r="V223" s="22"/>
    </row>
    <row r="224" spans="10:22" x14ac:dyDescent="0.15">
      <c r="J224" s="190" t="s">
        <v>221</v>
      </c>
      <c r="K224" s="191" t="s">
        <v>41</v>
      </c>
      <c r="L224" s="208">
        <v>0</v>
      </c>
      <c r="M224"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224" s="41"/>
      <c r="O224" s="41">
        <v>134</v>
      </c>
      <c r="P224" s="41"/>
      <c r="Q224" s="208" cm="1">
        <f t="array" ref="Q22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134</v>
      </c>
      <c r="R224" s="237" cm="1">
        <f t="array" ref="R22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111.50391999999999</v>
      </c>
      <c r="S224" s="238" cm="1">
        <f t="array" ref="S22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97.80395</v>
      </c>
      <c r="T224" s="238" cm="1">
        <f t="array" ref="T22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-22.19605</v>
      </c>
      <c r="U224" s="41" t="str" cm="1">
        <f t="array" ref="U22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107.71054 and 110.69054</v>
      </c>
      <c r="V224" s="22"/>
    </row>
    <row r="225" spans="10:22" x14ac:dyDescent="0.15">
      <c r="J225" s="190" t="s">
        <v>221</v>
      </c>
      <c r="K225" s="127" t="s">
        <v>52</v>
      </c>
      <c r="L225" s="208">
        <v>80</v>
      </c>
      <c r="M225" s="237">
        <f>_xlfn.LET(
  _xlpm.analyte, SensorLab[[#This Row],[Analyte]],
  _xlpm.raw, N(SensorLab[[#This Row],[Raw_Value]]),
  _xlpm.scaleF, IFERROR(
    _xlfn.XLOOKUP(_xlpm.analyte, CalibrationCoefficients[Analyte], CalibrationCoefficients[ScaleFactor]),
    1
  ),
  IF(AND(_xlpm.analyte&lt;&gt;"", ISNUMBER(_xlpm.raw)), _xlpm.raw * _xlpm.scaleF, "NA")
)</f>
        <v>0.08</v>
      </c>
      <c r="N225" s="41"/>
      <c r="O225" s="41">
        <v>0.76</v>
      </c>
      <c r="P225" s="41"/>
      <c r="Q225" s="208" cm="1">
        <f t="array" ref="Q225">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0.76</v>
      </c>
      <c r="R225" s="237" cm="1">
        <f t="array" ref="R22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0.96816000000000002</v>
      </c>
      <c r="S225" s="238" cm="1">
        <f t="array" ref="S22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0.93593000000000004</v>
      </c>
      <c r="T225" s="238" cm="1">
        <f t="array" ref="T22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-0.17593</v>
      </c>
      <c r="U225" s="41" t="str" cm="1">
        <f t="array" ref="U22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0.99036 and 0.93480</v>
      </c>
      <c r="V225" s="22"/>
    </row>
    <row r="226" spans="10:22" x14ac:dyDescent="0.15">
      <c r="J226" s="190" t="s">
        <v>221</v>
      </c>
      <c r="K226" s="127" t="s">
        <v>34</v>
      </c>
      <c r="L226" s="208">
        <v>78</v>
      </c>
      <c r="M226" s="237">
        <f>_xlfn.LET(
  _xlpm.analyte, SensorLab[[#This Row],[Analyte]],
  _xlpm.raw, N(SensorLab[[#This Row],[Raw_Value]]),
  _xlpm.scaleF, IFERROR(
    _xlfn.XLOOKUP(_xlpm.analyte, CalibrationCoefficients[Analyte], CalibrationCoefficients[ScaleFactor]),
    1
  ),
  IF(AND(_xlpm.analyte&lt;&gt;"", ISNUMBER(_xlpm.raw)), _xlpm.raw * _xlpm.scaleF, "NA")
)</f>
        <v>7.8000000000000007</v>
      </c>
      <c r="N226" s="41"/>
      <c r="O226" s="41">
        <v>6.98</v>
      </c>
      <c r="P226" s="41"/>
      <c r="Q226" s="208" cm="1">
        <f t="array" ref="Q22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6.98</v>
      </c>
      <c r="R226" s="237" cm="1">
        <f t="array" ref="R22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7.86721</v>
      </c>
      <c r="S226" s="238" cm="1">
        <f t="array" ref="S22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7.8342999999999998</v>
      </c>
      <c r="T226" s="238" cm="1">
        <f t="array" ref="T22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-0.85429999999999995</v>
      </c>
      <c r="U226" s="41" t="str" cm="1">
        <f t="array" ref="U22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7.77728 and 7.25044</v>
      </c>
      <c r="V226" s="22"/>
    </row>
    <row r="227" spans="10:22" x14ac:dyDescent="0.15">
      <c r="J227" s="190" t="s">
        <v>221</v>
      </c>
      <c r="K227" s="127" t="s">
        <v>90</v>
      </c>
      <c r="L227" s="208">
        <v>190</v>
      </c>
      <c r="M227" s="237">
        <f>_xlfn.LET(
  _xlpm.analyte, SensorLab[[#This Row],[Analyte]],
  _xlpm.raw, N(SensorLab[[#This Row],[Raw_Value]]),
  _xlpm.scaleF, IFERROR(
    _xlfn.XLOOKUP(_xlpm.analyte, CalibrationCoefficients[Analyte], CalibrationCoefficients[ScaleFactor]),
    1
  ),
  IF(AND(_xlpm.analyte&lt;&gt;"", ISNUMBER(_xlpm.raw)), _xlpm.raw * _xlpm.scaleF, "NA")
)</f>
        <v>19</v>
      </c>
      <c r="N227" s="41"/>
      <c r="O227" s="41">
        <v>19</v>
      </c>
      <c r="P227" s="41"/>
      <c r="Q227" s="208" cm="1">
        <f t="array" ref="Q227">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19</v>
      </c>
      <c r="R227" s="237" cm="1">
        <f t="array" ref="R22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19.09028</v>
      </c>
      <c r="S227" s="238" cm="1">
        <f t="array" ref="S22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19.053699999999999</v>
      </c>
      <c r="T227" s="238" cm="1">
        <f t="array" ref="T22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-3.9463000000000008</v>
      </c>
      <c r="U227" s="41" t="str" cm="1">
        <f t="array" ref="U22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18.95269 and 19.04731</v>
      </c>
      <c r="V227" s="22"/>
    </row>
    <row r="228" spans="10:22" x14ac:dyDescent="0.15">
      <c r="J228" s="190" t="s">
        <v>221</v>
      </c>
      <c r="K228" s="191" t="s">
        <v>43</v>
      </c>
      <c r="L228" s="208">
        <v>191</v>
      </c>
      <c r="M228" s="237">
        <f>_xlfn.LET(
  _xlpm.analyte, SensorLab[[#This Row],[Analyte]],
  _xlpm.raw, N(SensorLab[[#This Row],[Raw_Value]]),
  _xlpm.scaleF, IFERROR(
    _xlfn.XLOOKUP(_xlpm.analyte, CalibrationCoefficients[Analyte], CalibrationCoefficients[ScaleFactor]),
    1
  ),
  IF(AND(_xlpm.analyte&lt;&gt;"", ISNUMBER(_xlpm.raw)), _xlpm.raw * _xlpm.scaleF, "NA")
)</f>
        <v>19.100000000000001</v>
      </c>
      <c r="N228" s="41"/>
      <c r="O228" s="41">
        <v>19.100000000000001</v>
      </c>
      <c r="P228" s="41"/>
      <c r="Q228" s="208" cm="1">
        <f t="array" ref="Q22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19.100000000000001</v>
      </c>
      <c r="R228" s="237" cm="1">
        <f t="array" ref="R22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19.08569</v>
      </c>
      <c r="S228" s="238" cm="1">
        <f t="array" ref="S22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19.0991</v>
      </c>
      <c r="T228" s="238" cm="1">
        <f t="array" ref="T22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-5.9009</v>
      </c>
      <c r="U228" s="41" t="str" cm="1">
        <f t="array" ref="U22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19.10000 and 19.10000</v>
      </c>
      <c r="V228" s="22"/>
    </row>
    <row r="229" spans="10:22" x14ac:dyDescent="0.15">
      <c r="J229" s="190" t="s">
        <v>221</v>
      </c>
      <c r="K229" s="191" t="s">
        <v>45</v>
      </c>
      <c r="L229" s="208">
        <v>5.1999999999999995E-4</v>
      </c>
      <c r="M229" s="237">
        <f>_xlfn.LET(
  _xlpm.analyte, SensorLab[[#This Row],[Analyte]],
  _xlpm.raw, N(SensorLab[[#This Row],[Raw_Value]]),
  _xlpm.scaleF, IFERROR(
    _xlfn.XLOOKUP(_xlpm.analyte, CalibrationCoefficients[Analyte], CalibrationCoefficients[ScaleFactor]),
    1
  ),
  IF(AND(_xlpm.analyte&lt;&gt;"", ISNUMBER(_xlpm.raw)), _xlpm.raw * _xlpm.scaleF, "NA")
)</f>
        <v>5.1999999999999995E-4</v>
      </c>
      <c r="N229" s="41"/>
      <c r="O229" s="41">
        <v>0.48</v>
      </c>
      <c r="P229" s="41"/>
      <c r="Q229" s="208" cm="1">
        <f t="array" ref="Q229">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0.48</v>
      </c>
      <c r="R229" s="237" cm="1">
        <f t="array" ref="R22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0.60409999999999997</v>
      </c>
      <c r="S229" s="238" cm="1">
        <f t="array" ref="S22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0.6</v>
      </c>
      <c r="T229" s="238" cm="1">
        <f t="array" ref="T22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-0.4</v>
      </c>
      <c r="U229" s="41" t="str" cm="1">
        <f t="array" ref="U22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-0.12000)</v>
      </c>
      <c r="V229" s="22"/>
    </row>
    <row r="230" spans="10:22" x14ac:dyDescent="0.15">
      <c r="J230" s="190" t="s">
        <v>221</v>
      </c>
      <c r="K230" s="127" t="s">
        <v>0</v>
      </c>
      <c r="L230" s="208">
        <v>50.74</v>
      </c>
      <c r="M230" s="237">
        <f>_xlfn.LET(
  _xlpm.analyte, SensorLab[[#This Row],[Analyte]],
  _xlpm.raw, N(SensorLab[[#This Row],[Raw_Value]]),
  _xlpm.scaleF, IFERROR(
    _xlfn.XLOOKUP(_xlpm.analyte, CalibrationCoefficients[Analyte], CalibrationCoefficients[ScaleFactor]),
    1
  ),
  IF(AND(_xlpm.analyte&lt;&gt;"", ISNUMBER(_xlpm.raw)), _xlpm.raw * _xlpm.scaleF, "NA")
)</f>
        <v>50.74</v>
      </c>
      <c r="N230" s="41"/>
      <c r="O230" s="41">
        <v>15</v>
      </c>
      <c r="P230" s="41"/>
      <c r="Q230" s="208" cm="1">
        <f t="array" ref="Q23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15</v>
      </c>
      <c r="R230" s="237" cm="1">
        <f t="array" ref="R23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15</v>
      </c>
      <c r="S230" s="238" cm="1">
        <f t="array" ref="S23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15</v>
      </c>
      <c r="T230" s="238" cm="1">
        <f t="array" ref="T23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230" s="41" t="str" cm="1">
        <f t="array" ref="U23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230" s="22"/>
    </row>
    <row r="231" spans="10:22" x14ac:dyDescent="0.15">
      <c r="J231" s="190" t="s">
        <v>221</v>
      </c>
      <c r="K231" s="127" t="s">
        <v>5</v>
      </c>
      <c r="L231" s="208">
        <v>34.11</v>
      </c>
      <c r="M231" s="237">
        <f>_xlfn.LET(
  _xlpm.analyte, SensorLab[[#This Row],[Analyte]],
  _xlpm.raw, N(SensorLab[[#This Row],[Raw_Value]]),
  _xlpm.scaleF, IFERROR(
    _xlfn.XLOOKUP(_xlpm.analyte, CalibrationCoefficients[Analyte], CalibrationCoefficients[ScaleFactor]),
    1
  ),
  IF(AND(_xlpm.analyte&lt;&gt;"", ISNUMBER(_xlpm.raw)), _xlpm.raw * _xlpm.scaleF, "NA")
)</f>
        <v>34.11</v>
      </c>
      <c r="N231" s="41"/>
      <c r="O231" s="41">
        <v>57.5</v>
      </c>
      <c r="P231" s="41"/>
      <c r="Q231" s="208" cm="1">
        <f t="array" ref="Q231">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57.5</v>
      </c>
      <c r="R231" s="237" cm="1">
        <f t="array" ref="R23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57.5</v>
      </c>
      <c r="S231" s="238" cm="1">
        <f t="array" ref="S23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57.5</v>
      </c>
      <c r="T231" s="238" cm="1">
        <f t="array" ref="T23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231" s="41" t="str" cm="1">
        <f t="array" ref="U23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231" s="22"/>
    </row>
    <row r="232" spans="10:22" x14ac:dyDescent="0.15">
      <c r="J232" s="190" t="s">
        <v>221</v>
      </c>
      <c r="K232" s="127" t="s">
        <v>6</v>
      </c>
      <c r="L232" s="208">
        <v>15.15</v>
      </c>
      <c r="M232" s="237">
        <f>_xlfn.LET(
  _xlpm.analyte, SensorLab[[#This Row],[Analyte]],
  _xlpm.raw, N(SensorLab[[#This Row],[Raw_Value]]),
  _xlpm.scaleF, IFERROR(
    _xlfn.XLOOKUP(_xlpm.analyte, CalibrationCoefficients[Analyte], CalibrationCoefficients[ScaleFactor]),
    1
  ),
  IF(AND(_xlpm.analyte&lt;&gt;"", ISNUMBER(_xlpm.raw)), _xlpm.raw * _xlpm.scaleF, "NA")
)</f>
        <v>15.15</v>
      </c>
      <c r="N232" s="41"/>
      <c r="O232" s="41">
        <v>27.5</v>
      </c>
      <c r="P232" s="41"/>
      <c r="Q232" s="208" cm="1">
        <f t="array" ref="Q23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27.5</v>
      </c>
      <c r="R232" s="237" cm="1">
        <f t="array" ref="R23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27.5</v>
      </c>
      <c r="S232" s="238" cm="1">
        <f t="array" ref="S23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27.5</v>
      </c>
      <c r="T232" s="238" cm="1">
        <f t="array" ref="T23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232" s="41" t="str" cm="1">
        <f t="array" ref="U23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27.50000 and 21.40081</v>
      </c>
      <c r="V232" s="22"/>
    </row>
    <row r="233" spans="10:22" ht="11.25" thickBot="1" x14ac:dyDescent="0.2">
      <c r="J233" s="192" t="s">
        <v>221</v>
      </c>
      <c r="K233" s="193" t="s">
        <v>69</v>
      </c>
      <c r="L233" s="255" t="str" cm="1">
        <f t="array" ref="L233">_xlfn.LET(
  _xlpm.bs,L230, _xlpm.si,L231, _xlpm.c,L232,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M233" s="256" t="str" cm="1">
        <f t="array" ref="M233">_xlfn.LET(
  _xlpm.bs,M230, _xlpm.si,M231, _xlpm.c,M232,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N233" s="245" t="str" cm="1">
        <f t="array" ref="N233">_xlfn.LET(
  _xlpm.bs,N230, _xlpm.si,N231, _xlpm.c,N232,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233" s="245" t="str" cm="1">
        <f t="array" ref="O233">_xlfn.LET(
  _xlpm.bs,O230, _xlpm.si,O231, _xlpm.c,O232,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Silty Clay Loam</v>
      </c>
      <c r="P233" s="245" t="str" cm="1">
        <f t="array" ref="P233">_xlfn.LET(
  _xlpm.bs,P230, _xlpm.si,P231, _xlpm.c,P232,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233" s="255" t="str" cm="1">
        <f t="array" ref="Q233">_xlfn.LET(
  _xlpm.bs,Q230, _xlpm.si,Q231, _xlpm.c,Q232,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Silty Clay Loam</v>
      </c>
      <c r="R233" s="256" t="str" cm="1">
        <f t="array" ref="R233">_xlfn.LET(
  _xlpm.bs,R230, _xlpm.si,R231, _xlpm.c,R232,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Silty Clay Loam</v>
      </c>
      <c r="S233" s="256" t="str" cm="1">
        <f t="array" ref="S233">_xlfn.LET(
  _xlpm.bs,S230, _xlpm.si,S231, _xlpm.c,S232,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Silty Clay Loam</v>
      </c>
      <c r="T233" s="240" cm="1">
        <f t="array" ref="T23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233" s="229" t="str" cm="1">
        <f t="array" ref="U23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(Texture match: Silty Clay Loam)</v>
      </c>
      <c r="V233" s="22"/>
    </row>
    <row r="234" spans="10:22" x14ac:dyDescent="0.15">
      <c r="J234" s="190" t="s">
        <v>222</v>
      </c>
      <c r="K234" s="127" t="s">
        <v>39</v>
      </c>
      <c r="L234" s="208">
        <v>0</v>
      </c>
      <c r="M234"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234" s="41"/>
      <c r="O234" s="41"/>
      <c r="P234" s="41">
        <v>2</v>
      </c>
      <c r="Q234" s="207" cm="1">
        <f t="array" ref="Q23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v>
      </c>
      <c r="R234" s="239" cm="1">
        <f t="array" ref="R23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0.44663000000000003</v>
      </c>
      <c r="S234" s="241" cm="1">
        <f t="array" ref="S23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v>
      </c>
      <c r="T234" s="241" cm="1">
        <f t="array" ref="T23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-6</v>
      </c>
      <c r="U234" s="41" t="str" cm="1">
        <f t="array" ref="U23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1.17402 and 0.44663</v>
      </c>
      <c r="V234" s="22"/>
    </row>
    <row r="235" spans="10:22" x14ac:dyDescent="0.15">
      <c r="J235" s="190" t="s">
        <v>222</v>
      </c>
      <c r="K235" s="191" t="s">
        <v>40</v>
      </c>
      <c r="L235" s="208">
        <v>0</v>
      </c>
      <c r="M235"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235" s="41"/>
      <c r="O235" s="41"/>
      <c r="P235" s="41">
        <v>3</v>
      </c>
      <c r="Q235" s="208" cm="1">
        <f t="array" ref="Q235">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3</v>
      </c>
      <c r="R235" s="237" cm="1">
        <f t="array" ref="R23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5.3140400000000003</v>
      </c>
      <c r="S235" s="238" cm="1">
        <f t="array" ref="S23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4.1240100000000002</v>
      </c>
      <c r="T235" s="238" cm="1">
        <f t="array" ref="T23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-0.87598999999999982</v>
      </c>
      <c r="U235" s="41" t="str" cm="1">
        <f t="array" ref="U23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5.70934 and 4.83034</v>
      </c>
      <c r="V235" s="22"/>
    </row>
    <row r="236" spans="10:22" x14ac:dyDescent="0.15">
      <c r="J236" s="190" t="s">
        <v>222</v>
      </c>
      <c r="K236" s="191" t="s">
        <v>41</v>
      </c>
      <c r="L236" s="208">
        <v>0</v>
      </c>
      <c r="M236"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236" s="41"/>
      <c r="O236" s="41"/>
      <c r="P236" s="41">
        <v>152</v>
      </c>
      <c r="Q236" s="208" cm="1">
        <f t="array" ref="Q23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152</v>
      </c>
      <c r="R236" s="237" cm="1">
        <f t="array" ref="R23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111.50391999999999</v>
      </c>
      <c r="S236" s="238" cm="1">
        <f t="array" ref="S23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97.80395</v>
      </c>
      <c r="T236" s="238" cm="1">
        <f t="array" ref="T23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54.19605</v>
      </c>
      <c r="U236" s="41" t="str" cm="1">
        <f t="array" ref="U23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107.71054 and 110.69054</v>
      </c>
      <c r="V236" s="22"/>
    </row>
    <row r="237" spans="10:22" x14ac:dyDescent="0.15">
      <c r="J237" s="190" t="s">
        <v>222</v>
      </c>
      <c r="K237" s="127" t="s">
        <v>52</v>
      </c>
      <c r="L237" s="208">
        <v>55</v>
      </c>
      <c r="M237" s="237">
        <f>_xlfn.LET(
  _xlpm.analyte, SensorLab[[#This Row],[Analyte]],
  _xlpm.raw, N(SensorLab[[#This Row],[Raw_Value]]),
  _xlpm.scaleF, IFERROR(
    _xlfn.XLOOKUP(_xlpm.analyte, CalibrationCoefficients[Analyte], CalibrationCoefficients[ScaleFactor]),
    1
  ),
  IF(AND(_xlpm.analyte&lt;&gt;"", ISNUMBER(_xlpm.raw)), _xlpm.raw * _xlpm.scaleF, "NA")
)</f>
        <v>5.5E-2</v>
      </c>
      <c r="N237" s="41"/>
      <c r="O237" s="41"/>
      <c r="P237" s="41">
        <v>0.99</v>
      </c>
      <c r="Q237" s="208" cm="1">
        <f t="array" ref="Q237">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0.99</v>
      </c>
      <c r="R237" s="237" cm="1">
        <f t="array" ref="R23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0.95177</v>
      </c>
      <c r="S237" s="238" cm="1">
        <f t="array" ref="S23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0.91954000000000002</v>
      </c>
      <c r="T237" s="238" cm="1">
        <f t="array" ref="T23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7.0459999999999995E-2</v>
      </c>
      <c r="U237" s="41" t="str" cm="1">
        <f t="array" ref="U23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0.98496 and 1.08496</v>
      </c>
      <c r="V237" s="22"/>
    </row>
    <row r="238" spans="10:22" x14ac:dyDescent="0.15">
      <c r="J238" s="190" t="s">
        <v>222</v>
      </c>
      <c r="K238" s="127" t="s">
        <v>34</v>
      </c>
      <c r="L238" s="208">
        <v>78</v>
      </c>
      <c r="M238" s="237">
        <f>_xlfn.LET(
  _xlpm.analyte, SensorLab[[#This Row],[Analyte]],
  _xlpm.raw, N(SensorLab[[#This Row],[Raw_Value]]),
  _xlpm.scaleF, IFERROR(
    _xlfn.XLOOKUP(_xlpm.analyte, CalibrationCoefficients[Analyte], CalibrationCoefficients[ScaleFactor]),
    1
  ),
  IF(AND(_xlpm.analyte&lt;&gt;"", ISNUMBER(_xlpm.raw)), _xlpm.raw * _xlpm.scaleF, "NA")
)</f>
        <v>7.8000000000000007</v>
      </c>
      <c r="N238" s="41"/>
      <c r="O238" s="41"/>
      <c r="P238" s="41">
        <v>8.1999999999999993</v>
      </c>
      <c r="Q238" s="208" cm="1">
        <f t="array" ref="Q23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8.1999999999999993</v>
      </c>
      <c r="R238" s="237" cm="1">
        <f t="array" ref="R23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7.86721</v>
      </c>
      <c r="S238" s="238" cm="1">
        <f t="array" ref="S23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7.8342999999999998</v>
      </c>
      <c r="T238" s="238" cm="1">
        <f t="array" ref="T23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0.36570000000000003</v>
      </c>
      <c r="U238" s="41" t="str" cm="1">
        <f t="array" ref="U23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7.88230 and 7.97728</v>
      </c>
      <c r="V238" s="22"/>
    </row>
    <row r="239" spans="10:22" x14ac:dyDescent="0.15">
      <c r="J239" s="190" t="s">
        <v>222</v>
      </c>
      <c r="K239" s="127" t="s">
        <v>90</v>
      </c>
      <c r="L239" s="208">
        <v>164</v>
      </c>
      <c r="M239" s="237">
        <f>_xlfn.LET(
  _xlpm.analyte, SensorLab[[#This Row],[Analyte]],
  _xlpm.raw, N(SensorLab[[#This Row],[Raw_Value]]),
  _xlpm.scaleF, IFERROR(
    _xlfn.XLOOKUP(_xlpm.analyte, CalibrationCoefficients[Analyte], CalibrationCoefficients[ScaleFactor]),
    1
  ),
  IF(AND(_xlpm.analyte&lt;&gt;"", ISNUMBER(_xlpm.raw)), _xlpm.raw * _xlpm.scaleF, "NA")
)</f>
        <v>16.400000000000002</v>
      </c>
      <c r="N239" s="41"/>
      <c r="O239" s="41"/>
      <c r="P239" s="41">
        <v>16.399999999999999</v>
      </c>
      <c r="Q239" s="208" cm="1">
        <f t="array" ref="Q239">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16.399999999999999</v>
      </c>
      <c r="R239" s="237" cm="1">
        <f t="array" ref="R23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16.436579999999999</v>
      </c>
      <c r="S239" s="238" cm="1">
        <f t="array" ref="S23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16.399999999999999</v>
      </c>
      <c r="T239" s="238" cm="1">
        <f t="array" ref="T23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-7.6000000000000014</v>
      </c>
      <c r="U239" s="41" t="str" cm="1">
        <f t="array" ref="U23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239" s="22"/>
    </row>
    <row r="240" spans="10:22" x14ac:dyDescent="0.15">
      <c r="J240" s="190" t="s">
        <v>222</v>
      </c>
      <c r="K240" s="191" t="s">
        <v>43</v>
      </c>
      <c r="L240" s="208">
        <v>120</v>
      </c>
      <c r="M240" s="237">
        <f>_xlfn.LET(
  _xlpm.analyte, SensorLab[[#This Row],[Analyte]],
  _xlpm.raw, N(SensorLab[[#This Row],[Raw_Value]]),
  _xlpm.scaleF, IFERROR(
    _xlfn.XLOOKUP(_xlpm.analyte, CalibrationCoefficients[Analyte], CalibrationCoefficients[ScaleFactor]),
    1
  ),
  IF(AND(_xlpm.analyte&lt;&gt;"", ISNUMBER(_xlpm.raw)), _xlpm.raw * _xlpm.scaleF, "NA")
)</f>
        <v>12</v>
      </c>
      <c r="N240" s="41"/>
      <c r="O240" s="41"/>
      <c r="P240" s="41">
        <v>12</v>
      </c>
      <c r="Q240" s="208" cm="1">
        <f t="array" ref="Q24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12</v>
      </c>
      <c r="R240" s="237" cm="1">
        <f t="array" ref="R24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11.983919999999999</v>
      </c>
      <c r="S240" s="238" cm="1">
        <f t="array" ref="S24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11.99733</v>
      </c>
      <c r="T240" s="238" cm="1">
        <f t="array" ref="T24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-3.0026700000000002</v>
      </c>
      <c r="U240" s="41" t="str" cm="1">
        <f t="array" ref="U24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12.00000 and 12.00000</v>
      </c>
      <c r="V240" s="22"/>
    </row>
    <row r="241" spans="10:22" x14ac:dyDescent="0.15">
      <c r="J241" s="190" t="s">
        <v>222</v>
      </c>
      <c r="K241" s="191" t="s">
        <v>45</v>
      </c>
      <c r="L241" s="208">
        <v>5.1999999999999995E-4</v>
      </c>
      <c r="M241" s="237">
        <f>_xlfn.LET(
  _xlpm.analyte, SensorLab[[#This Row],[Analyte]],
  _xlpm.raw, N(SensorLab[[#This Row],[Raw_Value]]),
  _xlpm.scaleF, IFERROR(
    _xlfn.XLOOKUP(_xlpm.analyte, CalibrationCoefficients[Analyte], CalibrationCoefficients[ScaleFactor]),
    1
  ),
  IF(AND(_xlpm.analyte&lt;&gt;"", ISNUMBER(_xlpm.raw)), _xlpm.raw * _xlpm.scaleF, "NA")
)</f>
        <v>5.1999999999999995E-4</v>
      </c>
      <c r="N241" s="41"/>
      <c r="O241" s="41"/>
      <c r="P241" s="41">
        <v>0.82</v>
      </c>
      <c r="Q241" s="208" cm="1">
        <f t="array" ref="Q241">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0.82</v>
      </c>
      <c r="R241" s="237" cm="1">
        <f t="array" ref="R24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0.60409999999999997</v>
      </c>
      <c r="S241" s="238" cm="1">
        <f t="array" ref="S24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0.6</v>
      </c>
      <c r="T241" s="238" cm="1">
        <f t="array" ref="T24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0.22</v>
      </c>
      <c r="U241" s="41" t="str" cm="1">
        <f t="array" ref="U24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0.22000)</v>
      </c>
      <c r="V241" s="22"/>
    </row>
    <row r="242" spans="10:22" x14ac:dyDescent="0.15">
      <c r="J242" s="190" t="s">
        <v>222</v>
      </c>
      <c r="K242" s="127" t="s">
        <v>0</v>
      </c>
      <c r="L242" s="208">
        <v>66.77</v>
      </c>
      <c r="M242" s="237">
        <f>_xlfn.LET(
  _xlpm.analyte, SensorLab[[#This Row],[Analyte]],
  _xlpm.raw, N(SensorLab[[#This Row],[Raw_Value]]),
  _xlpm.scaleF, IFERROR(
    _xlfn.XLOOKUP(_xlpm.analyte, CalibrationCoefficients[Analyte], CalibrationCoefficients[ScaleFactor]),
    1
  ),
  IF(AND(_xlpm.analyte&lt;&gt;"", ISNUMBER(_xlpm.raw)), _xlpm.raw * _xlpm.scaleF, "NA")
)</f>
        <v>66.77</v>
      </c>
      <c r="N242" s="41"/>
      <c r="O242" s="41"/>
      <c r="P242" s="41">
        <v>40</v>
      </c>
      <c r="Q242" s="208" cm="1">
        <f t="array" ref="Q24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40</v>
      </c>
      <c r="R242" s="237" cm="1">
        <f t="array" ref="R24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40</v>
      </c>
      <c r="S242" s="238" cm="1">
        <f t="array" ref="S24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40</v>
      </c>
      <c r="T242" s="238" cm="1">
        <f t="array" ref="T24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242" s="41" t="str" cm="1">
        <f t="array" ref="U24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242" s="22"/>
    </row>
    <row r="243" spans="10:22" x14ac:dyDescent="0.15">
      <c r="J243" s="190" t="s">
        <v>222</v>
      </c>
      <c r="K243" s="127" t="s">
        <v>5</v>
      </c>
      <c r="L243" s="208">
        <v>21.5</v>
      </c>
      <c r="M243" s="237">
        <f>_xlfn.LET(
  _xlpm.analyte, SensorLab[[#This Row],[Analyte]],
  _xlpm.raw, N(SensorLab[[#This Row],[Raw_Value]]),
  _xlpm.scaleF, IFERROR(
    _xlfn.XLOOKUP(_xlpm.analyte, CalibrationCoefficients[Analyte], CalibrationCoefficients[ScaleFactor]),
    1
  ),
  IF(AND(_xlpm.analyte&lt;&gt;"", ISNUMBER(_xlpm.raw)), _xlpm.raw * _xlpm.scaleF, "NA")
)</f>
        <v>21.5</v>
      </c>
      <c r="N243" s="41"/>
      <c r="O243" s="41"/>
      <c r="P243" s="41">
        <v>40</v>
      </c>
      <c r="Q243" s="208" cm="1">
        <f t="array" ref="Q243">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40</v>
      </c>
      <c r="R243" s="237" cm="1">
        <f t="array" ref="R24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40</v>
      </c>
      <c r="S243" s="238" cm="1">
        <f t="array" ref="S24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40</v>
      </c>
      <c r="T243" s="238" cm="1">
        <f t="array" ref="T24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243" s="41" t="str" cm="1">
        <f t="array" ref="U24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243" s="22"/>
    </row>
    <row r="244" spans="10:22" x14ac:dyDescent="0.15">
      <c r="J244" s="190" t="s">
        <v>222</v>
      </c>
      <c r="K244" s="127" t="s">
        <v>6</v>
      </c>
      <c r="L244" s="208">
        <v>11.73</v>
      </c>
      <c r="M244" s="237">
        <f>_xlfn.LET(
  _xlpm.analyte, SensorLab[[#This Row],[Analyte]],
  _xlpm.raw, N(SensorLab[[#This Row],[Raw_Value]]),
  _xlpm.scaleF, IFERROR(
    _xlfn.XLOOKUP(_xlpm.analyte, CalibrationCoefficients[Analyte], CalibrationCoefficients[ScaleFactor]),
    1
  ),
  IF(AND(_xlpm.analyte&lt;&gt;"", ISNUMBER(_xlpm.raw)), _xlpm.raw * _xlpm.scaleF, "NA")
)</f>
        <v>11.73</v>
      </c>
      <c r="N244" s="41"/>
      <c r="O244" s="41"/>
      <c r="P244" s="41">
        <v>20</v>
      </c>
      <c r="Q244" s="208" cm="1">
        <f t="array" ref="Q24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20</v>
      </c>
      <c r="R244" s="237" cm="1">
        <f t="array" ref="R24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20</v>
      </c>
      <c r="S244" s="238" cm="1">
        <f t="array" ref="S24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20</v>
      </c>
      <c r="T244" s="238" cm="1">
        <f t="array" ref="T24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244" s="41" t="str" cm="1">
        <f t="array" ref="U24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244" s="22"/>
    </row>
    <row r="245" spans="10:22" ht="11.25" thickBot="1" x14ac:dyDescent="0.2">
      <c r="J245" s="190" t="s">
        <v>222</v>
      </c>
      <c r="K245" s="193" t="s">
        <v>69</v>
      </c>
      <c r="L245" s="255" t="str" cm="1">
        <f t="array" ref="L245">_xlfn.LET(
  _xlpm.bs,L242, _xlpm.si,L243, _xlpm.c,L244,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M245" s="256" t="str" cm="1">
        <f t="array" ref="M245">_xlfn.LET(
  _xlpm.bs,M242, _xlpm.si,M243, _xlpm.c,M244,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N245" s="245" t="str" cm="1">
        <f t="array" ref="N245">_xlfn.LET(
  _xlpm.bs,N242, _xlpm.si,N243, _xlpm.c,N244,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245" s="245" t="str" cm="1">
        <f t="array" ref="O245">_xlfn.LET(
  _xlpm.bs,O242, _xlpm.si,O243, _xlpm.c,O244,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P245" s="245" t="str" cm="1">
        <f t="array" ref="P245">_xlfn.LET(
  _xlpm.bs,P242, _xlpm.si,P243, _xlpm.c,P244,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Q245" s="255" t="str" cm="1">
        <f t="array" ref="Q245">_xlfn.LET(
  _xlpm.bs,Q242, _xlpm.si,Q243, _xlpm.c,Q244,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R245" s="256" t="str" cm="1">
        <f t="array" ref="R245">_xlfn.LET(
  _xlpm.bs,R242, _xlpm.si,R243, _xlpm.c,R244,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S245" s="256" t="str" cm="1">
        <f t="array" ref="S245">_xlfn.LET(
  _xlpm.bs,S242, _xlpm.si,S243, _xlpm.c,S244,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T245" s="240" cm="1">
        <f t="array" ref="T24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245" s="229" t="str" cm="1">
        <f t="array" ref="U24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(Texture match: Loam)</v>
      </c>
      <c r="V245" s="22"/>
    </row>
    <row r="246" spans="10:22" x14ac:dyDescent="0.15">
      <c r="J246" s="188" t="s">
        <v>223</v>
      </c>
      <c r="K246" s="189" t="s">
        <v>39</v>
      </c>
      <c r="L246" s="207">
        <v>0</v>
      </c>
      <c r="M246" s="239">
        <f>_xlfn.LET(
  _xlpm.analyte, SensorLab[[#This Row],[Analyte]],
  _xlpm.raw, N(SensorLab[[#This Row],[Raw_Value]]),
  _xlpm.scaleF, IFERROR(
    _xlfn.XLOOKUP(_xlpm.analyte, CalibrationCoefficients[Analyte], CalibrationCoefficients[ScaleFactor]),
    1
  ),
  IF(AND(_xlpm.analyte&lt;&gt;"", ISNUMBER(_xlpm.raw)), _xlpm.raw * _xlpm.scaleF, "NA")
)</f>
        <v>0</v>
      </c>
      <c r="N246" s="228"/>
      <c r="O246" s="228">
        <v>2</v>
      </c>
      <c r="P246" s="228"/>
      <c r="Q246" s="207" cm="1">
        <f t="array" ref="Q24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v>
      </c>
      <c r="R246" s="239" cm="1">
        <f t="array" ref="R24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0.44663000000000003</v>
      </c>
      <c r="S246" s="241" cm="1">
        <f t="array" ref="S24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v>
      </c>
      <c r="T246" s="241" cm="1">
        <f t="array" ref="T24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-8</v>
      </c>
      <c r="U246" s="228" t="str" cm="1">
        <f t="array" ref="U24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1.17402 and 0.44663</v>
      </c>
      <c r="V246" s="22"/>
    </row>
    <row r="247" spans="10:22" x14ac:dyDescent="0.15">
      <c r="J247" s="190" t="s">
        <v>223</v>
      </c>
      <c r="K247" s="191" t="s">
        <v>40</v>
      </c>
      <c r="L247" s="208">
        <v>27</v>
      </c>
      <c r="M247" s="237">
        <f>_xlfn.LET(
  _xlpm.analyte, SensorLab[[#This Row],[Analyte]],
  _xlpm.raw, N(SensorLab[[#This Row],[Raw_Value]]),
  _xlpm.scaleF, IFERROR(
    _xlfn.XLOOKUP(_xlpm.analyte, CalibrationCoefficients[Analyte], CalibrationCoefficients[ScaleFactor]),
    1
  ),
  IF(AND(_xlpm.analyte&lt;&gt;"", ISNUMBER(_xlpm.raw)), _xlpm.raw * _xlpm.scaleF, "NA")
)</f>
        <v>27</v>
      </c>
      <c r="N247" s="41"/>
      <c r="O247" s="41">
        <v>5.67</v>
      </c>
      <c r="P247" s="41"/>
      <c r="Q247" s="208" cm="1">
        <f t="array" ref="Q247">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5.67</v>
      </c>
      <c r="R247" s="237" cm="1">
        <f t="array" ref="R24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5.9895899999999997</v>
      </c>
      <c r="S247" s="238" cm="1">
        <f t="array" ref="S24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4.7995599999999996</v>
      </c>
      <c r="T247" s="238" cm="1">
        <f t="array" ref="T24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-1.2004400000000004</v>
      </c>
      <c r="U247" s="41" t="str" cm="1">
        <f t="array" ref="U24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6.07762 and 7.19762</v>
      </c>
      <c r="V247" s="22"/>
    </row>
    <row r="248" spans="10:22" x14ac:dyDescent="0.15">
      <c r="J248" s="190" t="s">
        <v>223</v>
      </c>
      <c r="K248" s="191" t="s">
        <v>41</v>
      </c>
      <c r="L248" s="208">
        <v>19</v>
      </c>
      <c r="M248" s="237">
        <f>_xlfn.LET(
  _xlpm.analyte, SensorLab[[#This Row],[Analyte]],
  _xlpm.raw, N(SensorLab[[#This Row],[Raw_Value]]),
  _xlpm.scaleF, IFERROR(
    _xlfn.XLOOKUP(_xlpm.analyte, CalibrationCoefficients[Analyte], CalibrationCoefficients[ScaleFactor]),
    1
  ),
  IF(AND(_xlpm.analyte&lt;&gt;"", ISNUMBER(_xlpm.raw)), _xlpm.raw * _xlpm.scaleF, "NA")
)</f>
        <v>19</v>
      </c>
      <c r="N248" s="41"/>
      <c r="O248" s="41">
        <v>74</v>
      </c>
      <c r="P248" s="41"/>
      <c r="Q248" s="208" cm="1">
        <f t="array" ref="Q24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74</v>
      </c>
      <c r="R248" s="237" cm="1">
        <f t="array" ref="R24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117.47356000000001</v>
      </c>
      <c r="S248" s="238" cm="1">
        <f t="array" ref="S24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103.77359</v>
      </c>
      <c r="T248" s="238" cm="1">
        <f t="array" ref="T24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-29.773589999999999</v>
      </c>
      <c r="U248" s="41" t="str" cm="1">
        <f t="array" ref="U24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114.25345 and 98.71243</v>
      </c>
      <c r="V248" s="22"/>
    </row>
    <row r="249" spans="10:22" x14ac:dyDescent="0.15">
      <c r="J249" s="190" t="s">
        <v>223</v>
      </c>
      <c r="K249" s="127" t="s">
        <v>52</v>
      </c>
      <c r="L249" s="208">
        <v>145</v>
      </c>
      <c r="M249" s="237">
        <f>_xlfn.LET(
  _xlpm.analyte, SensorLab[[#This Row],[Analyte]],
  _xlpm.raw, N(SensorLab[[#This Row],[Raw_Value]]),
  _xlpm.scaleF, IFERROR(
    _xlfn.XLOOKUP(_xlpm.analyte, CalibrationCoefficients[Analyte], CalibrationCoefficients[ScaleFactor]),
    1
  ),
  IF(AND(_xlpm.analyte&lt;&gt;"", ISNUMBER(_xlpm.raw)), _xlpm.raw * _xlpm.scaleF, "NA")
)</f>
        <v>0.14499999999999999</v>
      </c>
      <c r="N249" s="41"/>
      <c r="O249" s="41">
        <v>1.17</v>
      </c>
      <c r="P249" s="41"/>
      <c r="Q249" s="208" cm="1">
        <f t="array" ref="Q249">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1.17</v>
      </c>
      <c r="R249" s="237" cm="1">
        <f t="array" ref="R24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1.01075</v>
      </c>
      <c r="S249" s="238" cm="1">
        <f t="array" ref="S24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0.97851999999999995</v>
      </c>
      <c r="T249" s="238" cm="1">
        <f t="array" ref="T24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0.19148000000000001</v>
      </c>
      <c r="U249" s="41" t="str" cm="1">
        <f t="array" ref="U24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1.00440 and 1.10440</v>
      </c>
      <c r="V249" s="22"/>
    </row>
    <row r="250" spans="10:22" x14ac:dyDescent="0.15">
      <c r="J250" s="190" t="s">
        <v>223</v>
      </c>
      <c r="K250" s="127" t="s">
        <v>34</v>
      </c>
      <c r="L250" s="208">
        <v>75</v>
      </c>
      <c r="M250" s="237">
        <f>_xlfn.LET(
  _xlpm.analyte, SensorLab[[#This Row],[Analyte]],
  _xlpm.raw, N(SensorLab[[#This Row],[Raw_Value]]),
  _xlpm.scaleF, IFERROR(
    _xlfn.XLOOKUP(_xlpm.analyte, CalibrationCoefficients[Analyte], CalibrationCoefficients[ScaleFactor]),
    1
  ),
  IF(AND(_xlpm.analyte&lt;&gt;"", ISNUMBER(_xlpm.raw)), _xlpm.raw * _xlpm.scaleF, "NA")
)</f>
        <v>7.5</v>
      </c>
      <c r="N250" s="41"/>
      <c r="O250" s="41">
        <v>7.54</v>
      </c>
      <c r="P250" s="41"/>
      <c r="Q250" s="208" cm="1">
        <f t="array" ref="Q25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7.54</v>
      </c>
      <c r="R250" s="237" cm="1">
        <f t="array" ref="R25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7.8809199999999997</v>
      </c>
      <c r="S250" s="238" cm="1">
        <f t="array" ref="S25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7.8480100000000004</v>
      </c>
      <c r="T250" s="238" cm="1">
        <f t="array" ref="T25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-0.30801000000000001</v>
      </c>
      <c r="U250" s="41" t="str" cm="1">
        <f t="array" ref="U25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7.79272 and 7.83213</v>
      </c>
      <c r="V250" s="22"/>
    </row>
    <row r="251" spans="10:22" x14ac:dyDescent="0.15">
      <c r="J251" s="190" t="s">
        <v>223</v>
      </c>
      <c r="K251" s="127" t="s">
        <v>90</v>
      </c>
      <c r="L251" s="208">
        <v>151</v>
      </c>
      <c r="M251" s="237">
        <f>_xlfn.LET(
  _xlpm.analyte, SensorLab[[#This Row],[Analyte]],
  _xlpm.raw, N(SensorLab[[#This Row],[Raw_Value]]),
  _xlpm.scaleF, IFERROR(
    _xlfn.XLOOKUP(_xlpm.analyte, CalibrationCoefficients[Analyte], CalibrationCoefficients[ScaleFactor]),
    1
  ),
  IF(AND(_xlpm.analyte&lt;&gt;"", ISNUMBER(_xlpm.raw)), _xlpm.raw * _xlpm.scaleF, "NA")
)</f>
        <v>15.100000000000001</v>
      </c>
      <c r="N251" s="41"/>
      <c r="O251" s="41">
        <v>15.1</v>
      </c>
      <c r="P251" s="41"/>
      <c r="Q251" s="208" cm="1">
        <f t="array" ref="Q251">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15.1</v>
      </c>
      <c r="R251" s="237" cm="1">
        <f t="array" ref="R25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15.109730000000001</v>
      </c>
      <c r="S251" s="238" cm="1">
        <f t="array" ref="S25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15.07315</v>
      </c>
      <c r="T251" s="238" cm="1">
        <f t="array" ref="T25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-8.92685</v>
      </c>
      <c r="U251" s="41" t="str" cm="1">
        <f t="array" ref="U25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0.02685)</v>
      </c>
      <c r="V251" s="22"/>
    </row>
    <row r="252" spans="10:22" x14ac:dyDescent="0.15">
      <c r="J252" s="190" t="s">
        <v>223</v>
      </c>
      <c r="K252" s="191" t="s">
        <v>43</v>
      </c>
      <c r="L252" s="208">
        <v>203</v>
      </c>
      <c r="M252" s="237">
        <f>_xlfn.LET(
  _xlpm.analyte, SensorLab[[#This Row],[Analyte]],
  _xlpm.raw, N(SensorLab[[#This Row],[Raw_Value]]),
  _xlpm.scaleF, IFERROR(
    _xlfn.XLOOKUP(_xlpm.analyte, CalibrationCoefficients[Analyte], CalibrationCoefficients[ScaleFactor]),
    1
  ),
  IF(AND(_xlpm.analyte&lt;&gt;"", ISNUMBER(_xlpm.raw)), _xlpm.raw * _xlpm.scaleF, "NA")
)</f>
        <v>20.3</v>
      </c>
      <c r="N252" s="41"/>
      <c r="O252" s="41">
        <v>20.3</v>
      </c>
      <c r="P252" s="41"/>
      <c r="Q252" s="208" cm="1">
        <f t="array" ref="Q25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20.3</v>
      </c>
      <c r="R252" s="237" cm="1">
        <f t="array" ref="R25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20.285990000000002</v>
      </c>
      <c r="S252" s="238" cm="1">
        <f t="array" ref="S25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20.299399999999999</v>
      </c>
      <c r="T252" s="238" cm="1">
        <f t="array" ref="T25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5.9999999999999995E-4</v>
      </c>
      <c r="U252" s="41" t="str" cm="1">
        <f t="array" ref="U25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20.30000 and 20.30000</v>
      </c>
      <c r="V252" s="22"/>
    </row>
    <row r="253" spans="10:22" x14ac:dyDescent="0.15">
      <c r="J253" s="190" t="s">
        <v>223</v>
      </c>
      <c r="K253" s="191" t="s">
        <v>45</v>
      </c>
      <c r="L253" s="208">
        <v>5.1999999999999995E-4</v>
      </c>
      <c r="M253" s="237">
        <f>_xlfn.LET(
  _xlpm.analyte, SensorLab[[#This Row],[Analyte]],
  _xlpm.raw, N(SensorLab[[#This Row],[Raw_Value]]),
  _xlpm.scaleF, IFERROR(
    _xlfn.XLOOKUP(_xlpm.analyte, CalibrationCoefficients[Analyte], CalibrationCoefficients[ScaleFactor]),
    1
  ),
  IF(AND(_xlpm.analyte&lt;&gt;"", ISNUMBER(_xlpm.raw)), _xlpm.raw * _xlpm.scaleF, "NA")
)</f>
        <v>5.1999999999999995E-4</v>
      </c>
      <c r="N253" s="41"/>
      <c r="O253" s="41">
        <v>0.39</v>
      </c>
      <c r="P253" s="41"/>
      <c r="Q253" s="208" cm="1">
        <f t="array" ref="Q253">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0.39</v>
      </c>
      <c r="R253" s="237" cm="1">
        <f t="array" ref="R25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0.60409999999999997</v>
      </c>
      <c r="S253" s="238" cm="1">
        <f t="array" ref="S25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0.6</v>
      </c>
      <c r="T253" s="238" cm="1">
        <f t="array" ref="T25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-0.21</v>
      </c>
      <c r="U253" s="41" t="str" cm="1">
        <f t="array" ref="U25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0.21864 and 0.56136</v>
      </c>
      <c r="V253" s="22"/>
    </row>
    <row r="254" spans="10:22" x14ac:dyDescent="0.15">
      <c r="J254" s="190" t="s">
        <v>223</v>
      </c>
      <c r="K254" s="127" t="s">
        <v>0</v>
      </c>
      <c r="L254" s="208">
        <v>50.23</v>
      </c>
      <c r="M254" s="237">
        <f>_xlfn.LET(
  _xlpm.analyte, SensorLab[[#This Row],[Analyte]],
  _xlpm.raw, N(SensorLab[[#This Row],[Raw_Value]]),
  _xlpm.scaleF, IFERROR(
    _xlfn.XLOOKUP(_xlpm.analyte, CalibrationCoefficients[Analyte], CalibrationCoefficients[ScaleFactor]),
    1
  ),
  IF(AND(_xlpm.analyte&lt;&gt;"", ISNUMBER(_xlpm.raw)), _xlpm.raw * _xlpm.scaleF, "NA")
)</f>
        <v>50.23</v>
      </c>
      <c r="N254" s="41"/>
      <c r="O254" s="41">
        <v>12.5</v>
      </c>
      <c r="P254" s="41"/>
      <c r="Q254" s="208" cm="1">
        <f t="array" ref="Q25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12.5</v>
      </c>
      <c r="R254" s="237" cm="1">
        <f t="array" ref="R25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12.5</v>
      </c>
      <c r="S254" s="238" cm="1">
        <f t="array" ref="S25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12.5</v>
      </c>
      <c r="T254" s="238" cm="1">
        <f t="array" ref="T25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254" s="41" t="str" cm="1">
        <f t="array" ref="U25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14.93332 and 12.50000</v>
      </c>
      <c r="V254" s="22"/>
    </row>
    <row r="255" spans="10:22" x14ac:dyDescent="0.15">
      <c r="J255" s="190" t="s">
        <v>223</v>
      </c>
      <c r="K255" s="127" t="s">
        <v>5</v>
      </c>
      <c r="L255" s="208">
        <v>34.380000000000003</v>
      </c>
      <c r="M255" s="237">
        <f>_xlfn.LET(
  _xlpm.analyte, SensorLab[[#This Row],[Analyte]],
  _xlpm.raw, N(SensorLab[[#This Row],[Raw_Value]]),
  _xlpm.scaleF, IFERROR(
    _xlfn.XLOOKUP(_xlpm.analyte, CalibrationCoefficients[Analyte], CalibrationCoefficients[ScaleFactor]),
    1
  ),
  IF(AND(_xlpm.analyte&lt;&gt;"", ISNUMBER(_xlpm.raw)), _xlpm.raw * _xlpm.scaleF, "NA")
)</f>
        <v>34.380000000000003</v>
      </c>
      <c r="N255" s="41"/>
      <c r="O255" s="41">
        <v>65</v>
      </c>
      <c r="P255" s="41"/>
      <c r="Q255" s="208" cm="1">
        <f t="array" ref="Q255">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65</v>
      </c>
      <c r="R255" s="237" cm="1">
        <f t="array" ref="R25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65</v>
      </c>
      <c r="S255" s="238" cm="1">
        <f t="array" ref="S25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65</v>
      </c>
      <c r="T255" s="238" cm="1">
        <f t="array" ref="T25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255" s="41" t="str" cm="1">
        <f t="array" ref="U25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255" s="22"/>
    </row>
    <row r="256" spans="10:22" x14ac:dyDescent="0.15">
      <c r="J256" s="190" t="s">
        <v>223</v>
      </c>
      <c r="K256" s="127" t="s">
        <v>6</v>
      </c>
      <c r="L256" s="208">
        <v>15.39</v>
      </c>
      <c r="M256" s="237">
        <f>_xlfn.LET(
  _xlpm.analyte, SensorLab[[#This Row],[Analyte]],
  _xlpm.raw, N(SensorLab[[#This Row],[Raw_Value]]),
  _xlpm.scaleF, IFERROR(
    _xlfn.XLOOKUP(_xlpm.analyte, CalibrationCoefficients[Analyte], CalibrationCoefficients[ScaleFactor]),
    1
  ),
  IF(AND(_xlpm.analyte&lt;&gt;"", ISNUMBER(_xlpm.raw)), _xlpm.raw * _xlpm.scaleF, "NA")
)</f>
        <v>15.39</v>
      </c>
      <c r="N256" s="41"/>
      <c r="O256" s="41">
        <v>22.5</v>
      </c>
      <c r="P256" s="41"/>
      <c r="Q256" s="208" cm="1">
        <f t="array" ref="Q25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22.5</v>
      </c>
      <c r="R256" s="237" cm="1">
        <f t="array" ref="R25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22.5</v>
      </c>
      <c r="S256" s="238" cm="1">
        <f t="array" ref="S25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22.5</v>
      </c>
      <c r="T256" s="238" cm="1">
        <f t="array" ref="T25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256" s="41" t="str" cm="1">
        <f t="array" ref="U25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22.50000 and 21.34406</v>
      </c>
      <c r="V256" s="22"/>
    </row>
    <row r="257" spans="10:22" ht="11.25" thickBot="1" x14ac:dyDescent="0.2">
      <c r="J257" s="190" t="s">
        <v>223</v>
      </c>
      <c r="K257" s="193" t="s">
        <v>69</v>
      </c>
      <c r="L257" s="255" t="str" cm="1">
        <f t="array" ref="L257">_xlfn.LET(
  _xlpm.bs,L254, _xlpm.si,L255, _xlpm.c,L256,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M257" s="256" t="str" cm="1">
        <f t="array" ref="M257">_xlfn.LET(
  _xlpm.bs,M254, _xlpm.si,M255, _xlpm.c,M256,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N257" s="245" t="str" cm="1">
        <f t="array" ref="N257">_xlfn.LET(
  _xlpm.bs,N254, _xlpm.si,N255, _xlpm.c,N256,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257" s="245" t="str" cm="1">
        <f t="array" ref="O257">_xlfn.LET(
  _xlpm.bs,O254, _xlpm.si,O255, _xlpm.c,O256,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P257" s="245" t="str" cm="1">
        <f t="array" ref="P257">_xlfn.LET(
  _xlpm.bs,P254, _xlpm.si,P255, _xlpm.c,P256,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257" s="255" t="str" cm="1">
        <f t="array" ref="Q257">_xlfn.LET(
  _xlpm.bs,Q254, _xlpm.si,Q255, _xlpm.c,Q256,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R257" s="256" t="str" cm="1">
        <f t="array" ref="R257">_xlfn.LET(
  _xlpm.bs,R254, _xlpm.si,R255, _xlpm.c,R256,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S257" s="256" t="str" cm="1">
        <f t="array" ref="S257">_xlfn.LET(
  _xlpm.bs,S254, _xlpm.si,S255, _xlpm.c,S256,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T257" s="240" cm="1">
        <f t="array" ref="T25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257" s="229" t="str" cm="1">
        <f t="array" ref="U25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(Texture match: Silt Loam)</v>
      </c>
      <c r="V257" s="22"/>
    </row>
    <row r="258" spans="10:22" x14ac:dyDescent="0.15">
      <c r="J258" s="188" t="s">
        <v>224</v>
      </c>
      <c r="K258" s="189" t="s">
        <v>39</v>
      </c>
      <c r="L258" s="207">
        <v>0</v>
      </c>
      <c r="M258" s="239">
        <f>_xlfn.LET(
  _xlpm.analyte, SensorLab[[#This Row],[Analyte]],
  _xlpm.raw, N(SensorLab[[#This Row],[Raw_Value]]),
  _xlpm.scaleF, IFERROR(
    _xlfn.XLOOKUP(_xlpm.analyte, CalibrationCoefficients[Analyte], CalibrationCoefficients[ScaleFactor]),
    1
  ),
  IF(AND(_xlpm.analyte&lt;&gt;"", ISNUMBER(_xlpm.raw)), _xlpm.raw * _xlpm.scaleF, "NA")
)</f>
        <v>0</v>
      </c>
      <c r="N258" s="228"/>
      <c r="O258" s="228">
        <v>2</v>
      </c>
      <c r="P258" s="228"/>
      <c r="Q258" s="207" cm="1">
        <f t="array" ref="Q25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v>
      </c>
      <c r="R258" s="239" cm="1">
        <f t="array" ref="R25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0.44663000000000003</v>
      </c>
      <c r="S258" s="241" cm="1">
        <f t="array" ref="S25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v>
      </c>
      <c r="T258" s="241" cm="1">
        <f t="array" ref="T25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-8</v>
      </c>
      <c r="U258" s="228" t="str" cm="1">
        <f t="array" ref="U25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1.17402 and 0.44663</v>
      </c>
      <c r="V258" s="22"/>
    </row>
    <row r="259" spans="10:22" x14ac:dyDescent="0.15">
      <c r="J259" s="190" t="s">
        <v>224</v>
      </c>
      <c r="K259" s="191" t="s">
        <v>40</v>
      </c>
      <c r="L259" s="208">
        <v>27</v>
      </c>
      <c r="M259" s="237">
        <f>_xlfn.LET(
  _xlpm.analyte, SensorLab[[#This Row],[Analyte]],
  _xlpm.raw, N(SensorLab[[#This Row],[Raw_Value]]),
  _xlpm.scaleF, IFERROR(
    _xlfn.XLOOKUP(_xlpm.analyte, CalibrationCoefficients[Analyte], CalibrationCoefficients[ScaleFactor]),
    1
  ),
  IF(AND(_xlpm.analyte&lt;&gt;"", ISNUMBER(_xlpm.raw)), _xlpm.raw * _xlpm.scaleF, "NA")
)</f>
        <v>27</v>
      </c>
      <c r="N259" s="41"/>
      <c r="O259" s="41">
        <v>4.83</v>
      </c>
      <c r="P259" s="41"/>
      <c r="Q259" s="208" cm="1">
        <f t="array" ref="Q259">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4.83</v>
      </c>
      <c r="R259" s="237" cm="1">
        <f t="array" ref="R25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5.9895899999999997</v>
      </c>
      <c r="S259" s="238" cm="1">
        <f t="array" ref="S25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4.7995599999999996</v>
      </c>
      <c r="T259" s="238" cm="1">
        <f t="array" ref="T25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-1.2004400000000004</v>
      </c>
      <c r="U259" s="41" t="str" cm="1">
        <f t="array" ref="U25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6.07762 and 7.19762</v>
      </c>
      <c r="V259" s="22"/>
    </row>
    <row r="260" spans="10:22" x14ac:dyDescent="0.15">
      <c r="J260" s="190" t="s">
        <v>224</v>
      </c>
      <c r="K260" s="191" t="s">
        <v>41</v>
      </c>
      <c r="L260" s="208">
        <v>19</v>
      </c>
      <c r="M260" s="237">
        <f>_xlfn.LET(
  _xlpm.analyte, SensorLab[[#This Row],[Analyte]],
  _xlpm.raw, N(SensorLab[[#This Row],[Raw_Value]]),
  _xlpm.scaleF, IFERROR(
    _xlfn.XLOOKUP(_xlpm.analyte, CalibrationCoefficients[Analyte], CalibrationCoefficients[ScaleFactor]),
    1
  ),
  IF(AND(_xlpm.analyte&lt;&gt;"", ISNUMBER(_xlpm.raw)), _xlpm.raw * _xlpm.scaleF, "NA")
)</f>
        <v>19</v>
      </c>
      <c r="N260" s="41"/>
      <c r="O260" s="41">
        <v>78</v>
      </c>
      <c r="P260" s="41"/>
      <c r="Q260" s="208" cm="1">
        <f t="array" ref="Q26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78</v>
      </c>
      <c r="R260" s="237" cm="1">
        <f t="array" ref="R26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117.47356000000001</v>
      </c>
      <c r="S260" s="238" cm="1">
        <f t="array" ref="S26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103.77359</v>
      </c>
      <c r="T260" s="238" cm="1">
        <f t="array" ref="T26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-25.773589999999999</v>
      </c>
      <c r="U260" s="41" t="str" cm="1">
        <f t="array" ref="U26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114.25345 and 104.04824</v>
      </c>
      <c r="V260" s="22"/>
    </row>
    <row r="261" spans="10:22" x14ac:dyDescent="0.15">
      <c r="J261" s="190" t="s">
        <v>224</v>
      </c>
      <c r="K261" s="127" t="s">
        <v>52</v>
      </c>
      <c r="L261" s="208">
        <v>145</v>
      </c>
      <c r="M261" s="237">
        <f>_xlfn.LET(
  _xlpm.analyte, SensorLab[[#This Row],[Analyte]],
  _xlpm.raw, N(SensorLab[[#This Row],[Raw_Value]]),
  _xlpm.scaleF, IFERROR(
    _xlfn.XLOOKUP(_xlpm.analyte, CalibrationCoefficients[Analyte], CalibrationCoefficients[ScaleFactor]),
    1
  ),
  IF(AND(_xlpm.analyte&lt;&gt;"", ISNUMBER(_xlpm.raw)), _xlpm.raw * _xlpm.scaleF, "NA")
)</f>
        <v>0.14499999999999999</v>
      </c>
      <c r="N261" s="41"/>
      <c r="O261" s="41">
        <v>1.06</v>
      </c>
      <c r="P261" s="41"/>
      <c r="Q261" s="208" cm="1">
        <f t="array" ref="Q261">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1.06</v>
      </c>
      <c r="R261" s="237" cm="1">
        <f t="array" ref="R26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1.01075</v>
      </c>
      <c r="S261" s="238" cm="1">
        <f t="array" ref="S26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0.97851999999999995</v>
      </c>
      <c r="T261" s="238" cm="1">
        <f t="array" ref="T26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8.1479999999999997E-2</v>
      </c>
      <c r="U261" s="41" t="str" cm="1">
        <f t="array" ref="U26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1.00440 and 1.10440</v>
      </c>
      <c r="V261" s="22"/>
    </row>
    <row r="262" spans="10:22" x14ac:dyDescent="0.15">
      <c r="J262" s="190" t="s">
        <v>224</v>
      </c>
      <c r="K262" s="127" t="s">
        <v>34</v>
      </c>
      <c r="L262" s="208">
        <v>71</v>
      </c>
      <c r="M262" s="237">
        <f>_xlfn.LET(
  _xlpm.analyte, SensorLab[[#This Row],[Analyte]],
  _xlpm.raw, N(SensorLab[[#This Row],[Raw_Value]]),
  _xlpm.scaleF, IFERROR(
    _xlfn.XLOOKUP(_xlpm.analyte, CalibrationCoefficients[Analyte], CalibrationCoefficients[ScaleFactor]),
    1
  ),
  IF(AND(_xlpm.analyte&lt;&gt;"", ISNUMBER(_xlpm.raw)), _xlpm.raw * _xlpm.scaleF, "NA")
)</f>
        <v>7.1000000000000005</v>
      </c>
      <c r="N262" s="41"/>
      <c r="O262" s="41">
        <v>7.62</v>
      </c>
      <c r="P262" s="41"/>
      <c r="Q262" s="208" cm="1">
        <f t="array" ref="Q26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7.62</v>
      </c>
      <c r="R262" s="237" cm="1">
        <f t="array" ref="R26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7.8992000000000004</v>
      </c>
      <c r="S262" s="238" cm="1">
        <f t="array" ref="S26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7.8662900000000002</v>
      </c>
      <c r="T262" s="238" cm="1">
        <f t="array" ref="T26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-0.24629000000000001</v>
      </c>
      <c r="U262" s="41" t="str" cm="1">
        <f t="array" ref="U26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-0.24629)</v>
      </c>
      <c r="V262" s="22"/>
    </row>
    <row r="263" spans="10:22" x14ac:dyDescent="0.15">
      <c r="J263" s="190" t="s">
        <v>224</v>
      </c>
      <c r="K263" s="127" t="s">
        <v>90</v>
      </c>
      <c r="L263" s="208">
        <v>165</v>
      </c>
      <c r="M263" s="237">
        <f>_xlfn.LET(
  _xlpm.analyte, SensorLab[[#This Row],[Analyte]],
  _xlpm.raw, N(SensorLab[[#This Row],[Raw_Value]]),
  _xlpm.scaleF, IFERROR(
    _xlfn.XLOOKUP(_xlpm.analyte, CalibrationCoefficients[Analyte], CalibrationCoefficients[ScaleFactor]),
    1
  ),
  IF(AND(_xlpm.analyte&lt;&gt;"", ISNUMBER(_xlpm.raw)), _xlpm.raw * _xlpm.scaleF, "NA")
)</f>
        <v>16.5</v>
      </c>
      <c r="N263" s="41"/>
      <c r="O263" s="41">
        <v>16.5</v>
      </c>
      <c r="P263" s="41"/>
      <c r="Q263" s="208" cm="1">
        <f t="array" ref="Q263">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16.5</v>
      </c>
      <c r="R263" s="237" cm="1">
        <f t="array" ref="R26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16.538640000000001</v>
      </c>
      <c r="S263" s="238" cm="1">
        <f t="array" ref="S26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16.50206</v>
      </c>
      <c r="T263" s="238" cm="1">
        <f t="array" ref="T26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-7.4979399999999998</v>
      </c>
      <c r="U263" s="41" t="str" cm="1">
        <f t="array" ref="U26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-0.00206)</v>
      </c>
      <c r="V263" s="22"/>
    </row>
    <row r="264" spans="10:22" x14ac:dyDescent="0.15">
      <c r="J264" s="190" t="s">
        <v>224</v>
      </c>
      <c r="K264" s="191" t="s">
        <v>43</v>
      </c>
      <c r="L264" s="208">
        <v>224</v>
      </c>
      <c r="M264" s="237">
        <f>_xlfn.LET(
  _xlpm.analyte, SensorLab[[#This Row],[Analyte]],
  _xlpm.raw, N(SensorLab[[#This Row],[Raw_Value]]),
  _xlpm.scaleF, IFERROR(
    _xlfn.XLOOKUP(_xlpm.analyte, CalibrationCoefficients[Analyte], CalibrationCoefficients[ScaleFactor]),
    1
  ),
  IF(AND(_xlpm.analyte&lt;&gt;"", ISNUMBER(_xlpm.raw)), _xlpm.raw * _xlpm.scaleF, "NA")
)</f>
        <v>22.400000000000002</v>
      </c>
      <c r="N264" s="41"/>
      <c r="O264" s="41">
        <v>22.4</v>
      </c>
      <c r="P264" s="41"/>
      <c r="Q264" s="208" cm="1">
        <f t="array" ref="Q26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22.4</v>
      </c>
      <c r="R264" s="237" cm="1">
        <f t="array" ref="R26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22.386520000000001</v>
      </c>
      <c r="S264" s="238" cm="1">
        <f t="array" ref="S26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22.399930000000001</v>
      </c>
      <c r="T264" s="238" cm="1">
        <f t="array" ref="T26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6.9999999999999994E-5</v>
      </c>
      <c r="U264" s="41" t="str" cm="1">
        <f t="array" ref="U26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22.40000 and 22.40000</v>
      </c>
      <c r="V264" s="22"/>
    </row>
    <row r="265" spans="10:22" x14ac:dyDescent="0.15">
      <c r="J265" s="190" t="s">
        <v>224</v>
      </c>
      <c r="K265" s="191" t="s">
        <v>45</v>
      </c>
      <c r="L265" s="208">
        <v>5.1999999999999995E-4</v>
      </c>
      <c r="M265" s="237">
        <f>_xlfn.LET(
  _xlpm.analyte, SensorLab[[#This Row],[Analyte]],
  _xlpm.raw, N(SensorLab[[#This Row],[Raw_Value]]),
  _xlpm.scaleF, IFERROR(
    _xlfn.XLOOKUP(_xlpm.analyte, CalibrationCoefficients[Analyte], CalibrationCoefficients[ScaleFactor]),
    1
  ),
  IF(AND(_xlpm.analyte&lt;&gt;"", ISNUMBER(_xlpm.raw)), _xlpm.raw * _xlpm.scaleF, "NA")
)</f>
        <v>5.1999999999999995E-4</v>
      </c>
      <c r="N265" s="41"/>
      <c r="O265" s="41">
        <v>0.33</v>
      </c>
      <c r="P265" s="41"/>
      <c r="Q265" s="208" cm="1">
        <f t="array" ref="Q265">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0.33</v>
      </c>
      <c r="R265" s="237" cm="1">
        <f t="array" ref="R26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0.60409999999999997</v>
      </c>
      <c r="S265" s="238" cm="1">
        <f t="array" ref="S26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0.6</v>
      </c>
      <c r="T265" s="238" cm="1">
        <f t="array" ref="T26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-0.27</v>
      </c>
      <c r="U265" s="41" t="str" cm="1">
        <f t="array" ref="U26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0.18500 and 0.47500</v>
      </c>
      <c r="V265" s="22"/>
    </row>
    <row r="266" spans="10:22" x14ac:dyDescent="0.15">
      <c r="J266" s="190" t="s">
        <v>224</v>
      </c>
      <c r="K266" s="127" t="s">
        <v>0</v>
      </c>
      <c r="L266" s="208">
        <v>50.19</v>
      </c>
      <c r="M266" s="237">
        <f>_xlfn.LET(
  _xlpm.analyte, SensorLab[[#This Row],[Analyte]],
  _xlpm.raw, N(SensorLab[[#This Row],[Raw_Value]]),
  _xlpm.scaleF, IFERROR(
    _xlfn.XLOOKUP(_xlpm.analyte, CalibrationCoefficients[Analyte], CalibrationCoefficients[ScaleFactor]),
    1
  ),
  IF(AND(_xlpm.analyte&lt;&gt;"", ISNUMBER(_xlpm.raw)), _xlpm.raw * _xlpm.scaleF, "NA")
)</f>
        <v>50.19</v>
      </c>
      <c r="N266" s="41"/>
      <c r="O266" s="41">
        <v>5</v>
      </c>
      <c r="P266" s="41"/>
      <c r="Q266" s="208" cm="1">
        <f t="array" ref="Q26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5</v>
      </c>
      <c r="R266" s="237" cm="1">
        <f t="array" ref="R26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v>
      </c>
      <c r="S266" s="238" cm="1">
        <f t="array" ref="S26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5</v>
      </c>
      <c r="T266" s="238" cm="1">
        <f t="array" ref="T26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266" s="41" t="str" cm="1">
        <f t="array" ref="U26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14.94100 and 5.00000</v>
      </c>
      <c r="V266" s="22"/>
    </row>
    <row r="267" spans="10:22" x14ac:dyDescent="0.15">
      <c r="J267" s="190" t="s">
        <v>224</v>
      </c>
      <c r="K267" s="127" t="s">
        <v>5</v>
      </c>
      <c r="L267" s="208">
        <v>34.4</v>
      </c>
      <c r="M267" s="237">
        <f>_xlfn.LET(
  _xlpm.analyte, SensorLab[[#This Row],[Analyte]],
  _xlpm.raw, N(SensorLab[[#This Row],[Raw_Value]]),
  _xlpm.scaleF, IFERROR(
    _xlfn.XLOOKUP(_xlpm.analyte, CalibrationCoefficients[Analyte], CalibrationCoefficients[ScaleFactor]),
    1
  ),
  IF(AND(_xlpm.analyte&lt;&gt;"", ISNUMBER(_xlpm.raw)), _xlpm.raw * _xlpm.scaleF, "NA")
)</f>
        <v>34.4</v>
      </c>
      <c r="N267" s="41"/>
      <c r="O267" s="41">
        <v>72.5</v>
      </c>
      <c r="P267" s="41"/>
      <c r="Q267" s="208" cm="1">
        <f t="array" ref="Q267">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72.5</v>
      </c>
      <c r="R267" s="237" cm="1">
        <f t="array" ref="R26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72.5</v>
      </c>
      <c r="S267" s="238" cm="1">
        <f t="array" ref="S26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72.5</v>
      </c>
      <c r="T267" s="238" cm="1">
        <f t="array" ref="T26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267" s="41" t="str" cm="1">
        <f t="array" ref="U26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72.50000 and 66.34983</v>
      </c>
      <c r="V267" s="22"/>
    </row>
    <row r="268" spans="10:22" x14ac:dyDescent="0.15">
      <c r="J268" s="190" t="s">
        <v>224</v>
      </c>
      <c r="K268" s="127" t="s">
        <v>6</v>
      </c>
      <c r="L268" s="208">
        <v>15.41</v>
      </c>
      <c r="M268" s="237">
        <f>_xlfn.LET(
  _xlpm.analyte, SensorLab[[#This Row],[Analyte]],
  _xlpm.raw, N(SensorLab[[#This Row],[Raw_Value]]),
  _xlpm.scaleF, IFERROR(
    _xlfn.XLOOKUP(_xlpm.analyte, CalibrationCoefficients[Analyte], CalibrationCoefficients[ScaleFactor]),
    1
  ),
  IF(AND(_xlpm.analyte&lt;&gt;"", ISNUMBER(_xlpm.raw)), _xlpm.raw * _xlpm.scaleF, "NA")
)</f>
        <v>15.41</v>
      </c>
      <c r="N268" s="41"/>
      <c r="O268" s="41">
        <v>22.5</v>
      </c>
      <c r="P268" s="41"/>
      <c r="Q268" s="208" cm="1">
        <f t="array" ref="Q26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22.5</v>
      </c>
      <c r="R268" s="237" cm="1">
        <f t="array" ref="R26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22.5</v>
      </c>
      <c r="S268" s="238" cm="1">
        <f t="array" ref="S26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22.5</v>
      </c>
      <c r="T268" s="238" cm="1">
        <f t="array" ref="T26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268" s="41" t="str" cm="1">
        <f t="array" ref="U26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22.50000 and 21.33933</v>
      </c>
      <c r="V268" s="22"/>
    </row>
    <row r="269" spans="10:22" ht="11.25" thickBot="1" x14ac:dyDescent="0.2">
      <c r="J269" s="190" t="s">
        <v>224</v>
      </c>
      <c r="K269" s="193" t="s">
        <v>69</v>
      </c>
      <c r="L269" s="255" t="str" cm="1">
        <f t="array" ref="L269">_xlfn.LET(
  _xlpm.bs,L266, _xlpm.si,L267, _xlpm.c,L268,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M269" s="256" t="str" cm="1">
        <f t="array" ref="M269">_xlfn.LET(
  _xlpm.bs,M266, _xlpm.si,M267, _xlpm.c,M268,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N269" s="245" t="str" cm="1">
        <f t="array" ref="N269">_xlfn.LET(
  _xlpm.bs,N266, _xlpm.si,N267, _xlpm.c,N268,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269" s="245" t="str" cm="1">
        <f t="array" ref="O269">_xlfn.LET(
  _xlpm.bs,O266, _xlpm.si,O267, _xlpm.c,O268,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P269" s="245" t="str" cm="1">
        <f t="array" ref="P269">_xlfn.LET(
  _xlpm.bs,P266, _xlpm.si,P267, _xlpm.c,P268,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269" s="255" t="str" cm="1">
        <f t="array" ref="Q269">_xlfn.LET(
  _xlpm.bs,Q266, _xlpm.si,Q267, _xlpm.c,Q268,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R269" s="256" t="str" cm="1">
        <f t="array" ref="R269">_xlfn.LET(
  _xlpm.bs,R266, _xlpm.si,R267, _xlpm.c,R268,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S269" s="256" t="str" cm="1">
        <f t="array" ref="S269">_xlfn.LET(
  _xlpm.bs,S266, _xlpm.si,S267, _xlpm.c,S268,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T269" s="240" cm="1">
        <f t="array" ref="T26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269" s="229" t="str" cm="1">
        <f t="array" ref="U26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(Texture match: Silt Loam)</v>
      </c>
      <c r="V269" s="22"/>
    </row>
    <row r="270" spans="10:22" x14ac:dyDescent="0.15">
      <c r="J270" s="188" t="s">
        <v>225</v>
      </c>
      <c r="K270" s="189" t="s">
        <v>39</v>
      </c>
      <c r="L270" s="207">
        <v>31</v>
      </c>
      <c r="M270" s="239">
        <f>_xlfn.LET(
  _xlpm.analyte, SensorLab[[#This Row],[Analyte]],
  _xlpm.raw, N(SensorLab[[#This Row],[Raw_Value]]),
  _xlpm.scaleF, IFERROR(
    _xlfn.XLOOKUP(_xlpm.analyte, CalibrationCoefficients[Analyte], CalibrationCoefficients[ScaleFactor]),
    1
  ),
  IF(AND(_xlpm.analyte&lt;&gt;"", ISNUMBER(_xlpm.raw)), _xlpm.raw * _xlpm.scaleF, "NA")
)</f>
        <v>31</v>
      </c>
      <c r="N270" s="228"/>
      <c r="O270" s="228">
        <v>5.1555299999999997</v>
      </c>
      <c r="P270" s="228"/>
      <c r="Q270" s="207" cm="1">
        <f t="array" ref="Q27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5.1555299999999997</v>
      </c>
      <c r="R270" s="239" cm="1">
        <f t="array" ref="R27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4.79833</v>
      </c>
      <c r="S270" s="241" cm="1">
        <f t="array" ref="S27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6.3517000000000001</v>
      </c>
      <c r="T270" s="241" cm="1">
        <f t="array" ref="T27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-1.19617</v>
      </c>
      <c r="U270" s="228" t="str" cm="1">
        <f t="array" ref="U27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4.79833 and 4.79833</v>
      </c>
      <c r="V270" s="22"/>
    </row>
    <row r="271" spans="10:22" x14ac:dyDescent="0.15">
      <c r="J271" s="190" t="s">
        <v>225</v>
      </c>
      <c r="K271" s="191" t="s">
        <v>40</v>
      </c>
      <c r="L271" s="208">
        <v>119</v>
      </c>
      <c r="M271" s="237">
        <f>_xlfn.LET(
  _xlpm.analyte, SensorLab[[#This Row],[Analyte]],
  _xlpm.raw, N(SensorLab[[#This Row],[Raw_Value]]),
  _xlpm.scaleF, IFERROR(
    _xlfn.XLOOKUP(_xlpm.analyte, CalibrationCoefficients[Analyte], CalibrationCoefficients[ScaleFactor]),
    1
  ),
  IF(AND(_xlpm.analyte&lt;&gt;"", ISNUMBER(_xlpm.raw)), _xlpm.raw * _xlpm.scaleF, "NA")
)</f>
        <v>119</v>
      </c>
      <c r="N271" s="41"/>
      <c r="O271" s="41">
        <v>3.02</v>
      </c>
      <c r="P271" s="41"/>
      <c r="Q271" s="208" cm="1">
        <f t="array" ref="Q271">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3.02</v>
      </c>
      <c r="R271" s="237" cm="1">
        <f t="array" ref="R27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8.2914499999999993</v>
      </c>
      <c r="S271" s="238" cm="1">
        <f t="array" ref="S27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7.1014200000000001</v>
      </c>
      <c r="T271" s="238" cm="1">
        <f t="array" ref="T27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-4.0814199999999996</v>
      </c>
      <c r="U271" s="41" t="str" cm="1">
        <f t="array" ref="U27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7.33246 and 4.86255</v>
      </c>
      <c r="V271" s="22"/>
    </row>
    <row r="272" spans="10:22" x14ac:dyDescent="0.15">
      <c r="J272" s="190" t="s">
        <v>225</v>
      </c>
      <c r="K272" s="191" t="s">
        <v>41</v>
      </c>
      <c r="L272" s="208">
        <v>112</v>
      </c>
      <c r="M272" s="237">
        <f>_xlfn.LET(
  _xlpm.analyte, SensorLab[[#This Row],[Analyte]],
  _xlpm.raw, N(SensorLab[[#This Row],[Raw_Value]]),
  _xlpm.scaleF, IFERROR(
    _xlfn.XLOOKUP(_xlpm.analyte, CalibrationCoefficients[Analyte], CalibrationCoefficients[ScaleFactor]),
    1
  ),
  IF(AND(_xlpm.analyte&lt;&gt;"", ISNUMBER(_xlpm.raw)), _xlpm.raw * _xlpm.scaleF, "NA")
)</f>
        <v>112</v>
      </c>
      <c r="N272" s="41"/>
      <c r="O272" s="41">
        <v>67</v>
      </c>
      <c r="P272" s="41"/>
      <c r="Q272" s="208" cm="1">
        <f t="array" ref="Q27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67</v>
      </c>
      <c r="R272" s="237" cm="1">
        <f t="array" ref="R27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146.69336999999999</v>
      </c>
      <c r="S272" s="238" cm="1">
        <f t="array" ref="S27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132.99340000000001</v>
      </c>
      <c r="T272" s="238" cm="1">
        <f t="array" ref="T27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-65.993399999999994</v>
      </c>
      <c r="U272" s="41" t="str" cm="1">
        <f t="array" ref="U27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146.27923 and 89.37477</v>
      </c>
      <c r="V272" s="22"/>
    </row>
    <row r="273" spans="10:22" x14ac:dyDescent="0.15">
      <c r="J273" s="190" t="s">
        <v>225</v>
      </c>
      <c r="K273" s="127" t="s">
        <v>52</v>
      </c>
      <c r="L273" s="208">
        <v>336</v>
      </c>
      <c r="M273" s="237">
        <f>_xlfn.LET(
  _xlpm.analyte, SensorLab[[#This Row],[Analyte]],
  _xlpm.raw, N(SensorLab[[#This Row],[Raw_Value]]),
  _xlpm.scaleF, IFERROR(
    _xlfn.XLOOKUP(_xlpm.analyte, CalibrationCoefficients[Analyte], CalibrationCoefficients[ScaleFactor]),
    1
  ),
  IF(AND(_xlpm.analyte&lt;&gt;"", ISNUMBER(_xlpm.raw)), _xlpm.raw * _xlpm.scaleF, "NA")
)</f>
        <v>0.33600000000000002</v>
      </c>
      <c r="N273" s="41"/>
      <c r="O273" s="41">
        <v>0.99</v>
      </c>
      <c r="P273" s="41"/>
      <c r="Q273" s="208" cm="1">
        <f t="array" ref="Q273">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0.99</v>
      </c>
      <c r="R273" s="237" cm="1">
        <f t="array" ref="R27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1.13592</v>
      </c>
      <c r="S273" s="238" cm="1">
        <f t="array" ref="S27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1.1036900000000001</v>
      </c>
      <c r="T273" s="238" cm="1">
        <f t="array" ref="T27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-0.11369</v>
      </c>
      <c r="U273" s="41" t="str" cm="1">
        <f t="array" ref="U27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-0.11369)</v>
      </c>
      <c r="V273" s="22"/>
    </row>
    <row r="274" spans="10:22" x14ac:dyDescent="0.15">
      <c r="J274" s="190" t="s">
        <v>225</v>
      </c>
      <c r="K274" s="127" t="s">
        <v>34</v>
      </c>
      <c r="L274" s="208">
        <v>80</v>
      </c>
      <c r="M274" s="237">
        <f>_xlfn.LET(
  _xlpm.analyte, SensorLab[[#This Row],[Analyte]],
  _xlpm.raw, N(SensorLab[[#This Row],[Raw_Value]]),
  _xlpm.scaleF, IFERROR(
    _xlfn.XLOOKUP(_xlpm.analyte, CalibrationCoefficients[Analyte], CalibrationCoefficients[ScaleFactor]),
    1
  ),
  IF(AND(_xlpm.analyte&lt;&gt;"", ISNUMBER(_xlpm.raw)), _xlpm.raw * _xlpm.scaleF, "NA")
)</f>
        <v>8</v>
      </c>
      <c r="N274" s="41"/>
      <c r="O274" s="41">
        <v>7.7</v>
      </c>
      <c r="P274" s="41"/>
      <c r="Q274" s="208" cm="1">
        <f t="array" ref="Q27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7.7</v>
      </c>
      <c r="R274" s="237" cm="1">
        <f t="array" ref="R27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7.8580699999999997</v>
      </c>
      <c r="S274" s="238" cm="1">
        <f t="array" ref="S27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7.8251600000000003</v>
      </c>
      <c r="T274" s="238" cm="1">
        <f t="array" ref="T27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-0.12515999999999999</v>
      </c>
      <c r="U274" s="41" t="str" cm="1">
        <f t="array" ref="U27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-0.12516)</v>
      </c>
      <c r="V274" s="22"/>
    </row>
    <row r="275" spans="10:22" x14ac:dyDescent="0.15">
      <c r="J275" s="190" t="s">
        <v>225</v>
      </c>
      <c r="K275" s="127" t="s">
        <v>90</v>
      </c>
      <c r="L275" s="208">
        <v>163</v>
      </c>
      <c r="M275" s="237">
        <f>_xlfn.LET(
  _xlpm.analyte, SensorLab[[#This Row],[Analyte]],
  _xlpm.raw, N(SensorLab[[#This Row],[Raw_Value]]),
  _xlpm.scaleF, IFERROR(
    _xlfn.XLOOKUP(_xlpm.analyte, CalibrationCoefficients[Analyte], CalibrationCoefficients[ScaleFactor]),
    1
  ),
  IF(AND(_xlpm.analyte&lt;&gt;"", ISNUMBER(_xlpm.raw)), _xlpm.raw * _xlpm.scaleF, "NA")
)</f>
        <v>16.3</v>
      </c>
      <c r="N275" s="41"/>
      <c r="O275" s="41">
        <v>16.3</v>
      </c>
      <c r="P275" s="41"/>
      <c r="Q275" s="208" cm="1">
        <f t="array" ref="Q275">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16.3</v>
      </c>
      <c r="R275" s="237" cm="1">
        <f t="array" ref="R27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16.334510000000002</v>
      </c>
      <c r="S275" s="238" cm="1">
        <f t="array" ref="S27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16.297930000000001</v>
      </c>
      <c r="T275" s="238" cm="1">
        <f t="array" ref="T27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-7.7020699999999991</v>
      </c>
      <c r="U275" s="41" t="str" cm="1">
        <f t="array" ref="U27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0.00207)</v>
      </c>
      <c r="V275" s="22"/>
    </row>
    <row r="276" spans="10:22" x14ac:dyDescent="0.15">
      <c r="J276" s="190" t="s">
        <v>225</v>
      </c>
      <c r="K276" s="191" t="s">
        <v>43</v>
      </c>
      <c r="L276" s="208">
        <v>370</v>
      </c>
      <c r="M276" s="237">
        <f>_xlfn.LET(
  _xlpm.analyte, SensorLab[[#This Row],[Analyte]],
  _xlpm.raw, N(SensorLab[[#This Row],[Raw_Value]]),
  _xlpm.scaleF, IFERROR(
    _xlfn.XLOOKUP(_xlpm.analyte, CalibrationCoefficients[Analyte], CalibrationCoefficients[ScaleFactor]),
    1
  ),
  IF(AND(_xlpm.analyte&lt;&gt;"", ISNUMBER(_xlpm.raw)), _xlpm.raw * _xlpm.scaleF, "NA")
)</f>
        <v>37</v>
      </c>
      <c r="N276" s="41"/>
      <c r="O276" s="41">
        <v>37</v>
      </c>
      <c r="P276" s="41"/>
      <c r="Q276" s="208" cm="1">
        <f t="array" ref="Q27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37</v>
      </c>
      <c r="R276" s="237" cm="1">
        <f t="array" ref="R27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36.990180000000002</v>
      </c>
      <c r="S276" s="238" cm="1">
        <f t="array" ref="S27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37.003590000000003</v>
      </c>
      <c r="T276" s="238" cm="1">
        <f t="array" ref="T27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12.003590000000003</v>
      </c>
      <c r="U276" s="41" t="str" cm="1">
        <f t="array" ref="U27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37.00000 and 37.00000</v>
      </c>
      <c r="V276" s="22"/>
    </row>
    <row r="277" spans="10:22" x14ac:dyDescent="0.15">
      <c r="J277" s="190" t="s">
        <v>225</v>
      </c>
      <c r="K277" s="191" t="s">
        <v>45</v>
      </c>
      <c r="L277" s="208">
        <v>3.1894000000000002E-3</v>
      </c>
      <c r="M277" s="237">
        <f>_xlfn.LET(
  _xlpm.analyte, SensorLab[[#This Row],[Analyte]],
  _xlpm.raw, N(SensorLab[[#This Row],[Raw_Value]]),
  _xlpm.scaleF, IFERROR(
    _xlfn.XLOOKUP(_xlpm.analyte, CalibrationCoefficients[Analyte], CalibrationCoefficients[ScaleFactor]),
    1
  ),
  IF(AND(_xlpm.analyte&lt;&gt;"", ISNUMBER(_xlpm.raw)), _xlpm.raw * _xlpm.scaleF, "NA")
)</f>
        <v>3.1894000000000002E-3</v>
      </c>
      <c r="N277" s="41"/>
      <c r="O277" s="41">
        <v>0.31</v>
      </c>
      <c r="P277" s="41"/>
      <c r="Q277" s="208" cm="1">
        <f t="array" ref="Q277">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0.31</v>
      </c>
      <c r="R277" s="237" cm="1">
        <f t="array" ref="R27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0.81483000000000005</v>
      </c>
      <c r="S277" s="238" cm="1">
        <f t="array" ref="S27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0.81072999999999995</v>
      </c>
      <c r="T277" s="238" cm="1">
        <f t="array" ref="T27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-0.50073000000000001</v>
      </c>
      <c r="U277" s="41" t="str" cm="1">
        <f t="array" ref="U27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0.17379 and 0.44621</v>
      </c>
      <c r="V277" s="22"/>
    </row>
    <row r="278" spans="10:22" x14ac:dyDescent="0.15">
      <c r="J278" s="190" t="s">
        <v>225</v>
      </c>
      <c r="K278" s="127" t="s">
        <v>0</v>
      </c>
      <c r="L278" s="208">
        <v>21.93</v>
      </c>
      <c r="M278" s="237">
        <f>_xlfn.LET(
  _xlpm.analyte, SensorLab[[#This Row],[Analyte]],
  _xlpm.raw, N(SensorLab[[#This Row],[Raw_Value]]),
  _xlpm.scaleF, IFERROR(
    _xlfn.XLOOKUP(_xlpm.analyte, CalibrationCoefficients[Analyte], CalibrationCoefficients[ScaleFactor]),
    1
  ),
  IF(AND(_xlpm.analyte&lt;&gt;"", ISNUMBER(_xlpm.raw)), _xlpm.raw * _xlpm.scaleF, "NA")
)</f>
        <v>21.93</v>
      </c>
      <c r="N278" s="41"/>
      <c r="O278" s="41">
        <v>54.5</v>
      </c>
      <c r="P278" s="41"/>
      <c r="Q278" s="208" cm="1">
        <f t="array" ref="Q27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54.5</v>
      </c>
      <c r="R278" s="237" cm="1">
        <f t="array" ref="R27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54.5</v>
      </c>
      <c r="S278" s="238" cm="1">
        <f t="array" ref="S27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54.5</v>
      </c>
      <c r="T278" s="238" cm="1">
        <f t="array" ref="T27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278" s="41" t="str" cm="1">
        <f t="array" ref="U27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278" s="22"/>
    </row>
    <row r="279" spans="10:22" x14ac:dyDescent="0.15">
      <c r="J279" s="190" t="s">
        <v>225</v>
      </c>
      <c r="K279" s="127" t="s">
        <v>5</v>
      </c>
      <c r="L279" s="208">
        <v>58.13</v>
      </c>
      <c r="M279" s="237">
        <f>_xlfn.LET(
  _xlpm.analyte, SensorLab[[#This Row],[Analyte]],
  _xlpm.raw, N(SensorLab[[#This Row],[Raw_Value]]),
  _xlpm.scaleF, IFERROR(
    _xlfn.XLOOKUP(_xlpm.analyte, CalibrationCoefficients[Analyte], CalibrationCoefficients[ScaleFactor]),
    1
  ),
  IF(AND(_xlpm.analyte&lt;&gt;"", ISNUMBER(_xlpm.raw)), _xlpm.raw * _xlpm.scaleF, "NA")
)</f>
        <v>58.13</v>
      </c>
      <c r="N279" s="41"/>
      <c r="O279" s="41">
        <v>32.5</v>
      </c>
      <c r="P279" s="41"/>
      <c r="Q279" s="208" cm="1">
        <f t="array" ref="Q279">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32.5</v>
      </c>
      <c r="R279" s="237" cm="1">
        <f t="array" ref="R27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32.5</v>
      </c>
      <c r="S279" s="238" cm="1">
        <f t="array" ref="S27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32.5</v>
      </c>
      <c r="T279" s="238" cm="1">
        <f t="array" ref="T27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279" s="41" t="str" cm="1">
        <f t="array" ref="U27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279" s="22"/>
    </row>
    <row r="280" spans="10:22" x14ac:dyDescent="0.15">
      <c r="J280" s="190" t="s">
        <v>225</v>
      </c>
      <c r="K280" s="127" t="s">
        <v>6</v>
      </c>
      <c r="L280" s="208">
        <v>19.940000000000001</v>
      </c>
      <c r="M280" s="237">
        <f>_xlfn.LET(
  _xlpm.analyte, SensorLab[[#This Row],[Analyte]],
  _xlpm.raw, N(SensorLab[[#This Row],[Raw_Value]]),
  _xlpm.scaleF, IFERROR(
    _xlfn.XLOOKUP(_xlpm.analyte, CalibrationCoefficients[Analyte], CalibrationCoefficients[ScaleFactor]),
    1
  ),
  IF(AND(_xlpm.analyte&lt;&gt;"", ISNUMBER(_xlpm.raw)), _xlpm.raw * _xlpm.scaleF, "NA")
)</f>
        <v>19.940000000000001</v>
      </c>
      <c r="N280" s="41"/>
      <c r="O280" s="41">
        <v>15</v>
      </c>
      <c r="P280" s="41"/>
      <c r="Q280" s="208" cm="1">
        <f t="array" ref="Q28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15</v>
      </c>
      <c r="R280" s="237" cm="1">
        <f t="array" ref="R28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15</v>
      </c>
      <c r="S280" s="238" cm="1">
        <f t="array" ref="S28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15</v>
      </c>
      <c r="T280" s="238" cm="1">
        <f t="array" ref="T28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280" s="41" t="str" cm="1">
        <f t="array" ref="U28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280" s="22"/>
    </row>
    <row r="281" spans="10:22" ht="11.25" thickBot="1" x14ac:dyDescent="0.2">
      <c r="J281" s="192" t="s">
        <v>225</v>
      </c>
      <c r="K281" s="193" t="s">
        <v>69</v>
      </c>
      <c r="L281" s="255" t="str" cm="1">
        <f t="array" ref="L281">_xlfn.LET(
  _xlpm.bs,L278, _xlpm.si,L279, _xlpm.c,L280,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M281" s="256" t="str" cm="1">
        <f t="array" ref="M281">_xlfn.LET(
  _xlpm.bs,M278, _xlpm.si,M279, _xlpm.c,M280,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N281" s="245" t="str" cm="1">
        <f t="array" ref="N281">_xlfn.LET(
  _xlpm.bs,N278, _xlpm.si,N279, _xlpm.c,N280,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281" s="245" t="str" cm="1">
        <f t="array" ref="O281">_xlfn.LET(
  _xlpm.bs,O278, _xlpm.si,O279, _xlpm.c,O280,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P281" s="245" t="str" cm="1">
        <f t="array" ref="P281">_xlfn.LET(
  _xlpm.bs,P278, _xlpm.si,P279, _xlpm.c,P280,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281" s="255" t="str" cm="1">
        <f t="array" ref="Q281">_xlfn.LET(
  _xlpm.bs,Q278, _xlpm.si,Q279, _xlpm.c,Q280,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R281" s="256" t="str" cm="1">
        <f t="array" ref="R281">_xlfn.LET(
  _xlpm.bs,R278, _xlpm.si,R279, _xlpm.c,R280,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S281" s="256" t="str" cm="1">
        <f t="array" ref="S281">_xlfn.LET(
  _xlpm.bs,S278, _xlpm.si,S279, _xlpm.c,S280,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T281" s="240" cm="1">
        <f t="array" ref="T28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281" s="229" t="str" cm="1">
        <f t="array" ref="U28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(Texture match: Sandy Loam)</v>
      </c>
      <c r="V281" s="22"/>
    </row>
    <row r="282" spans="10:22" x14ac:dyDescent="0.15">
      <c r="J282" s="190" t="s">
        <v>226</v>
      </c>
      <c r="K282" s="127" t="s">
        <v>39</v>
      </c>
      <c r="L282" s="208">
        <v>26</v>
      </c>
      <c r="M282" s="237">
        <f>_xlfn.LET(
  _xlpm.analyte, SensorLab[[#This Row],[Analyte]],
  _xlpm.raw, N(SensorLab[[#This Row],[Raw_Value]]),
  _xlpm.scaleF, IFERROR(
    _xlfn.XLOOKUP(_xlpm.analyte, CalibrationCoefficients[Analyte], CalibrationCoefficients[ScaleFactor]),
    1
  ),
  IF(AND(_xlpm.analyte&lt;&gt;"", ISNUMBER(_xlpm.raw)), _xlpm.raw * _xlpm.scaleF, "NA")
)</f>
        <v>26</v>
      </c>
      <c r="N282" s="41"/>
      <c r="O282" s="41">
        <v>3.7569599999999999</v>
      </c>
      <c r="P282" s="41"/>
      <c r="Q282" s="207" cm="1">
        <f t="array" ref="Q28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3.7569599999999999</v>
      </c>
      <c r="R282" s="239" cm="1">
        <f t="array" ref="R28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4.0964400000000003</v>
      </c>
      <c r="S282" s="241" cm="1">
        <f t="array" ref="S28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5.6498100000000004</v>
      </c>
      <c r="T282" s="241" cm="1">
        <f t="array" ref="T28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-4.3501899999999996</v>
      </c>
      <c r="U282" s="41" t="str" cm="1">
        <f t="array" ref="U28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4.09644 and 4.09644</v>
      </c>
      <c r="V282" s="22"/>
    </row>
    <row r="283" spans="10:22" x14ac:dyDescent="0.15">
      <c r="J283" s="190" t="s">
        <v>226</v>
      </c>
      <c r="K283" s="191" t="s">
        <v>40</v>
      </c>
      <c r="L283" s="208">
        <v>106</v>
      </c>
      <c r="M283" s="237">
        <f>_xlfn.LET(
  _xlpm.analyte, SensorLab[[#This Row],[Analyte]],
  _xlpm.raw, N(SensorLab[[#This Row],[Raw_Value]]),
  _xlpm.scaleF, IFERROR(
    _xlfn.XLOOKUP(_xlpm.analyte, CalibrationCoefficients[Analyte], CalibrationCoefficients[ScaleFactor]),
    1
  ),
  IF(AND(_xlpm.analyte&lt;&gt;"", ISNUMBER(_xlpm.raw)), _xlpm.raw * _xlpm.scaleF, "NA")
)</f>
        <v>106</v>
      </c>
      <c r="N283" s="41"/>
      <c r="O283" s="41">
        <v>19.71</v>
      </c>
      <c r="P283" s="41"/>
      <c r="Q283" s="208" cm="1">
        <f t="array" ref="Q283">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19.71</v>
      </c>
      <c r="R283" s="237" cm="1">
        <f t="array" ref="R28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7.9661799999999996</v>
      </c>
      <c r="S283" s="238" cm="1">
        <f t="array" ref="S28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6.7761500000000003</v>
      </c>
      <c r="T283" s="238" cm="1">
        <f t="array" ref="T28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12.93385</v>
      </c>
      <c r="U283" s="41" t="str" cm="1">
        <f t="array" ref="U28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14.35899 and 8.27515</v>
      </c>
      <c r="V283" s="22"/>
    </row>
    <row r="284" spans="10:22" x14ac:dyDescent="0.15">
      <c r="J284" s="190" t="s">
        <v>226</v>
      </c>
      <c r="K284" s="191" t="s">
        <v>41</v>
      </c>
      <c r="L284" s="208">
        <v>99</v>
      </c>
      <c r="M284" s="237">
        <f>_xlfn.LET(
  _xlpm.analyte, SensorLab[[#This Row],[Analyte]],
  _xlpm.raw, N(SensorLab[[#This Row],[Raw_Value]]),
  _xlpm.scaleF, IFERROR(
    _xlfn.XLOOKUP(_xlpm.analyte, CalibrationCoefficients[Analyte], CalibrationCoefficients[ScaleFactor]),
    1
  ),
  IF(AND(_xlpm.analyte&lt;&gt;"", ISNUMBER(_xlpm.raw)), _xlpm.raw * _xlpm.scaleF, "NA")
)</f>
        <v>99</v>
      </c>
      <c r="N284" s="41"/>
      <c r="O284" s="41">
        <v>389</v>
      </c>
      <c r="P284" s="41"/>
      <c r="Q284" s="208" cm="1">
        <f t="array" ref="Q28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389</v>
      </c>
      <c r="R284" s="237" cm="1">
        <f t="array" ref="R28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142.60888</v>
      </c>
      <c r="S284" s="238" cm="1">
        <f t="array" ref="S28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128.90890999999999</v>
      </c>
      <c r="T284" s="238" cm="1">
        <f t="array" ref="T28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260.09109000000001</v>
      </c>
      <c r="U284" s="41" t="str" cm="1">
        <f t="array" ref="U28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328.91959 and 144.78251</v>
      </c>
      <c r="V284" s="22"/>
    </row>
    <row r="285" spans="10:22" x14ac:dyDescent="0.15">
      <c r="J285" s="190" t="s">
        <v>226</v>
      </c>
      <c r="K285" s="127" t="s">
        <v>52</v>
      </c>
      <c r="L285" s="208">
        <v>310</v>
      </c>
      <c r="M285" s="237">
        <f>_xlfn.LET(
  _xlpm.analyte, SensorLab[[#This Row],[Analyte]],
  _xlpm.raw, N(SensorLab[[#This Row],[Raw_Value]]),
  _xlpm.scaleF, IFERROR(
    _xlfn.XLOOKUP(_xlpm.analyte, CalibrationCoefficients[Analyte], CalibrationCoefficients[ScaleFactor]),
    1
  ),
  IF(AND(_xlpm.analyte&lt;&gt;"", ISNUMBER(_xlpm.raw)), _xlpm.raw * _xlpm.scaleF, "NA")
)</f>
        <v>0.31</v>
      </c>
      <c r="N285" s="41"/>
      <c r="O285" s="41">
        <v>0.89</v>
      </c>
      <c r="P285" s="41"/>
      <c r="Q285" s="208" cm="1">
        <f t="array" ref="Q285">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0.89</v>
      </c>
      <c r="R285" s="237" cm="1">
        <f t="array" ref="R28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1.1188899999999999</v>
      </c>
      <c r="S285" s="238" cm="1">
        <f t="array" ref="S28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1.08666</v>
      </c>
      <c r="T285" s="238" cm="1">
        <f t="array" ref="T28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-0.19666</v>
      </c>
      <c r="U285" s="41" t="str" cm="1">
        <f t="array" ref="U28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-0.19666)</v>
      </c>
      <c r="V285" s="22"/>
    </row>
    <row r="286" spans="10:22" x14ac:dyDescent="0.15">
      <c r="J286" s="190" t="s">
        <v>226</v>
      </c>
      <c r="K286" s="127" t="s">
        <v>34</v>
      </c>
      <c r="L286" s="208">
        <v>78</v>
      </c>
      <c r="M286" s="237">
        <f>_xlfn.LET(
  _xlpm.analyte, SensorLab[[#This Row],[Analyte]],
  _xlpm.raw, N(SensorLab[[#This Row],[Raw_Value]]),
  _xlpm.scaleF, IFERROR(
    _xlfn.XLOOKUP(_xlpm.analyte, CalibrationCoefficients[Analyte], CalibrationCoefficients[ScaleFactor]),
    1
  ),
  IF(AND(_xlpm.analyte&lt;&gt;"", ISNUMBER(_xlpm.raw)), _xlpm.raw * _xlpm.scaleF, "NA")
)</f>
        <v>7.8000000000000007</v>
      </c>
      <c r="N286" s="41"/>
      <c r="O286" s="41">
        <v>7.64</v>
      </c>
      <c r="P286" s="41"/>
      <c r="Q286" s="208" cm="1">
        <f t="array" ref="Q28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7.64</v>
      </c>
      <c r="R286" s="237" cm="1">
        <f t="array" ref="R28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7.86721</v>
      </c>
      <c r="S286" s="238" cm="1">
        <f t="array" ref="S28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7.8342999999999998</v>
      </c>
      <c r="T286" s="238" cm="1">
        <f t="array" ref="T28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-0.1943</v>
      </c>
      <c r="U286" s="41" t="str" cm="1">
        <f t="array" ref="U28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-0.19430)</v>
      </c>
      <c r="V286" s="22"/>
    </row>
    <row r="287" spans="10:22" x14ac:dyDescent="0.15">
      <c r="J287" s="190" t="s">
        <v>226</v>
      </c>
      <c r="K287" s="127" t="s">
        <v>90</v>
      </c>
      <c r="L287" s="208">
        <v>122</v>
      </c>
      <c r="M287" s="237">
        <f>_xlfn.LET(
  _xlpm.analyte, SensorLab[[#This Row],[Analyte]],
  _xlpm.raw, N(SensorLab[[#This Row],[Raw_Value]]),
  _xlpm.scaleF, IFERROR(
    _xlfn.XLOOKUP(_xlpm.analyte, CalibrationCoefficients[Analyte], CalibrationCoefficients[ScaleFactor]),
    1
  ),
  IF(AND(_xlpm.analyte&lt;&gt;"", ISNUMBER(_xlpm.raw)), _xlpm.raw * _xlpm.scaleF, "NA")
)</f>
        <v>12.200000000000001</v>
      </c>
      <c r="N287" s="41"/>
      <c r="O287" s="41">
        <v>12.2</v>
      </c>
      <c r="P287" s="41"/>
      <c r="Q287" s="208" cm="1">
        <f t="array" ref="Q287">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12.2</v>
      </c>
      <c r="R287" s="237" cm="1">
        <f t="array" ref="R28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12.14983</v>
      </c>
      <c r="S287" s="238" cm="1">
        <f t="array" ref="S28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12.113250000000001</v>
      </c>
      <c r="T287" s="238" cm="1">
        <f t="array" ref="T28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-11.886749999999999</v>
      </c>
      <c r="U287" s="41" t="str" cm="1">
        <f t="array" ref="U28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12.16591 and 12.23409</v>
      </c>
      <c r="V287" s="22"/>
    </row>
    <row r="288" spans="10:22" x14ac:dyDescent="0.15">
      <c r="J288" s="190" t="s">
        <v>226</v>
      </c>
      <c r="K288" s="191" t="s">
        <v>43</v>
      </c>
      <c r="L288" s="208">
        <v>320</v>
      </c>
      <c r="M288" s="237">
        <f>_xlfn.LET(
  _xlpm.analyte, SensorLab[[#This Row],[Analyte]],
  _xlpm.raw, N(SensorLab[[#This Row],[Raw_Value]]),
  _xlpm.scaleF, IFERROR(
    _xlfn.XLOOKUP(_xlpm.analyte, CalibrationCoefficients[Analyte], CalibrationCoefficients[ScaleFactor]),
    1
  ),
  IF(AND(_xlpm.analyte&lt;&gt;"", ISNUMBER(_xlpm.raw)), _xlpm.raw * _xlpm.scaleF, "NA")
)</f>
        <v>32</v>
      </c>
      <c r="N288" s="41"/>
      <c r="O288" s="41">
        <v>32</v>
      </c>
      <c r="P288" s="41"/>
      <c r="Q288" s="208" cm="1">
        <f t="array" ref="Q28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32</v>
      </c>
      <c r="R288" s="237" cm="1">
        <f t="array" ref="R28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31.98892</v>
      </c>
      <c r="S288" s="238" cm="1">
        <f t="array" ref="S28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32.002330000000001</v>
      </c>
      <c r="T288" s="238" cm="1">
        <f t="array" ref="T28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-2.33E-3</v>
      </c>
      <c r="U288" s="41" t="str" cm="1">
        <f t="array" ref="U28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32.00000 and 32.00000</v>
      </c>
      <c r="V288" s="22"/>
    </row>
    <row r="289" spans="10:22" x14ac:dyDescent="0.15">
      <c r="J289" s="190" t="s">
        <v>226</v>
      </c>
      <c r="K289" s="191" t="s">
        <v>45</v>
      </c>
      <c r="L289" s="208">
        <v>2.7584000000000003E-3</v>
      </c>
      <c r="M289" s="237">
        <f>_xlfn.LET(
  _xlpm.analyte, SensorLab[[#This Row],[Analyte]],
  _xlpm.raw, N(SensorLab[[#This Row],[Raw_Value]]),
  _xlpm.scaleF, IFERROR(
    _xlfn.XLOOKUP(_xlpm.analyte, CalibrationCoefficients[Analyte], CalibrationCoefficients[ScaleFactor]),
    1
  ),
  IF(AND(_xlpm.analyte&lt;&gt;"", ISNUMBER(_xlpm.raw)), _xlpm.raw * _xlpm.scaleF, "NA")
)</f>
        <v>2.7584000000000003E-3</v>
      </c>
      <c r="N289" s="41"/>
      <c r="O289" s="41">
        <v>1.51</v>
      </c>
      <c r="P289" s="41"/>
      <c r="Q289" s="208" cm="1">
        <f t="array" ref="Q289">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1.51</v>
      </c>
      <c r="R289" s="237" cm="1">
        <f t="array" ref="R28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0.78081</v>
      </c>
      <c r="S289" s="238" cm="1">
        <f t="array" ref="S28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0.77671000000000001</v>
      </c>
      <c r="T289" s="238" cm="1">
        <f t="array" ref="T28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0.73329</v>
      </c>
      <c r="U289" s="41" t="str" cm="1">
        <f t="array" ref="U28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1.24838 and 1.77162</v>
      </c>
      <c r="V289" s="22"/>
    </row>
    <row r="290" spans="10:22" x14ac:dyDescent="0.15">
      <c r="J290" s="190" t="s">
        <v>226</v>
      </c>
      <c r="K290" s="127" t="s">
        <v>0</v>
      </c>
      <c r="L290" s="208">
        <v>21.28</v>
      </c>
      <c r="M290" s="237">
        <f>_xlfn.LET(
  _xlpm.analyte, SensorLab[[#This Row],[Analyte]],
  _xlpm.raw, N(SensorLab[[#This Row],[Raw_Value]]),
  _xlpm.scaleF, IFERROR(
    _xlfn.XLOOKUP(_xlpm.analyte, CalibrationCoefficients[Analyte], CalibrationCoefficients[ScaleFactor]),
    1
  ),
  IF(AND(_xlpm.analyte&lt;&gt;"", ISNUMBER(_xlpm.raw)), _xlpm.raw * _xlpm.scaleF, "NA")
)</f>
        <v>21.28</v>
      </c>
      <c r="N290" s="41"/>
      <c r="O290" s="41">
        <v>12.5</v>
      </c>
      <c r="P290" s="41"/>
      <c r="Q290" s="208" cm="1">
        <f t="array" ref="Q29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12.5</v>
      </c>
      <c r="R290" s="237" cm="1">
        <f t="array" ref="R29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12.5</v>
      </c>
      <c r="S290" s="238" cm="1">
        <f t="array" ref="S29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12.5</v>
      </c>
      <c r="T290" s="238" cm="1">
        <f t="array" ref="T29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290" s="41" t="str" cm="1">
        <f t="array" ref="U29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20.49176 and 12.50000</v>
      </c>
      <c r="V290" s="22"/>
    </row>
    <row r="291" spans="10:22" x14ac:dyDescent="0.15">
      <c r="J291" s="190" t="s">
        <v>226</v>
      </c>
      <c r="K291" s="127" t="s">
        <v>5</v>
      </c>
      <c r="L291" s="208">
        <v>59.32</v>
      </c>
      <c r="M291" s="237">
        <f>_xlfn.LET(
  _xlpm.analyte, SensorLab[[#This Row],[Analyte]],
  _xlpm.raw, N(SensorLab[[#This Row],[Raw_Value]]),
  _xlpm.scaleF, IFERROR(
    _xlfn.XLOOKUP(_xlpm.analyte, CalibrationCoefficients[Analyte], CalibrationCoefficients[ScaleFactor]),
    1
  ),
  IF(AND(_xlpm.analyte&lt;&gt;"", ISNUMBER(_xlpm.raw)), _xlpm.raw * _xlpm.scaleF, "NA")
)</f>
        <v>59.32</v>
      </c>
      <c r="N291" s="41"/>
      <c r="O291" s="41">
        <v>72.5</v>
      </c>
      <c r="P291" s="41"/>
      <c r="Q291" s="208" cm="1">
        <f t="array" ref="Q291">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72.5</v>
      </c>
      <c r="R291" s="237" cm="1">
        <f t="array" ref="R29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72.5</v>
      </c>
      <c r="S291" s="238" cm="1">
        <f t="array" ref="S29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72.5</v>
      </c>
      <c r="T291" s="238" cm="1">
        <f t="array" ref="T29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291" s="41" t="str" cm="1">
        <f t="array" ref="U29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72.50000 and 61.38264</v>
      </c>
      <c r="V291" s="22"/>
    </row>
    <row r="292" spans="10:22" x14ac:dyDescent="0.15">
      <c r="J292" s="190" t="s">
        <v>226</v>
      </c>
      <c r="K292" s="127" t="s">
        <v>6</v>
      </c>
      <c r="L292" s="208">
        <v>19.399999999999999</v>
      </c>
      <c r="M292" s="237">
        <f>_xlfn.LET(
  _xlpm.analyte, SensorLab[[#This Row],[Analyte]],
  _xlpm.raw, N(SensorLab[[#This Row],[Raw_Value]]),
  _xlpm.scaleF, IFERROR(
    _xlfn.XLOOKUP(_xlpm.analyte, CalibrationCoefficients[Analyte], CalibrationCoefficients[ScaleFactor]),
    1
  ),
  IF(AND(_xlpm.analyte&lt;&gt;"", ISNUMBER(_xlpm.raw)), _xlpm.raw * _xlpm.scaleF, "NA")
)</f>
        <v>19.399999999999999</v>
      </c>
      <c r="N292" s="41"/>
      <c r="O292" s="41">
        <v>15</v>
      </c>
      <c r="P292" s="41"/>
      <c r="Q292" s="208" cm="1">
        <f t="array" ref="Q29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15</v>
      </c>
      <c r="R292" s="237" cm="1">
        <f t="array" ref="R29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15</v>
      </c>
      <c r="S292" s="238" cm="1">
        <f t="array" ref="S29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15</v>
      </c>
      <c r="T292" s="238" cm="1">
        <f t="array" ref="T29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292" s="41" t="str" cm="1">
        <f t="array" ref="U29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292" s="22"/>
    </row>
    <row r="293" spans="10:22" ht="11.25" thickBot="1" x14ac:dyDescent="0.2">
      <c r="J293" s="190" t="s">
        <v>226</v>
      </c>
      <c r="K293" s="193" t="s">
        <v>69</v>
      </c>
      <c r="L293" s="255" t="str" cm="1">
        <f t="array" ref="L293">_xlfn.LET(
  _xlpm.bs,L290, _xlpm.si,L291, _xlpm.c,L292,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M293" s="256" t="str" cm="1">
        <f t="array" ref="M293">_xlfn.LET(
  _xlpm.bs,M290, _xlpm.si,M291, _xlpm.c,M292,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N293" s="245" t="str" cm="1">
        <f t="array" ref="N293">_xlfn.LET(
  _xlpm.bs,N290, _xlpm.si,N291, _xlpm.c,N292,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293" s="245" t="str" cm="1">
        <f t="array" ref="O293">_xlfn.LET(
  _xlpm.bs,O290, _xlpm.si,O291, _xlpm.c,O292,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P293" s="245" t="str" cm="1">
        <f t="array" ref="P293">_xlfn.LET(
  _xlpm.bs,P290, _xlpm.si,P291, _xlpm.c,P292,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293" s="255" t="str" cm="1">
        <f t="array" ref="Q293">_xlfn.LET(
  _xlpm.bs,Q290, _xlpm.si,Q291, _xlpm.c,Q292,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R293" s="256" t="str" cm="1">
        <f t="array" ref="R293">_xlfn.LET(
  _xlpm.bs,R290, _xlpm.si,R291, _xlpm.c,R292,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S293" s="256" t="str" cm="1">
        <f t="array" ref="S293">_xlfn.LET(
  _xlpm.bs,S290, _xlpm.si,S291, _xlpm.c,S292,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T293" s="240" cm="1">
        <f t="array" ref="T29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293" s="229" t="str" cm="1">
        <f t="array" ref="U29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(Texture match: Silt Loam)</v>
      </c>
      <c r="V293" s="22"/>
    </row>
    <row r="294" spans="10:22" x14ac:dyDescent="0.15">
      <c r="J294" s="188" t="s">
        <v>227</v>
      </c>
      <c r="K294" s="189" t="s">
        <v>39</v>
      </c>
      <c r="L294" s="207">
        <v>2</v>
      </c>
      <c r="M294" s="239">
        <f>_xlfn.LET(
  _xlpm.analyte, SensorLab[[#This Row],[Analyte]],
  _xlpm.raw, N(SensorLab[[#This Row],[Raw_Value]]),
  _xlpm.scaleF, IFERROR(
    _xlfn.XLOOKUP(_xlpm.analyte, CalibrationCoefficients[Analyte], CalibrationCoefficients[ScaleFactor]),
    1
  ),
  IF(AND(_xlpm.analyte&lt;&gt;"", ISNUMBER(_xlpm.raw)), _xlpm.raw * _xlpm.scaleF, "NA")
)</f>
        <v>2</v>
      </c>
      <c r="N294" s="228"/>
      <c r="O294" s="228">
        <v>0.4365</v>
      </c>
      <c r="P294" s="228"/>
      <c r="Q294" s="207" cm="1">
        <f t="array" ref="Q29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0.4365</v>
      </c>
      <c r="R294" s="239" cm="1">
        <f t="array" ref="R29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0.72738000000000003</v>
      </c>
      <c r="S294" s="241" cm="1">
        <f t="array" ref="S29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2.2807499999999998</v>
      </c>
      <c r="T294" s="241" cm="1">
        <f t="array" ref="T29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-7.7192500000000006</v>
      </c>
      <c r="U294" s="228" t="str" cm="1">
        <f t="array" ref="U29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0.72738 and 0.65315</v>
      </c>
      <c r="V294" s="22"/>
    </row>
    <row r="295" spans="10:22" x14ac:dyDescent="0.15">
      <c r="J295" s="190" t="s">
        <v>227</v>
      </c>
      <c r="K295" s="191" t="s">
        <v>40</v>
      </c>
      <c r="L295" s="208">
        <v>52</v>
      </c>
      <c r="M295" s="237">
        <f>_xlfn.LET(
  _xlpm.analyte, SensorLab[[#This Row],[Analyte]],
  _xlpm.raw, N(SensorLab[[#This Row],[Raw_Value]]),
  _xlpm.scaleF, IFERROR(
    _xlfn.XLOOKUP(_xlpm.analyte, CalibrationCoefficients[Analyte], CalibrationCoefficients[ScaleFactor]),
    1
  ),
  IF(AND(_xlpm.analyte&lt;&gt;"", ISNUMBER(_xlpm.raw)), _xlpm.raw * _xlpm.scaleF, "NA")
)</f>
        <v>52</v>
      </c>
      <c r="N295" s="41"/>
      <c r="O295" s="41">
        <v>4.88</v>
      </c>
      <c r="P295" s="41"/>
      <c r="Q295" s="208" cm="1">
        <f t="array" ref="Q295">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4.88</v>
      </c>
      <c r="R295" s="237" cm="1">
        <f t="array" ref="R29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6.6150900000000004</v>
      </c>
      <c r="S295" s="238" cm="1">
        <f t="array" ref="S29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5.4250600000000002</v>
      </c>
      <c r="T295" s="238" cm="1">
        <f t="array" ref="T29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-0.57493999999999978</v>
      </c>
      <c r="U295" s="41" t="str" cm="1">
        <f t="array" ref="U29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6.41861 and 7.53861</v>
      </c>
      <c r="V295" s="22"/>
    </row>
    <row r="296" spans="10:22" x14ac:dyDescent="0.15">
      <c r="J296" s="190" t="s">
        <v>227</v>
      </c>
      <c r="K296" s="191" t="s">
        <v>41</v>
      </c>
      <c r="L296" s="208">
        <v>44</v>
      </c>
      <c r="M296" s="237">
        <f>_xlfn.LET(
  _xlpm.analyte, SensorLab[[#This Row],[Analyte]],
  _xlpm.raw, N(SensorLab[[#This Row],[Raw_Value]]),
  _xlpm.scaleF, IFERROR(
    _xlfn.XLOOKUP(_xlpm.analyte, CalibrationCoefficients[Analyte], CalibrationCoefficients[ScaleFactor]),
    1
  ),
  IF(AND(_xlpm.analyte&lt;&gt;"", ISNUMBER(_xlpm.raw)), _xlpm.raw * _xlpm.scaleF, "NA")
)</f>
        <v>44</v>
      </c>
      <c r="N296" s="41"/>
      <c r="O296" s="41">
        <v>78</v>
      </c>
      <c r="P296" s="41"/>
      <c r="Q296" s="208" cm="1">
        <f t="array" ref="Q29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78</v>
      </c>
      <c r="R296" s="237" cm="1">
        <f t="array" ref="R29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125.32835</v>
      </c>
      <c r="S296" s="238" cm="1">
        <f t="array" ref="S29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111.62838000000001</v>
      </c>
      <c r="T296" s="238" cm="1">
        <f t="array" ref="T29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-33.62838</v>
      </c>
      <c r="U296" s="41" t="str" cm="1">
        <f t="array" ref="U29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122.86253 and 104.04824</v>
      </c>
      <c r="V296" s="22"/>
    </row>
    <row r="297" spans="10:22" x14ac:dyDescent="0.15">
      <c r="J297" s="190" t="s">
        <v>227</v>
      </c>
      <c r="K297" s="127" t="s">
        <v>52</v>
      </c>
      <c r="L297" s="208">
        <v>197</v>
      </c>
      <c r="M297" s="237">
        <f>_xlfn.LET(
  _xlpm.analyte, SensorLab[[#This Row],[Analyte]],
  _xlpm.raw, N(SensorLab[[#This Row],[Raw_Value]]),
  _xlpm.scaleF, IFERROR(
    _xlfn.XLOOKUP(_xlpm.analyte, CalibrationCoefficients[Analyte], CalibrationCoefficients[ScaleFactor]),
    1
  ),
  IF(AND(_xlpm.analyte&lt;&gt;"", ISNUMBER(_xlpm.raw)), _xlpm.raw * _xlpm.scaleF, "NA")
)</f>
        <v>0.19700000000000001</v>
      </c>
      <c r="N297" s="41"/>
      <c r="O297" s="41">
        <v>0.84</v>
      </c>
      <c r="P297" s="41"/>
      <c r="Q297" s="208" cm="1">
        <f t="array" ref="Q297">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0.84</v>
      </c>
      <c r="R297" s="237" cm="1">
        <f t="array" ref="R29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1.0448299999999999</v>
      </c>
      <c r="S297" s="238" cm="1">
        <f t="array" ref="S29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1.0125999999999999</v>
      </c>
      <c r="T297" s="238" cm="1">
        <f t="array" ref="T29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-0.1726</v>
      </c>
      <c r="U297" s="41" t="str" cm="1">
        <f t="array" ref="U29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1.01563 and 1.03320</v>
      </c>
      <c r="V297" s="22"/>
    </row>
    <row r="298" spans="10:22" x14ac:dyDescent="0.15">
      <c r="J298" s="190" t="s">
        <v>227</v>
      </c>
      <c r="K298" s="127" t="s">
        <v>34</v>
      </c>
      <c r="L298" s="208">
        <v>77</v>
      </c>
      <c r="M298" s="237">
        <f>_xlfn.LET(
  _xlpm.analyte, SensorLab[[#This Row],[Analyte]],
  _xlpm.raw, N(SensorLab[[#This Row],[Raw_Value]]),
  _xlpm.scaleF, IFERROR(
    _xlfn.XLOOKUP(_xlpm.analyte, CalibrationCoefficients[Analyte], CalibrationCoefficients[ScaleFactor]),
    1
  ),
  IF(AND(_xlpm.analyte&lt;&gt;"", ISNUMBER(_xlpm.raw)), _xlpm.raw * _xlpm.scaleF, "NA")
)</f>
        <v>7.7</v>
      </c>
      <c r="N298" s="41"/>
      <c r="O298" s="41">
        <v>7.62</v>
      </c>
      <c r="P298" s="41"/>
      <c r="Q298" s="208" cm="1">
        <f t="array" ref="Q29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7.62</v>
      </c>
      <c r="R298" s="237" cm="1">
        <f t="array" ref="R29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7.8717800000000002</v>
      </c>
      <c r="S298" s="238" cm="1">
        <f t="array" ref="S29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7.83887</v>
      </c>
      <c r="T298" s="238" cm="1">
        <f t="array" ref="T29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-0.21887000000000001</v>
      </c>
      <c r="U298" s="41" t="str" cm="1">
        <f t="array" ref="U29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-0.21887)</v>
      </c>
      <c r="V298" s="22"/>
    </row>
    <row r="299" spans="10:22" x14ac:dyDescent="0.15">
      <c r="J299" s="190" t="s">
        <v>227</v>
      </c>
      <c r="K299" s="127" t="s">
        <v>90</v>
      </c>
      <c r="L299" s="208">
        <v>175</v>
      </c>
      <c r="M299" s="237">
        <f>_xlfn.LET(
  _xlpm.analyte, SensorLab[[#This Row],[Analyte]],
  _xlpm.raw, N(SensorLab[[#This Row],[Raw_Value]]),
  _xlpm.scaleF, IFERROR(
    _xlfn.XLOOKUP(_xlpm.analyte, CalibrationCoefficients[Analyte], CalibrationCoefficients[ScaleFactor]),
    1
  ),
  IF(AND(_xlpm.analyte&lt;&gt;"", ISNUMBER(_xlpm.raw)), _xlpm.raw * _xlpm.scaleF, "NA")
)</f>
        <v>17.5</v>
      </c>
      <c r="N299" s="41"/>
      <c r="O299" s="41">
        <v>17.5</v>
      </c>
      <c r="P299" s="41"/>
      <c r="Q299" s="208" cm="1">
        <f t="array" ref="Q299">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17.5</v>
      </c>
      <c r="R299" s="237" cm="1">
        <f t="array" ref="R29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17.5593</v>
      </c>
      <c r="S299" s="238" cm="1">
        <f t="array" ref="S29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17.52272</v>
      </c>
      <c r="T299" s="238" cm="1">
        <f t="array" ref="T29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-6.4772800000000004</v>
      </c>
      <c r="U299" s="41" t="str" cm="1">
        <f t="array" ref="U29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-0.02272)</v>
      </c>
      <c r="V299" s="22"/>
    </row>
    <row r="300" spans="10:22" x14ac:dyDescent="0.15">
      <c r="J300" s="190" t="s">
        <v>227</v>
      </c>
      <c r="K300" s="191" t="s">
        <v>43</v>
      </c>
      <c r="L300" s="208">
        <v>227</v>
      </c>
      <c r="M300" s="237">
        <f>_xlfn.LET(
  _xlpm.analyte, SensorLab[[#This Row],[Analyte]],
  _xlpm.raw, N(SensorLab[[#This Row],[Raw_Value]]),
  _xlpm.scaleF, IFERROR(
    _xlfn.XLOOKUP(_xlpm.analyte, CalibrationCoefficients[Analyte], CalibrationCoefficients[ScaleFactor]),
    1
  ),
  IF(AND(_xlpm.analyte&lt;&gt;"", ISNUMBER(_xlpm.raw)), _xlpm.raw * _xlpm.scaleF, "NA")
)</f>
        <v>22.700000000000003</v>
      </c>
      <c r="N300" s="41"/>
      <c r="O300" s="41">
        <v>22.7</v>
      </c>
      <c r="P300" s="41"/>
      <c r="Q300" s="208" cm="1">
        <f t="array" ref="Q30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22.7</v>
      </c>
      <c r="R300" s="237" cm="1">
        <f t="array" ref="R30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22.686589999999999</v>
      </c>
      <c r="S300" s="238" cm="1">
        <f t="array" ref="S30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22.7</v>
      </c>
      <c r="T300" s="238" cm="1">
        <f t="array" ref="T30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300" s="41" t="str" cm="1">
        <f t="array" ref="U30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300" s="22"/>
    </row>
    <row r="301" spans="10:22" x14ac:dyDescent="0.15">
      <c r="J301" s="190" t="s">
        <v>227</v>
      </c>
      <c r="K301" s="191" t="s">
        <v>45</v>
      </c>
      <c r="L301" s="208">
        <v>6.8960000000000007E-4</v>
      </c>
      <c r="M301" s="237">
        <f>_xlfn.LET(
  _xlpm.analyte, SensorLab[[#This Row],[Analyte]],
  _xlpm.raw, N(SensorLab[[#This Row],[Raw_Value]]),
  _xlpm.scaleF, IFERROR(
    _xlfn.XLOOKUP(_xlpm.analyte, CalibrationCoefficients[Analyte], CalibrationCoefficients[ScaleFactor]),
    1
  ),
  IF(AND(_xlpm.analyte&lt;&gt;"", ISNUMBER(_xlpm.raw)), _xlpm.raw * _xlpm.scaleF, "NA")
)</f>
        <v>6.8960000000000007E-4</v>
      </c>
      <c r="N301" s="41"/>
      <c r="O301" s="41">
        <v>0.22</v>
      </c>
      <c r="P301" s="41"/>
      <c r="Q301" s="208" cm="1">
        <f t="array" ref="Q301">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0.22</v>
      </c>
      <c r="R301" s="237" cm="1">
        <f t="array" ref="R30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0.61748999999999998</v>
      </c>
      <c r="S301" s="238" cm="1">
        <f t="array" ref="S30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0.61338999999999999</v>
      </c>
      <c r="T301" s="238" cm="1">
        <f t="array" ref="T30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-0.39339000000000002</v>
      </c>
      <c r="U301" s="41" t="str" cm="1">
        <f t="array" ref="U30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0.12333 and 0.31667</v>
      </c>
      <c r="V301" s="22"/>
    </row>
    <row r="302" spans="10:22" x14ac:dyDescent="0.15">
      <c r="J302" s="190" t="s">
        <v>227</v>
      </c>
      <c r="K302" s="127" t="s">
        <v>0</v>
      </c>
      <c r="L302" s="208">
        <v>50.69</v>
      </c>
      <c r="M302" s="237">
        <f>_xlfn.LET(
  _xlpm.analyte, SensorLab[[#This Row],[Analyte]],
  _xlpm.raw, N(SensorLab[[#This Row],[Raw_Value]]),
  _xlpm.scaleF, IFERROR(
    _xlfn.XLOOKUP(_xlpm.analyte, CalibrationCoefficients[Analyte], CalibrationCoefficients[ScaleFactor]),
    1
  ),
  IF(AND(_xlpm.analyte&lt;&gt;"", ISNUMBER(_xlpm.raw)), _xlpm.raw * _xlpm.scaleF, "NA")
)</f>
        <v>50.69</v>
      </c>
      <c r="N302" s="41"/>
      <c r="O302" s="41">
        <v>7.5</v>
      </c>
      <c r="P302" s="41"/>
      <c r="Q302" s="208" cm="1">
        <f t="array" ref="Q30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7.5</v>
      </c>
      <c r="R302" s="237" cm="1">
        <f t="array" ref="R30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7.5</v>
      </c>
      <c r="S302" s="238" cm="1">
        <f t="array" ref="S30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7.5</v>
      </c>
      <c r="T302" s="238" cm="1">
        <f t="array" ref="T30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302" s="41" t="str" cm="1">
        <f t="array" ref="U30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14.84500 and 7.50000</v>
      </c>
      <c r="V302" s="22"/>
    </row>
    <row r="303" spans="10:22" x14ac:dyDescent="0.15">
      <c r="J303" s="190" t="s">
        <v>227</v>
      </c>
      <c r="K303" s="127" t="s">
        <v>5</v>
      </c>
      <c r="L303" s="208">
        <v>34.130000000000003</v>
      </c>
      <c r="M303" s="237">
        <f>_xlfn.LET(
  _xlpm.analyte, SensorLab[[#This Row],[Analyte]],
  _xlpm.raw, N(SensorLab[[#This Row],[Raw_Value]]),
  _xlpm.scaleF, IFERROR(
    _xlfn.XLOOKUP(_xlpm.analyte, CalibrationCoefficients[Analyte], CalibrationCoefficients[ScaleFactor]),
    1
  ),
  IF(AND(_xlpm.analyte&lt;&gt;"", ISNUMBER(_xlpm.raw)), _xlpm.raw * _xlpm.scaleF, "NA")
)</f>
        <v>34.130000000000003</v>
      </c>
      <c r="N303" s="41"/>
      <c r="O303" s="41">
        <v>72.5</v>
      </c>
      <c r="P303" s="41"/>
      <c r="Q303" s="208" cm="1">
        <f t="array" ref="Q303">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72.5</v>
      </c>
      <c r="R303" s="237" cm="1">
        <f t="array" ref="R30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72.5</v>
      </c>
      <c r="S303" s="238" cm="1">
        <f t="array" ref="S30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72.5</v>
      </c>
      <c r="T303" s="238" cm="1">
        <f t="array" ref="T30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303" s="41" t="str" cm="1">
        <f t="array" ref="U30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72.50000 and 66.40365</v>
      </c>
      <c r="V303" s="22"/>
    </row>
    <row r="304" spans="10:22" x14ac:dyDescent="0.15">
      <c r="J304" s="190" t="s">
        <v>227</v>
      </c>
      <c r="K304" s="127" t="s">
        <v>6</v>
      </c>
      <c r="L304" s="208">
        <v>15.18</v>
      </c>
      <c r="M304" s="237">
        <f>_xlfn.LET(
  _xlpm.analyte, SensorLab[[#This Row],[Analyte]],
  _xlpm.raw, N(SensorLab[[#This Row],[Raw_Value]]),
  _xlpm.scaleF, IFERROR(
    _xlfn.XLOOKUP(_xlpm.analyte, CalibrationCoefficients[Analyte], CalibrationCoefficients[ScaleFactor]),
    1
  ),
  IF(AND(_xlpm.analyte&lt;&gt;"", ISNUMBER(_xlpm.raw)), _xlpm.raw * _xlpm.scaleF, "NA")
)</f>
        <v>15.18</v>
      </c>
      <c r="N304" s="41"/>
      <c r="O304" s="41">
        <v>20</v>
      </c>
      <c r="P304" s="41"/>
      <c r="Q304" s="208" cm="1">
        <f t="array" ref="Q30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20</v>
      </c>
      <c r="R304" s="237" cm="1">
        <f t="array" ref="R30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20</v>
      </c>
      <c r="S304" s="238" cm="1">
        <f t="array" ref="S30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20</v>
      </c>
      <c r="T304" s="238" cm="1">
        <f t="array" ref="T30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304" s="41" t="str" cm="1">
        <f t="array" ref="U30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304" s="22"/>
    </row>
    <row r="305" spans="10:22" ht="11.25" thickBot="1" x14ac:dyDescent="0.2">
      <c r="J305" s="192" t="s">
        <v>227</v>
      </c>
      <c r="K305" s="193" t="s">
        <v>69</v>
      </c>
      <c r="L305" s="255" t="str" cm="1">
        <f t="array" ref="L305">_xlfn.LET(
  _xlpm.bs,L302, _xlpm.si,L303, _xlpm.c,L304,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M305" s="256" t="str" cm="1">
        <f t="array" ref="M305">_xlfn.LET(
  _xlpm.bs,M302, _xlpm.si,M303, _xlpm.c,M304,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N305" s="245" t="str" cm="1">
        <f t="array" ref="N305">_xlfn.LET(
  _xlpm.bs,N302, _xlpm.si,N303, _xlpm.c,N304,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305" s="245" t="str" cm="1">
        <f t="array" ref="O305">_xlfn.LET(
  _xlpm.bs,O302, _xlpm.si,O303, _xlpm.c,O304,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P305" s="245" t="str" cm="1">
        <f t="array" ref="P305">_xlfn.LET(
  _xlpm.bs,P302, _xlpm.si,P303, _xlpm.c,P304,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305" s="255" t="str" cm="1">
        <f t="array" ref="Q305">_xlfn.LET(
  _xlpm.bs,Q302, _xlpm.si,Q303, _xlpm.c,Q304,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R305" s="256" t="str" cm="1">
        <f t="array" ref="R305">_xlfn.LET(
  _xlpm.bs,R302, _xlpm.si,R303, _xlpm.c,R304,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S305" s="256" t="str" cm="1">
        <f t="array" ref="S305">_xlfn.LET(
  _xlpm.bs,S302, _xlpm.si,S303, _xlpm.c,S304,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T305" s="240" cm="1">
        <f t="array" ref="T30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305" s="229" t="str" cm="1">
        <f t="array" ref="U30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(Texture match: Silt Loam)</v>
      </c>
      <c r="V305" s="22"/>
    </row>
    <row r="306" spans="10:22" x14ac:dyDescent="0.15">
      <c r="J306" s="190" t="s">
        <v>228</v>
      </c>
      <c r="K306" s="127" t="s">
        <v>39</v>
      </c>
      <c r="L306" s="208">
        <v>0</v>
      </c>
      <c r="M306"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306" s="41"/>
      <c r="O306" s="41">
        <v>2</v>
      </c>
      <c r="P306" s="41"/>
      <c r="Q306" s="207" cm="1">
        <f t="array" ref="Q30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v>
      </c>
      <c r="R306" s="239" cm="1">
        <f t="array" ref="R30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0.44663000000000003</v>
      </c>
      <c r="S306" s="241" cm="1">
        <f t="array" ref="S30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v>
      </c>
      <c r="T306" s="241" cm="1">
        <f t="array" ref="T30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-6</v>
      </c>
      <c r="U306" s="41" t="str" cm="1">
        <f t="array" ref="U30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1.17402 and 0.44663</v>
      </c>
      <c r="V306" s="22"/>
    </row>
    <row r="307" spans="10:22" x14ac:dyDescent="0.15">
      <c r="J307" s="190" t="s">
        <v>228</v>
      </c>
      <c r="K307" s="191" t="s">
        <v>40</v>
      </c>
      <c r="L307" s="208">
        <v>23</v>
      </c>
      <c r="M307" s="237">
        <f>_xlfn.LET(
  _xlpm.analyte, SensorLab[[#This Row],[Analyte]],
  _xlpm.raw, N(SensorLab[[#This Row],[Raw_Value]]),
  _xlpm.scaleF, IFERROR(
    _xlfn.XLOOKUP(_xlpm.analyte, CalibrationCoefficients[Analyte], CalibrationCoefficients[ScaleFactor]),
    1
  ),
  IF(AND(_xlpm.analyte&lt;&gt;"", ISNUMBER(_xlpm.raw)), _xlpm.raw * _xlpm.scaleF, "NA")
)</f>
        <v>23</v>
      </c>
      <c r="N307" s="41"/>
      <c r="O307" s="41">
        <v>4.5599999999999996</v>
      </c>
      <c r="P307" s="41"/>
      <c r="Q307" s="208" cm="1">
        <f t="array" ref="Q307">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4.5599999999999996</v>
      </c>
      <c r="R307" s="237" cm="1">
        <f t="array" ref="R30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5.8895099999999996</v>
      </c>
      <c r="S307" s="238" cm="1">
        <f t="array" ref="S30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4.6994800000000003</v>
      </c>
      <c r="T307" s="238" cm="1">
        <f t="array" ref="T30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-0.30051999999999968</v>
      </c>
      <c r="U307" s="41" t="str" cm="1">
        <f t="array" ref="U30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6.02306 and 7.14306</v>
      </c>
      <c r="V307" s="22"/>
    </row>
    <row r="308" spans="10:22" x14ac:dyDescent="0.15">
      <c r="J308" s="190" t="s">
        <v>228</v>
      </c>
      <c r="K308" s="191" t="s">
        <v>41</v>
      </c>
      <c r="L308" s="208">
        <v>15</v>
      </c>
      <c r="M308" s="237">
        <f>_xlfn.LET(
  _xlpm.analyte, SensorLab[[#This Row],[Analyte]],
  _xlpm.raw, N(SensorLab[[#This Row],[Raw_Value]]),
  _xlpm.scaleF, IFERROR(
    _xlfn.XLOOKUP(_xlpm.analyte, CalibrationCoefficients[Analyte], CalibrationCoefficients[ScaleFactor]),
    1
  ),
  IF(AND(_xlpm.analyte&lt;&gt;"", ISNUMBER(_xlpm.raw)), _xlpm.raw * _xlpm.scaleF, "NA")
)</f>
        <v>15</v>
      </c>
      <c r="N308" s="41"/>
      <c r="O308" s="41">
        <v>101</v>
      </c>
      <c r="P308" s="41"/>
      <c r="Q308" s="208" cm="1">
        <f t="array" ref="Q30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101</v>
      </c>
      <c r="R308" s="237" cm="1">
        <f t="array" ref="R30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116.21680000000001</v>
      </c>
      <c r="S308" s="238" cm="1">
        <f t="array" ref="S30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102.51683</v>
      </c>
      <c r="T308" s="238" cm="1">
        <f t="array" ref="T30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-1.5168299999999999</v>
      </c>
      <c r="U308" s="41" t="str" cm="1">
        <f t="array" ref="U30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112.87599 and 115.85599</v>
      </c>
      <c r="V308" s="22"/>
    </row>
    <row r="309" spans="10:22" x14ac:dyDescent="0.15">
      <c r="J309" s="190" t="s">
        <v>228</v>
      </c>
      <c r="K309" s="127" t="s">
        <v>52</v>
      </c>
      <c r="L309" s="208">
        <v>138</v>
      </c>
      <c r="M309" s="237">
        <f>_xlfn.LET(
  _xlpm.analyte, SensorLab[[#This Row],[Analyte]],
  _xlpm.raw, N(SensorLab[[#This Row],[Raw_Value]]),
  _xlpm.scaleF, IFERROR(
    _xlfn.XLOOKUP(_xlpm.analyte, CalibrationCoefficients[Analyte], CalibrationCoefficients[ScaleFactor]),
    1
  ),
  IF(AND(_xlpm.analyte&lt;&gt;"", ISNUMBER(_xlpm.raw)), _xlpm.raw * _xlpm.scaleF, "NA")
)</f>
        <v>0.13800000000000001</v>
      </c>
      <c r="N309" s="41"/>
      <c r="O309" s="41">
        <v>0.7</v>
      </c>
      <c r="P309" s="41"/>
      <c r="Q309" s="208" cm="1">
        <f t="array" ref="Q309">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0.7</v>
      </c>
      <c r="R309" s="237" cm="1">
        <f t="array" ref="R30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1.00617</v>
      </c>
      <c r="S309" s="238" cm="1">
        <f t="array" ref="S30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0.97394000000000003</v>
      </c>
      <c r="T309" s="238" cm="1">
        <f t="array" ref="T30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-0.27394000000000002</v>
      </c>
      <c r="U309" s="41" t="str" cm="1">
        <f t="array" ref="U30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1.00289 and 0.86100</v>
      </c>
      <c r="V309" s="22"/>
    </row>
    <row r="310" spans="10:22" x14ac:dyDescent="0.15">
      <c r="J310" s="190" t="s">
        <v>228</v>
      </c>
      <c r="K310" s="127" t="s">
        <v>34</v>
      </c>
      <c r="L310" s="208">
        <v>72</v>
      </c>
      <c r="M310" s="237">
        <f>_xlfn.LET(
  _xlpm.analyte, SensorLab[[#This Row],[Analyte]],
  _xlpm.raw, N(SensorLab[[#This Row],[Raw_Value]]),
  _xlpm.scaleF, IFERROR(
    _xlfn.XLOOKUP(_xlpm.analyte, CalibrationCoefficients[Analyte], CalibrationCoefficients[ScaleFactor]),
    1
  ),
  IF(AND(_xlpm.analyte&lt;&gt;"", ISNUMBER(_xlpm.raw)), _xlpm.raw * _xlpm.scaleF, "NA")
)</f>
        <v>7.2</v>
      </c>
      <c r="N310" s="41"/>
      <c r="O310" s="41">
        <v>7.31</v>
      </c>
      <c r="P310" s="41"/>
      <c r="Q310" s="208" cm="1">
        <f t="array" ref="Q31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7.31</v>
      </c>
      <c r="R310" s="237" cm="1">
        <f t="array" ref="R31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7.8946300000000003</v>
      </c>
      <c r="S310" s="238" cm="1">
        <f t="array" ref="S31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7.86172</v>
      </c>
      <c r="T310" s="238" cm="1">
        <f t="array" ref="T31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-0.55171999999999999</v>
      </c>
      <c r="U310" s="41" t="str" cm="1">
        <f t="array" ref="U31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7.80816 and 7.59322</v>
      </c>
      <c r="V310" s="22"/>
    </row>
    <row r="311" spans="10:22" x14ac:dyDescent="0.15">
      <c r="J311" s="190" t="s">
        <v>228</v>
      </c>
      <c r="K311" s="127" t="s">
        <v>90</v>
      </c>
      <c r="L311" s="208">
        <v>165</v>
      </c>
      <c r="M311" s="237">
        <f>_xlfn.LET(
  _xlpm.analyte, SensorLab[[#This Row],[Analyte]],
  _xlpm.raw, N(SensorLab[[#This Row],[Raw_Value]]),
  _xlpm.scaleF, IFERROR(
    _xlfn.XLOOKUP(_xlpm.analyte, CalibrationCoefficients[Analyte], CalibrationCoefficients[ScaleFactor]),
    1
  ),
  IF(AND(_xlpm.analyte&lt;&gt;"", ISNUMBER(_xlpm.raw)), _xlpm.raw * _xlpm.scaleF, "NA")
)</f>
        <v>16.5</v>
      </c>
      <c r="N311" s="41"/>
      <c r="O311" s="41">
        <v>16.5</v>
      </c>
      <c r="P311" s="41"/>
      <c r="Q311" s="208" cm="1">
        <f t="array" ref="Q311">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16.5</v>
      </c>
      <c r="R311" s="237" cm="1">
        <f t="array" ref="R31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16.538640000000001</v>
      </c>
      <c r="S311" s="238" cm="1">
        <f t="array" ref="S31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16.50206</v>
      </c>
      <c r="T311" s="238" cm="1">
        <f t="array" ref="T31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-7.4979399999999998</v>
      </c>
      <c r="U311" s="41" t="str" cm="1">
        <f t="array" ref="U31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-0.00206)</v>
      </c>
      <c r="V311" s="22"/>
    </row>
    <row r="312" spans="10:22" x14ac:dyDescent="0.15">
      <c r="J312" s="190" t="s">
        <v>228</v>
      </c>
      <c r="K312" s="191" t="s">
        <v>43</v>
      </c>
      <c r="L312" s="208">
        <v>189</v>
      </c>
      <c r="M312" s="237">
        <f>_xlfn.LET(
  _xlpm.analyte, SensorLab[[#This Row],[Analyte]],
  _xlpm.raw, N(SensorLab[[#This Row],[Raw_Value]]),
  _xlpm.scaleF, IFERROR(
    _xlfn.XLOOKUP(_xlpm.analyte, CalibrationCoefficients[Analyte], CalibrationCoefficients[ScaleFactor]),
    1
  ),
  IF(AND(_xlpm.analyte&lt;&gt;"", ISNUMBER(_xlpm.raw)), _xlpm.raw * _xlpm.scaleF, "NA")
)</f>
        <v>18.900000000000002</v>
      </c>
      <c r="N312" s="41"/>
      <c r="O312" s="41">
        <v>18.899999999999999</v>
      </c>
      <c r="P312" s="41"/>
      <c r="Q312" s="208" cm="1">
        <f t="array" ref="Q31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18.899999999999999</v>
      </c>
      <c r="R312" s="237" cm="1">
        <f t="array" ref="R31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18.885639999999999</v>
      </c>
      <c r="S312" s="238" cm="1">
        <f t="array" ref="S31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18.899049999999999</v>
      </c>
      <c r="T312" s="238" cm="1">
        <f t="array" ref="T31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9.5E-4</v>
      </c>
      <c r="U312" s="41" t="str" cm="1">
        <f t="array" ref="U31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18.90000 and 18.90000</v>
      </c>
      <c r="V312" s="22"/>
    </row>
    <row r="313" spans="10:22" x14ac:dyDescent="0.15">
      <c r="J313" s="190" t="s">
        <v>228</v>
      </c>
      <c r="K313" s="191" t="s">
        <v>45</v>
      </c>
      <c r="L313" s="208">
        <v>5.1999999999999995E-4</v>
      </c>
      <c r="M313" s="237">
        <f>_xlfn.LET(
  _xlpm.analyte, SensorLab[[#This Row],[Analyte]],
  _xlpm.raw, N(SensorLab[[#This Row],[Raw_Value]]),
  _xlpm.scaleF, IFERROR(
    _xlfn.XLOOKUP(_xlpm.analyte, CalibrationCoefficients[Analyte], CalibrationCoefficients[ScaleFactor]),
    1
  ),
  IF(AND(_xlpm.analyte&lt;&gt;"", ISNUMBER(_xlpm.raw)), _xlpm.raw * _xlpm.scaleF, "NA")
)</f>
        <v>5.1999999999999995E-4</v>
      </c>
      <c r="N313" s="41"/>
      <c r="O313" s="41">
        <v>0.18</v>
      </c>
      <c r="P313" s="41"/>
      <c r="Q313" s="208" cm="1">
        <f t="array" ref="Q313">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0.18</v>
      </c>
      <c r="R313" s="237" cm="1">
        <f t="array" ref="R31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0.60409999999999997</v>
      </c>
      <c r="S313" s="238" cm="1">
        <f t="array" ref="S31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0.6</v>
      </c>
      <c r="T313" s="238" cm="1">
        <f t="array" ref="T31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-0.42</v>
      </c>
      <c r="U313" s="41" t="str" cm="1">
        <f t="array" ref="U31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0.10091 and 0.25909</v>
      </c>
      <c r="V313" s="22"/>
    </row>
    <row r="314" spans="10:22" x14ac:dyDescent="0.15">
      <c r="J314" s="190" t="s">
        <v>228</v>
      </c>
      <c r="K314" s="127" t="s">
        <v>0</v>
      </c>
      <c r="L314" s="208">
        <v>50.76</v>
      </c>
      <c r="M314" s="237">
        <f>_xlfn.LET(
  _xlpm.analyte, SensorLab[[#This Row],[Analyte]],
  _xlpm.raw, N(SensorLab[[#This Row],[Raw_Value]]),
  _xlpm.scaleF, IFERROR(
    _xlfn.XLOOKUP(_xlpm.analyte, CalibrationCoefficients[Analyte], CalibrationCoefficients[ScaleFactor]),
    1
  ),
  IF(AND(_xlpm.analyte&lt;&gt;"", ISNUMBER(_xlpm.raw)), _xlpm.raw * _xlpm.scaleF, "NA")
)</f>
        <v>50.76</v>
      </c>
      <c r="N314" s="41"/>
      <c r="O314" s="41">
        <v>27.5</v>
      </c>
      <c r="P314" s="41"/>
      <c r="Q314" s="208" cm="1">
        <f t="array" ref="Q31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27.5</v>
      </c>
      <c r="R314" s="237" cm="1">
        <f t="array" ref="R31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27.5</v>
      </c>
      <c r="S314" s="238" cm="1">
        <f t="array" ref="S31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27.5</v>
      </c>
      <c r="T314" s="238" cm="1">
        <f t="array" ref="T31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314" s="41" t="str" cm="1">
        <f t="array" ref="U31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314" s="22"/>
    </row>
    <row r="315" spans="10:22" x14ac:dyDescent="0.15">
      <c r="J315" s="190" t="s">
        <v>228</v>
      </c>
      <c r="K315" s="127" t="s">
        <v>5</v>
      </c>
      <c r="L315" s="208">
        <v>34.1</v>
      </c>
      <c r="M315" s="237">
        <f>_xlfn.LET(
  _xlpm.analyte, SensorLab[[#This Row],[Analyte]],
  _xlpm.raw, N(SensorLab[[#This Row],[Raw_Value]]),
  _xlpm.scaleF, IFERROR(
    _xlfn.XLOOKUP(_xlpm.analyte, CalibrationCoefficients[Analyte], CalibrationCoefficients[ScaleFactor]),
    1
  ),
  IF(AND(_xlpm.analyte&lt;&gt;"", ISNUMBER(_xlpm.raw)), _xlpm.raw * _xlpm.scaleF, "NA")
)</f>
        <v>34.1</v>
      </c>
      <c r="N315" s="41"/>
      <c r="O315" s="41">
        <v>47.5</v>
      </c>
      <c r="P315" s="41"/>
      <c r="Q315" s="208" cm="1">
        <f t="array" ref="Q315">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47.5</v>
      </c>
      <c r="R315" s="237" cm="1">
        <f t="array" ref="R31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47.5</v>
      </c>
      <c r="S315" s="238" cm="1">
        <f t="array" ref="S31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47.5</v>
      </c>
      <c r="T315" s="238" cm="1">
        <f t="array" ref="T31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315" s="41" t="str" cm="1">
        <f t="array" ref="U31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315" s="22"/>
    </row>
    <row r="316" spans="10:22" x14ac:dyDescent="0.15">
      <c r="J316" s="190" t="s">
        <v>228</v>
      </c>
      <c r="K316" s="127" t="s">
        <v>6</v>
      </c>
      <c r="L316" s="208">
        <v>15.14</v>
      </c>
      <c r="M316" s="237">
        <f>_xlfn.LET(
  _xlpm.analyte, SensorLab[[#This Row],[Analyte]],
  _xlpm.raw, N(SensorLab[[#This Row],[Raw_Value]]),
  _xlpm.scaleF, IFERROR(
    _xlfn.XLOOKUP(_xlpm.analyte, CalibrationCoefficients[Analyte], CalibrationCoefficients[ScaleFactor]),
    1
  ),
  IF(AND(_xlpm.analyte&lt;&gt;"", ISNUMBER(_xlpm.raw)), _xlpm.raw * _xlpm.scaleF, "NA")
)</f>
        <v>15.14</v>
      </c>
      <c r="N316" s="41"/>
      <c r="O316" s="41">
        <v>25</v>
      </c>
      <c r="P316" s="41"/>
      <c r="Q316" s="208" cm="1">
        <f t="array" ref="Q31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25</v>
      </c>
      <c r="R316" s="237" cm="1">
        <f t="array" ref="R31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25</v>
      </c>
      <c r="S316" s="238" cm="1">
        <f t="array" ref="S31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25</v>
      </c>
      <c r="T316" s="238" cm="1">
        <f t="array" ref="T31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316" s="41" t="str" cm="1">
        <f t="array" ref="U31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25.00000 and 21.40317</v>
      </c>
      <c r="V316" s="22"/>
    </row>
    <row r="317" spans="10:22" ht="11.25" thickBot="1" x14ac:dyDescent="0.2">
      <c r="J317" s="190" t="s">
        <v>228</v>
      </c>
      <c r="K317" s="193" t="s">
        <v>69</v>
      </c>
      <c r="L317" s="255" t="str" cm="1">
        <f t="array" ref="L317">_xlfn.LET(
  _xlpm.bs,L314, _xlpm.si,L315, _xlpm.c,L316,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M317" s="256" t="str" cm="1">
        <f t="array" ref="M317">_xlfn.LET(
  _xlpm.bs,M314, _xlpm.si,M315, _xlpm.c,M316,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N317" s="245" t="str" cm="1">
        <f t="array" ref="N317">_xlfn.LET(
  _xlpm.bs,N314, _xlpm.si,N315, _xlpm.c,N316,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317" s="245" t="str" cm="1">
        <f t="array" ref="O317">_xlfn.LET(
  _xlpm.bs,O314, _xlpm.si,O315, _xlpm.c,O316,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P317" s="245" t="str" cm="1">
        <f t="array" ref="P317">_xlfn.LET(
  _xlpm.bs,P314, _xlpm.si,P315, _xlpm.c,P316,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317" s="255" t="str" cm="1">
        <f t="array" ref="Q317">_xlfn.LET(
  _xlpm.bs,Q314, _xlpm.si,Q315, _xlpm.c,Q316,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R317" s="256" t="str" cm="1">
        <f t="array" ref="R317">_xlfn.LET(
  _xlpm.bs,R314, _xlpm.si,R315, _xlpm.c,R316,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S317" s="256" t="str" cm="1">
        <f t="array" ref="S317">_xlfn.LET(
  _xlpm.bs,S314, _xlpm.si,S315, _xlpm.c,S316,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T317" s="240" cm="1">
        <f t="array" ref="T31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317" s="229" t="str" cm="1">
        <f t="array" ref="U31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(Texture match: Loam)</v>
      </c>
      <c r="V317" s="22"/>
    </row>
    <row r="318" spans="10:22" x14ac:dyDescent="0.15">
      <c r="J318" s="188" t="s">
        <v>229</v>
      </c>
      <c r="K318" s="189" t="s">
        <v>39</v>
      </c>
      <c r="L318" s="207">
        <v>14</v>
      </c>
      <c r="M318" s="239">
        <f>_xlfn.LET(
  _xlpm.analyte, SensorLab[[#This Row],[Analyte]],
  _xlpm.raw, N(SensorLab[[#This Row],[Raw_Value]]),
  _xlpm.scaleF, IFERROR(
    _xlfn.XLOOKUP(_xlpm.analyte, CalibrationCoefficients[Analyte], CalibrationCoefficients[ScaleFactor]),
    1
  ),
  IF(AND(_xlpm.analyte&lt;&gt;"", ISNUMBER(_xlpm.raw)), _xlpm.raw * _xlpm.scaleF, "NA")
)</f>
        <v>14</v>
      </c>
      <c r="N318" s="228"/>
      <c r="O318" s="228"/>
      <c r="P318" s="228">
        <v>3.0358999999999998</v>
      </c>
      <c r="Q318" s="207" cm="1">
        <f t="array" ref="Q31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3.0358999999999998</v>
      </c>
      <c r="R318" s="239" cm="1">
        <f t="array" ref="R31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2.4119100000000002</v>
      </c>
      <c r="S318" s="241" cm="1">
        <f t="array" ref="S31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3.9652799999999999</v>
      </c>
      <c r="T318" s="241" cm="1">
        <f t="array" ref="T31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-2.0347200000000001</v>
      </c>
      <c r="U318" s="228" t="str" cm="1">
        <f t="array" ref="U31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2.41191 and 2.41191</v>
      </c>
      <c r="V318" s="22"/>
    </row>
    <row r="319" spans="10:22" x14ac:dyDescent="0.15">
      <c r="J319" s="190" t="s">
        <v>229</v>
      </c>
      <c r="K319" s="191" t="s">
        <v>40</v>
      </c>
      <c r="L319" s="208">
        <v>80</v>
      </c>
      <c r="M319" s="237">
        <f>_xlfn.LET(
  _xlpm.analyte, SensorLab[[#This Row],[Analyte]],
  _xlpm.raw, N(SensorLab[[#This Row],[Raw_Value]]),
  _xlpm.scaleF, IFERROR(
    _xlfn.XLOOKUP(_xlpm.analyte, CalibrationCoefficients[Analyte], CalibrationCoefficients[ScaleFactor]),
    1
  ),
  IF(AND(_xlpm.analyte&lt;&gt;"", ISNUMBER(_xlpm.raw)), _xlpm.raw * _xlpm.scaleF, "NA")
)</f>
        <v>80</v>
      </c>
      <c r="N319" s="41"/>
      <c r="O319" s="41"/>
      <c r="P319" s="41">
        <v>3</v>
      </c>
      <c r="Q319" s="208" cm="1">
        <f t="array" ref="Q319">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3</v>
      </c>
      <c r="R319" s="237" cm="1">
        <f t="array" ref="R31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7.3156600000000003</v>
      </c>
      <c r="S319" s="238" cm="1">
        <f t="array" ref="S31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6.1256300000000001</v>
      </c>
      <c r="T319" s="238" cm="1">
        <f t="array" ref="T31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-3.1256300000000001</v>
      </c>
      <c r="U319" s="41" t="str" cm="1">
        <f t="array" ref="U31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6.80052 and 4.83034</v>
      </c>
      <c r="V319" s="22"/>
    </row>
    <row r="320" spans="10:22" x14ac:dyDescent="0.15">
      <c r="J320" s="190" t="s">
        <v>229</v>
      </c>
      <c r="K320" s="191" t="s">
        <v>41</v>
      </c>
      <c r="L320" s="208">
        <v>73</v>
      </c>
      <c r="M320" s="237">
        <f>_xlfn.LET(
  _xlpm.analyte, SensorLab[[#This Row],[Analyte]],
  _xlpm.raw, N(SensorLab[[#This Row],[Raw_Value]]),
  _xlpm.scaleF, IFERROR(
    _xlfn.XLOOKUP(_xlpm.analyte, CalibrationCoefficients[Analyte], CalibrationCoefficients[ScaleFactor]),
    1
  ),
  IF(AND(_xlpm.analyte&lt;&gt;"", ISNUMBER(_xlpm.raw)), _xlpm.raw * _xlpm.scaleF, "NA")
)</f>
        <v>73</v>
      </c>
      <c r="N320" s="41"/>
      <c r="O320" s="41"/>
      <c r="P320" s="41">
        <v>99</v>
      </c>
      <c r="Q320" s="208" cm="1">
        <f t="array" ref="Q32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99</v>
      </c>
      <c r="R320" s="237" cm="1">
        <f t="array" ref="R32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134.43989999999999</v>
      </c>
      <c r="S320" s="238" cm="1">
        <f t="array" ref="S32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120.73993</v>
      </c>
      <c r="T320" s="238" cm="1">
        <f t="array" ref="T32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-21.739930000000001</v>
      </c>
      <c r="U320" s="41" t="str" cm="1">
        <f t="array" ref="U32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132.84906 and 132.06123</v>
      </c>
      <c r="V320" s="22"/>
    </row>
    <row r="321" spans="10:22" x14ac:dyDescent="0.15">
      <c r="J321" s="190" t="s">
        <v>229</v>
      </c>
      <c r="K321" s="127" t="s">
        <v>52</v>
      </c>
      <c r="L321" s="208">
        <v>256</v>
      </c>
      <c r="M321" s="237">
        <f>_xlfn.LET(
  _xlpm.analyte, SensorLab[[#This Row],[Analyte]],
  _xlpm.raw, N(SensorLab[[#This Row],[Raw_Value]]),
  _xlpm.scaleF, IFERROR(
    _xlfn.XLOOKUP(_xlpm.analyte, CalibrationCoefficients[Analyte], CalibrationCoefficients[ScaleFactor]),
    1
  ),
  IF(AND(_xlpm.analyte&lt;&gt;"", ISNUMBER(_xlpm.raw)), _xlpm.raw * _xlpm.scaleF, "NA")
)</f>
        <v>0.25600000000000001</v>
      </c>
      <c r="N321" s="41"/>
      <c r="O321" s="41"/>
      <c r="P321" s="41">
        <v>0.85</v>
      </c>
      <c r="Q321" s="208" cm="1">
        <f t="array" ref="Q321">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0.85</v>
      </c>
      <c r="R321" s="237" cm="1">
        <f t="array" ref="R32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1.0834999999999999</v>
      </c>
      <c r="S321" s="238" cm="1">
        <f t="array" ref="S32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1.0512699999999999</v>
      </c>
      <c r="T321" s="238" cm="1">
        <f t="array" ref="T32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-0.20127</v>
      </c>
      <c r="U321" s="41" t="str" cm="1">
        <f t="array" ref="U32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1.02838 and 1.04550</v>
      </c>
      <c r="V321" s="22"/>
    </row>
    <row r="322" spans="10:22" x14ac:dyDescent="0.15">
      <c r="J322" s="190" t="s">
        <v>229</v>
      </c>
      <c r="K322" s="127" t="s">
        <v>34</v>
      </c>
      <c r="L322" s="208">
        <v>76</v>
      </c>
      <c r="M322" s="237">
        <f>_xlfn.LET(
  _xlpm.analyte, SensorLab[[#This Row],[Analyte]],
  _xlpm.raw, N(SensorLab[[#This Row],[Raw_Value]]),
  _xlpm.scaleF, IFERROR(
    _xlfn.XLOOKUP(_xlpm.analyte, CalibrationCoefficients[Analyte], CalibrationCoefficients[ScaleFactor]),
    1
  ),
  IF(AND(_xlpm.analyte&lt;&gt;"", ISNUMBER(_xlpm.raw)), _xlpm.raw * _xlpm.scaleF, "NA")
)</f>
        <v>7.6000000000000005</v>
      </c>
      <c r="N322" s="41"/>
      <c r="O322" s="41"/>
      <c r="P322" s="41">
        <v>8.3000000000000007</v>
      </c>
      <c r="Q322" s="208" cm="1">
        <f t="array" ref="Q32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8.3000000000000007</v>
      </c>
      <c r="R322" s="237" cm="1">
        <f t="array" ref="R32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7.8763500000000004</v>
      </c>
      <c r="S322" s="238" cm="1">
        <f t="array" ref="S32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7.8434400000000002</v>
      </c>
      <c r="T322" s="238" cm="1">
        <f t="array" ref="T32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0.45656000000000002</v>
      </c>
      <c r="U322" s="41" t="str" cm="1">
        <f t="array" ref="U32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7.97842 and 7.98758</v>
      </c>
      <c r="V322" s="22"/>
    </row>
    <row r="323" spans="10:22" x14ac:dyDescent="0.15">
      <c r="J323" s="190" t="s">
        <v>229</v>
      </c>
      <c r="K323" s="127" t="s">
        <v>90</v>
      </c>
      <c r="L323" s="208">
        <v>180</v>
      </c>
      <c r="M323" s="237">
        <f>_xlfn.LET(
  _xlpm.analyte, SensorLab[[#This Row],[Analyte]],
  _xlpm.raw, N(SensorLab[[#This Row],[Raw_Value]]),
  _xlpm.scaleF, IFERROR(
    _xlfn.XLOOKUP(_xlpm.analyte, CalibrationCoefficients[Analyte], CalibrationCoefficients[ScaleFactor]),
    1
  ),
  IF(AND(_xlpm.analyte&lt;&gt;"", ISNUMBER(_xlpm.raw)), _xlpm.raw * _xlpm.scaleF, "NA")
)</f>
        <v>18</v>
      </c>
      <c r="N323" s="41"/>
      <c r="O323" s="41"/>
      <c r="P323" s="41">
        <v>18</v>
      </c>
      <c r="Q323" s="208" cm="1">
        <f t="array" ref="Q323">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18</v>
      </c>
      <c r="R323" s="237" cm="1">
        <f t="array" ref="R32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18.06962</v>
      </c>
      <c r="S323" s="238" cm="1">
        <f t="array" ref="S32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18.03304</v>
      </c>
      <c r="T323" s="238" cm="1">
        <f t="array" ref="T32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-5.9669600000000003</v>
      </c>
      <c r="U323" s="41" t="str" cm="1">
        <f t="array" ref="U32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-0.03304)</v>
      </c>
      <c r="V323" s="22"/>
    </row>
    <row r="324" spans="10:22" x14ac:dyDescent="0.15">
      <c r="J324" s="190" t="s">
        <v>229</v>
      </c>
      <c r="K324" s="191" t="s">
        <v>43</v>
      </c>
      <c r="L324" s="208">
        <v>251</v>
      </c>
      <c r="M324" s="237">
        <f>_xlfn.LET(
  _xlpm.analyte, SensorLab[[#This Row],[Analyte]],
  _xlpm.raw, N(SensorLab[[#This Row],[Raw_Value]]),
  _xlpm.scaleF, IFERROR(
    _xlfn.XLOOKUP(_xlpm.analyte, CalibrationCoefficients[Analyte], CalibrationCoefficients[ScaleFactor]),
    1
  ),
  IF(AND(_xlpm.analyte&lt;&gt;"", ISNUMBER(_xlpm.raw)), _xlpm.raw * _xlpm.scaleF, "NA")
)</f>
        <v>25.1</v>
      </c>
      <c r="N324" s="41"/>
      <c r="O324" s="41"/>
      <c r="P324" s="41">
        <v>25.1</v>
      </c>
      <c r="Q324" s="208" cm="1">
        <f t="array" ref="Q32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25.1</v>
      </c>
      <c r="R324" s="237" cm="1">
        <f t="array" ref="R32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25.087199999999999</v>
      </c>
      <c r="S324" s="238" cm="1">
        <f t="array" ref="S32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25.10061</v>
      </c>
      <c r="T324" s="238" cm="1">
        <f t="array" ref="T32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0.10060999999999964</v>
      </c>
      <c r="U324" s="41" t="str" cm="1">
        <f t="array" ref="U32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25.10000 and 25.10000</v>
      </c>
      <c r="V324" s="22"/>
    </row>
    <row r="325" spans="10:22" x14ac:dyDescent="0.15">
      <c r="J325" s="190" t="s">
        <v>229</v>
      </c>
      <c r="K325" s="191" t="s">
        <v>45</v>
      </c>
      <c r="L325" s="208">
        <v>1.7240000000000001E-3</v>
      </c>
      <c r="M325" s="237">
        <f>_xlfn.LET(
  _xlpm.analyte, SensorLab[[#This Row],[Analyte]],
  _xlpm.raw, N(SensorLab[[#This Row],[Raw_Value]]),
  _xlpm.scaleF, IFERROR(
    _xlfn.XLOOKUP(_xlpm.analyte, CalibrationCoefficients[Analyte], CalibrationCoefficients[ScaleFactor]),
    1
  ),
  IF(AND(_xlpm.analyte&lt;&gt;"", ISNUMBER(_xlpm.raw)), _xlpm.raw * _xlpm.scaleF, "NA")
)</f>
        <v>1.7240000000000001E-3</v>
      </c>
      <c r="N325" s="41"/>
      <c r="O325" s="41"/>
      <c r="P325" s="41">
        <v>0.6</v>
      </c>
      <c r="Q325" s="208" cm="1">
        <f t="array" ref="Q325">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0.6</v>
      </c>
      <c r="R325" s="237" cm="1">
        <f t="array" ref="R32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0.69915000000000005</v>
      </c>
      <c r="S325" s="238" cm="1">
        <f t="array" ref="S32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0.69504999999999995</v>
      </c>
      <c r="T325" s="238" cm="1">
        <f t="array" ref="T32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-9.5049999999999996E-2</v>
      </c>
      <c r="U325" s="41" t="str" cm="1">
        <f t="array" ref="U32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-0.09505)</v>
      </c>
      <c r="V325" s="22"/>
    </row>
    <row r="326" spans="10:22" x14ac:dyDescent="0.15">
      <c r="J326" s="190" t="s">
        <v>229</v>
      </c>
      <c r="K326" s="127" t="s">
        <v>0</v>
      </c>
      <c r="L326" s="208">
        <v>27.31</v>
      </c>
      <c r="M326" s="237">
        <f>_xlfn.LET(
  _xlpm.analyte, SensorLab[[#This Row],[Analyte]],
  _xlpm.raw, N(SensorLab[[#This Row],[Raw_Value]]),
  _xlpm.scaleF, IFERROR(
    _xlfn.XLOOKUP(_xlpm.analyte, CalibrationCoefficients[Analyte], CalibrationCoefficients[ScaleFactor]),
    1
  ),
  IF(AND(_xlpm.analyte&lt;&gt;"", ISNUMBER(_xlpm.raw)), _xlpm.raw * _xlpm.scaleF, "NA")
)</f>
        <v>27.31</v>
      </c>
      <c r="N326" s="41"/>
      <c r="O326" s="41"/>
      <c r="P326" s="41">
        <v>52</v>
      </c>
      <c r="Q326" s="208" cm="1">
        <f t="array" ref="Q32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52</v>
      </c>
      <c r="R326" s="237" cm="1">
        <f t="array" ref="R32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52</v>
      </c>
      <c r="S326" s="238" cm="1">
        <f t="array" ref="S32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52</v>
      </c>
      <c r="T326" s="238" cm="1">
        <f t="array" ref="T32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326" s="41" t="str" cm="1">
        <f t="array" ref="U32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326" s="22"/>
    </row>
    <row r="327" spans="10:22" x14ac:dyDescent="0.15">
      <c r="J327" s="190" t="s">
        <v>229</v>
      </c>
      <c r="K327" s="127" t="s">
        <v>5</v>
      </c>
      <c r="L327" s="208">
        <v>57.47</v>
      </c>
      <c r="M327" s="237">
        <f>_xlfn.LET(
  _xlpm.analyte, SensorLab[[#This Row],[Analyte]],
  _xlpm.raw, N(SensorLab[[#This Row],[Raw_Value]]),
  _xlpm.scaleF, IFERROR(
    _xlfn.XLOOKUP(_xlpm.analyte, CalibrationCoefficients[Analyte], CalibrationCoefficients[ScaleFactor]),
    1
  ),
  IF(AND(_xlpm.analyte&lt;&gt;"", ISNUMBER(_xlpm.raw)), _xlpm.raw * _xlpm.scaleF, "NA")
)</f>
        <v>57.47</v>
      </c>
      <c r="N327" s="41"/>
      <c r="O327" s="41"/>
      <c r="P327" s="41">
        <v>33</v>
      </c>
      <c r="Q327" s="208" cm="1">
        <f t="array" ref="Q327">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33</v>
      </c>
      <c r="R327" s="237" cm="1">
        <f t="array" ref="R32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33</v>
      </c>
      <c r="S327" s="238" cm="1">
        <f t="array" ref="S32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33</v>
      </c>
      <c r="T327" s="238" cm="1">
        <f t="array" ref="T32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327" s="41" t="str" cm="1">
        <f t="array" ref="U32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327" s="22"/>
    </row>
    <row r="328" spans="10:22" x14ac:dyDescent="0.15">
      <c r="J328" s="190" t="s">
        <v>229</v>
      </c>
      <c r="K328" s="127" t="s">
        <v>6</v>
      </c>
      <c r="L328" s="208">
        <v>15.22</v>
      </c>
      <c r="M328" s="237">
        <f>_xlfn.LET(
  _xlpm.analyte, SensorLab[[#This Row],[Analyte]],
  _xlpm.raw, N(SensorLab[[#This Row],[Raw_Value]]),
  _xlpm.scaleF, IFERROR(
    _xlfn.XLOOKUP(_xlpm.analyte, CalibrationCoefficients[Analyte], CalibrationCoefficients[ScaleFactor]),
    1
  ),
  IF(AND(_xlpm.analyte&lt;&gt;"", ISNUMBER(_xlpm.raw)), _xlpm.raw * _xlpm.scaleF, "NA")
)</f>
        <v>15.22</v>
      </c>
      <c r="N328" s="41"/>
      <c r="O328" s="41"/>
      <c r="P328" s="41">
        <v>15</v>
      </c>
      <c r="Q328" s="208" cm="1">
        <f t="array" ref="Q32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15</v>
      </c>
      <c r="R328" s="237" cm="1">
        <f t="array" ref="R32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15</v>
      </c>
      <c r="S328" s="238" cm="1">
        <f t="array" ref="S32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15</v>
      </c>
      <c r="T328" s="238" cm="1">
        <f t="array" ref="T32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328" s="41" t="str" cm="1">
        <f t="array" ref="U32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328" s="22"/>
    </row>
    <row r="329" spans="10:22" ht="11.25" thickBot="1" x14ac:dyDescent="0.2">
      <c r="J329" s="192" t="s">
        <v>229</v>
      </c>
      <c r="K329" s="193" t="s">
        <v>69</v>
      </c>
      <c r="L329" s="255" t="str" cm="1">
        <f t="array" ref="L329">_xlfn.LET(
  _xlpm.bs,L326, _xlpm.si,L327, _xlpm.c,L328,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M329" s="256" t="str" cm="1">
        <f t="array" ref="M329">_xlfn.LET(
  _xlpm.bs,M326, _xlpm.si,M327, _xlpm.c,M328,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N329" s="245" t="str" cm="1">
        <f t="array" ref="N329">_xlfn.LET(
  _xlpm.bs,N326, _xlpm.si,N327, _xlpm.c,N328,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329" s="245" t="str" cm="1">
        <f t="array" ref="O329">_xlfn.LET(
  _xlpm.bs,O326, _xlpm.si,O327, _xlpm.c,O328,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P329" s="245" t="str" cm="1">
        <f t="array" ref="P329">_xlfn.LET(
  _xlpm.bs,P326, _xlpm.si,P327, _xlpm.c,P328,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Q329" s="255" t="str" cm="1">
        <f t="array" ref="Q329">_xlfn.LET(
  _xlpm.bs,Q326, _xlpm.si,Q327, _xlpm.c,Q328,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R329" s="256" t="str" cm="1">
        <f t="array" ref="R329">_xlfn.LET(
  _xlpm.bs,R326, _xlpm.si,R327, _xlpm.c,R328,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S329" s="256" t="str" cm="1">
        <f t="array" ref="S329">_xlfn.LET(
  _xlpm.bs,S326, _xlpm.si,S327, _xlpm.c,S328,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T329" s="240" cm="1">
        <f t="array" ref="T32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329" s="229" t="str" cm="1">
        <f t="array" ref="U32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(Texture match: Sandy Loam)</v>
      </c>
      <c r="V329" s="22"/>
    </row>
    <row r="330" spans="10:22" x14ac:dyDescent="0.15">
      <c r="J330" s="190" t="s">
        <v>230</v>
      </c>
      <c r="K330" s="127" t="s">
        <v>39</v>
      </c>
      <c r="L330" s="208">
        <v>21</v>
      </c>
      <c r="M330" s="237">
        <f>_xlfn.LET(
  _xlpm.analyte, SensorLab[[#This Row],[Analyte]],
  _xlpm.raw, N(SensorLab[[#This Row],[Raw_Value]]),
  _xlpm.scaleF, IFERROR(
    _xlfn.XLOOKUP(_xlpm.analyte, CalibrationCoefficients[Analyte], CalibrationCoefficients[ScaleFactor]),
    1
  ),
  IF(AND(_xlpm.analyte&lt;&gt;"", ISNUMBER(_xlpm.raw)), _xlpm.raw * _xlpm.scaleF, "NA")
)</f>
        <v>21</v>
      </c>
      <c r="N330" s="41"/>
      <c r="O330" s="41"/>
      <c r="P330" s="41">
        <v>3.5575999999999999</v>
      </c>
      <c r="Q330" s="207" cm="1">
        <f t="array" ref="Q33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3.5575999999999999</v>
      </c>
      <c r="R330" s="239" cm="1">
        <f t="array" ref="R33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3.3945500000000002</v>
      </c>
      <c r="S330" s="241" cm="1">
        <f t="array" ref="S33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4.9479199999999999</v>
      </c>
      <c r="T330" s="241" cm="1">
        <f t="array" ref="T33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-3.0520800000000001</v>
      </c>
      <c r="U330" s="41" t="str" cm="1">
        <f t="array" ref="U33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3.39455 and 3.39455</v>
      </c>
      <c r="V330" s="22"/>
    </row>
    <row r="331" spans="10:22" x14ac:dyDescent="0.15">
      <c r="J331" s="190" t="s">
        <v>230</v>
      </c>
      <c r="K331" s="191" t="s">
        <v>40</v>
      </c>
      <c r="L331" s="208">
        <v>95</v>
      </c>
      <c r="M331" s="237">
        <f>_xlfn.LET(
  _xlpm.analyte, SensorLab[[#This Row],[Analyte]],
  _xlpm.raw, N(SensorLab[[#This Row],[Raw_Value]]),
  _xlpm.scaleF, IFERROR(
    _xlfn.XLOOKUP(_xlpm.analyte, CalibrationCoefficients[Analyte], CalibrationCoefficients[ScaleFactor]),
    1
  ),
  IF(AND(_xlpm.analyte&lt;&gt;"", ISNUMBER(_xlpm.raw)), _xlpm.raw * _xlpm.scaleF, "NA")
)</f>
        <v>95</v>
      </c>
      <c r="N331" s="41"/>
      <c r="O331" s="41"/>
      <c r="P331" s="41">
        <v>12</v>
      </c>
      <c r="Q331" s="208" cm="1">
        <f t="array" ref="Q331">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12</v>
      </c>
      <c r="R331" s="237" cm="1">
        <f t="array" ref="R33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7.6909599999999996</v>
      </c>
      <c r="S331" s="238" cm="1">
        <f t="array" ref="S33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6.5009300000000003</v>
      </c>
      <c r="T331" s="238" cm="1">
        <f t="array" ref="T33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5.4990699999999997</v>
      </c>
      <c r="U331" s="41" t="str" cm="1">
        <f t="array" ref="U33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7.00511 and 8.12511</v>
      </c>
      <c r="V331" s="22"/>
    </row>
    <row r="332" spans="10:22" x14ac:dyDescent="0.15">
      <c r="J332" s="190" t="s">
        <v>230</v>
      </c>
      <c r="K332" s="191" t="s">
        <v>41</v>
      </c>
      <c r="L332" s="208">
        <v>88</v>
      </c>
      <c r="M332" s="237">
        <f>_xlfn.LET(
  _xlpm.analyte, SensorLab[[#This Row],[Analyte]],
  _xlpm.raw, N(SensorLab[[#This Row],[Raw_Value]]),
  _xlpm.scaleF, IFERROR(
    _xlfn.XLOOKUP(_xlpm.analyte, CalibrationCoefficients[Analyte], CalibrationCoefficients[ScaleFactor]),
    1
  ),
  IF(AND(_xlpm.analyte&lt;&gt;"", ISNUMBER(_xlpm.raw)), _xlpm.raw * _xlpm.scaleF, "NA")
)</f>
        <v>88</v>
      </c>
      <c r="N332" s="41"/>
      <c r="O332" s="41"/>
      <c r="P332" s="41">
        <v>152</v>
      </c>
      <c r="Q332" s="208" cm="1">
        <f t="array" ref="Q33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152</v>
      </c>
      <c r="R332" s="237" cm="1">
        <f t="array" ref="R33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139.15278000000001</v>
      </c>
      <c r="S332" s="238" cm="1">
        <f t="array" ref="S33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125.45281</v>
      </c>
      <c r="T332" s="238" cm="1">
        <f t="array" ref="T33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26.547190000000001</v>
      </c>
      <c r="U332" s="41" t="str" cm="1">
        <f t="array" ref="U33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138.01451 and 140.99451</v>
      </c>
      <c r="V332" s="22"/>
    </row>
    <row r="333" spans="10:22" x14ac:dyDescent="0.15">
      <c r="J333" s="190" t="s">
        <v>230</v>
      </c>
      <c r="K333" s="127" t="s">
        <v>52</v>
      </c>
      <c r="L333" s="208">
        <v>287</v>
      </c>
      <c r="M333" s="237">
        <f>_xlfn.LET(
  _xlpm.analyte, SensorLab[[#This Row],[Analyte]],
  _xlpm.raw, N(SensorLab[[#This Row],[Raw_Value]]),
  _xlpm.scaleF, IFERROR(
    _xlfn.XLOOKUP(_xlpm.analyte, CalibrationCoefficients[Analyte], CalibrationCoefficients[ScaleFactor]),
    1
  ),
  IF(AND(_xlpm.analyte&lt;&gt;"", ISNUMBER(_xlpm.raw)), _xlpm.raw * _xlpm.scaleF, "NA")
)</f>
        <v>0.28700000000000003</v>
      </c>
      <c r="N333" s="41"/>
      <c r="O333" s="41"/>
      <c r="P333" s="41">
        <v>1.1599999999999999</v>
      </c>
      <c r="Q333" s="208" cm="1">
        <f t="array" ref="Q333">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1.1599999999999999</v>
      </c>
      <c r="R333" s="237" cm="1">
        <f t="array" ref="R33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1.10381</v>
      </c>
      <c r="S333" s="238" cm="1">
        <f t="array" ref="S33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1.07158</v>
      </c>
      <c r="T333" s="238" cm="1">
        <f t="array" ref="T33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8.8419999999999999E-2</v>
      </c>
      <c r="U333" s="41" t="str" cm="1">
        <f t="array" ref="U33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0.08842)</v>
      </c>
      <c r="V333" s="22"/>
    </row>
    <row r="334" spans="10:22" x14ac:dyDescent="0.15">
      <c r="J334" s="190" t="s">
        <v>230</v>
      </c>
      <c r="K334" s="127" t="s">
        <v>34</v>
      </c>
      <c r="L334" s="208">
        <v>77</v>
      </c>
      <c r="M334" s="237">
        <f>_xlfn.LET(
  _xlpm.analyte, SensorLab[[#This Row],[Analyte]],
  _xlpm.raw, N(SensorLab[[#This Row],[Raw_Value]]),
  _xlpm.scaleF, IFERROR(
    _xlfn.XLOOKUP(_xlpm.analyte, CalibrationCoefficients[Analyte], CalibrationCoefficients[ScaleFactor]),
    1
  ),
  IF(AND(_xlpm.analyte&lt;&gt;"", ISNUMBER(_xlpm.raw)), _xlpm.raw * _xlpm.scaleF, "NA")
)</f>
        <v>7.7</v>
      </c>
      <c r="N334" s="41"/>
      <c r="O334" s="41"/>
      <c r="P334" s="41">
        <v>8.1</v>
      </c>
      <c r="Q334" s="208" cm="1">
        <f t="array" ref="Q33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8.1</v>
      </c>
      <c r="R334" s="237" cm="1">
        <f t="array" ref="R33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7.8717800000000002</v>
      </c>
      <c r="S334" s="238" cm="1">
        <f t="array" ref="S33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7.83887</v>
      </c>
      <c r="T334" s="238" cm="1">
        <f t="array" ref="T33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0.26112999999999997</v>
      </c>
      <c r="U334" s="41" t="str" cm="1">
        <f t="array" ref="U33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0.26113)</v>
      </c>
      <c r="V334" s="22"/>
    </row>
    <row r="335" spans="10:22" x14ac:dyDescent="0.15">
      <c r="J335" s="190" t="s">
        <v>230</v>
      </c>
      <c r="K335" s="127" t="s">
        <v>90</v>
      </c>
      <c r="L335" s="208">
        <v>186</v>
      </c>
      <c r="M335" s="237">
        <f>_xlfn.LET(
  _xlpm.analyte, SensorLab[[#This Row],[Analyte]],
  _xlpm.raw, N(SensorLab[[#This Row],[Raw_Value]]),
  _xlpm.scaleF, IFERROR(
    _xlfn.XLOOKUP(_xlpm.analyte, CalibrationCoefficients[Analyte], CalibrationCoefficients[ScaleFactor]),
    1
  ),
  IF(AND(_xlpm.analyte&lt;&gt;"", ISNUMBER(_xlpm.raw)), _xlpm.raw * _xlpm.scaleF, "NA")
)</f>
        <v>18.600000000000001</v>
      </c>
      <c r="N335" s="41"/>
      <c r="O335" s="41"/>
      <c r="P335" s="41">
        <v>18.600000000000001</v>
      </c>
      <c r="Q335" s="208" cm="1">
        <f t="array" ref="Q335">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18.600000000000001</v>
      </c>
      <c r="R335" s="237" cm="1">
        <f t="array" ref="R33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18.682020000000001</v>
      </c>
      <c r="S335" s="238" cm="1">
        <f t="array" ref="S33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18.645440000000001</v>
      </c>
      <c r="T335" s="238" cm="1">
        <f t="array" ref="T33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-5.3545599999999993</v>
      </c>
      <c r="U335" s="41" t="str" cm="1">
        <f t="array" ref="U33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-0.04544)</v>
      </c>
      <c r="V335" s="22"/>
    </row>
    <row r="336" spans="10:22" x14ac:dyDescent="0.15">
      <c r="J336" s="190" t="s">
        <v>230</v>
      </c>
      <c r="K336" s="191" t="s">
        <v>43</v>
      </c>
      <c r="L336" s="208">
        <v>269</v>
      </c>
      <c r="M336" s="237">
        <f>_xlfn.LET(
  _xlpm.analyte, SensorLab[[#This Row],[Analyte]],
  _xlpm.raw, N(SensorLab[[#This Row],[Raw_Value]]),
  _xlpm.scaleF, IFERROR(
    _xlfn.XLOOKUP(_xlpm.analyte, CalibrationCoefficients[Analyte], CalibrationCoefficients[ScaleFactor]),
    1
  ),
  IF(AND(_xlpm.analyte&lt;&gt;"", ISNUMBER(_xlpm.raw)), _xlpm.raw * _xlpm.scaleF, "NA")
)</f>
        <v>26.900000000000002</v>
      </c>
      <c r="N336" s="41"/>
      <c r="O336" s="41"/>
      <c r="P336" s="41">
        <v>26.9</v>
      </c>
      <c r="Q336" s="208" cm="1">
        <f t="array" ref="Q33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26.9</v>
      </c>
      <c r="R336" s="237" cm="1">
        <f t="array" ref="R33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26.887650000000001</v>
      </c>
      <c r="S336" s="238" cm="1">
        <f t="array" ref="S33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26.901060000000001</v>
      </c>
      <c r="T336" s="238" cm="1">
        <f t="array" ref="T33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-1.06E-3</v>
      </c>
      <c r="U336" s="41" t="str" cm="1">
        <f t="array" ref="U33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26.90000 and 26.90000</v>
      </c>
      <c r="V336" s="22"/>
    </row>
    <row r="337" spans="10:22" x14ac:dyDescent="0.15">
      <c r="J337" s="190" t="s">
        <v>230</v>
      </c>
      <c r="K337" s="191" t="s">
        <v>45</v>
      </c>
      <c r="L337" s="208">
        <v>2.3274000000000003E-3</v>
      </c>
      <c r="M337" s="237">
        <f>_xlfn.LET(
  _xlpm.analyte, SensorLab[[#This Row],[Analyte]],
  _xlpm.raw, N(SensorLab[[#This Row],[Raw_Value]]),
  _xlpm.scaleF, IFERROR(
    _xlfn.XLOOKUP(_xlpm.analyte, CalibrationCoefficients[Analyte], CalibrationCoefficients[ScaleFactor]),
    1
  ),
  IF(AND(_xlpm.analyte&lt;&gt;"", ISNUMBER(_xlpm.raw)), _xlpm.raw * _xlpm.scaleF, "NA")
)</f>
        <v>2.3274000000000003E-3</v>
      </c>
      <c r="N337" s="41"/>
      <c r="O337" s="41"/>
      <c r="P337" s="41">
        <v>0.82</v>
      </c>
      <c r="Q337" s="208" cm="1">
        <f t="array" ref="Q337">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0.82</v>
      </c>
      <c r="R337" s="237" cm="1">
        <f t="array" ref="R33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0.74678</v>
      </c>
      <c r="S337" s="238" cm="1">
        <f t="array" ref="S33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0.74268000000000001</v>
      </c>
      <c r="T337" s="238" cm="1">
        <f t="array" ref="T33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7.732E-2</v>
      </c>
      <c r="U337" s="41" t="str" cm="1">
        <f t="array" ref="U33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0.07732)</v>
      </c>
      <c r="V337" s="22"/>
    </row>
    <row r="338" spans="10:22" x14ac:dyDescent="0.15">
      <c r="J338" s="190" t="s">
        <v>230</v>
      </c>
      <c r="K338" s="127" t="s">
        <v>0</v>
      </c>
      <c r="L338" s="208">
        <v>21.2</v>
      </c>
      <c r="M338" s="237">
        <f>_xlfn.LET(
  _xlpm.analyte, SensorLab[[#This Row],[Analyte]],
  _xlpm.raw, N(SensorLab[[#This Row],[Raw_Value]]),
  _xlpm.scaleF, IFERROR(
    _xlfn.XLOOKUP(_xlpm.analyte, CalibrationCoefficients[Analyte], CalibrationCoefficients[ScaleFactor]),
    1
  ),
  IF(AND(_xlpm.analyte&lt;&gt;"", ISNUMBER(_xlpm.raw)), _xlpm.raw * _xlpm.scaleF, "NA")
)</f>
        <v>21.2</v>
      </c>
      <c r="N338" s="41"/>
      <c r="O338" s="41"/>
      <c r="P338" s="41">
        <v>40</v>
      </c>
      <c r="Q338" s="208" cm="1">
        <f t="array" ref="Q33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40</v>
      </c>
      <c r="R338" s="237" cm="1">
        <f t="array" ref="R33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40</v>
      </c>
      <c r="S338" s="238" cm="1">
        <f t="array" ref="S33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40</v>
      </c>
      <c r="T338" s="238" cm="1">
        <f t="array" ref="T33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338" s="41" t="str" cm="1">
        <f t="array" ref="U33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338" s="22"/>
    </row>
    <row r="339" spans="10:22" x14ac:dyDescent="0.15">
      <c r="J339" s="190" t="s">
        <v>230</v>
      </c>
      <c r="K339" s="127" t="s">
        <v>5</v>
      </c>
      <c r="L339" s="208">
        <v>59.46</v>
      </c>
      <c r="M339" s="237">
        <f>_xlfn.LET(
  _xlpm.analyte, SensorLab[[#This Row],[Analyte]],
  _xlpm.raw, N(SensorLab[[#This Row],[Raw_Value]]),
  _xlpm.scaleF, IFERROR(
    _xlfn.XLOOKUP(_xlpm.analyte, CalibrationCoefficients[Analyte], CalibrationCoefficients[ScaleFactor]),
    1
  ),
  IF(AND(_xlpm.analyte&lt;&gt;"", ISNUMBER(_xlpm.raw)), _xlpm.raw * _xlpm.scaleF, "NA")
)</f>
        <v>59.46</v>
      </c>
      <c r="N339" s="41"/>
      <c r="O339" s="41"/>
      <c r="P339" s="41">
        <v>40</v>
      </c>
      <c r="Q339" s="208" cm="1">
        <f t="array" ref="Q339">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40</v>
      </c>
      <c r="R339" s="237" cm="1">
        <f t="array" ref="R33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40</v>
      </c>
      <c r="S339" s="238" cm="1">
        <f t="array" ref="S33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40</v>
      </c>
      <c r="T339" s="238" cm="1">
        <f t="array" ref="T33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339" s="41" t="str" cm="1">
        <f t="array" ref="U33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339" s="22"/>
    </row>
    <row r="340" spans="10:22" x14ac:dyDescent="0.15">
      <c r="J340" s="190" t="s">
        <v>230</v>
      </c>
      <c r="K340" s="127" t="s">
        <v>6</v>
      </c>
      <c r="L340" s="208">
        <v>19.34</v>
      </c>
      <c r="M340" s="237">
        <f>_xlfn.LET(
  _xlpm.analyte, SensorLab[[#This Row],[Analyte]],
  _xlpm.raw, N(SensorLab[[#This Row],[Raw_Value]]),
  _xlpm.scaleF, IFERROR(
    _xlfn.XLOOKUP(_xlpm.analyte, CalibrationCoefficients[Analyte], CalibrationCoefficients[ScaleFactor]),
    1
  ),
  IF(AND(_xlpm.analyte&lt;&gt;"", ISNUMBER(_xlpm.raw)), _xlpm.raw * _xlpm.scaleF, "NA")
)</f>
        <v>19.34</v>
      </c>
      <c r="N340" s="41"/>
      <c r="O340" s="41"/>
      <c r="P340" s="41">
        <v>20</v>
      </c>
      <c r="Q340" s="208" cm="1">
        <f t="array" ref="Q34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20</v>
      </c>
      <c r="R340" s="237" cm="1">
        <f t="array" ref="R34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20</v>
      </c>
      <c r="S340" s="238" cm="1">
        <f t="array" ref="S34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20</v>
      </c>
      <c r="T340" s="238" cm="1">
        <f t="array" ref="T34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340" s="41" t="str" cm="1">
        <f t="array" ref="U34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340" s="22"/>
    </row>
    <row r="341" spans="10:22" ht="11.25" thickBot="1" x14ac:dyDescent="0.2">
      <c r="J341" s="190" t="s">
        <v>230</v>
      </c>
      <c r="K341" s="193" t="s">
        <v>69</v>
      </c>
      <c r="L341" s="255" t="str" cm="1">
        <f t="array" ref="L341">_xlfn.LET(
  _xlpm.bs,L338, _xlpm.si,L339, _xlpm.c,L340,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M341" s="256" t="str" cm="1">
        <f t="array" ref="M341">_xlfn.LET(
  _xlpm.bs,M338, _xlpm.si,M339, _xlpm.c,M340,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N341" s="245" t="str" cm="1">
        <f t="array" ref="N341">_xlfn.LET(
  _xlpm.bs,N338, _xlpm.si,N339, _xlpm.c,N340,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341" s="245" t="str" cm="1">
        <f t="array" ref="O341">_xlfn.LET(
  _xlpm.bs,O338, _xlpm.si,O339, _xlpm.c,O340,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P341" s="245" t="str" cm="1">
        <f t="array" ref="P341">_xlfn.LET(
  _xlpm.bs,P338, _xlpm.si,P339, _xlpm.c,P340,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Q341" s="255" t="str" cm="1">
        <f t="array" ref="Q341">_xlfn.LET(
  _xlpm.bs,Q338, _xlpm.si,Q339, _xlpm.c,Q340,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R341" s="256" t="str" cm="1">
        <f t="array" ref="R341">_xlfn.LET(
  _xlpm.bs,R338, _xlpm.si,R339, _xlpm.c,R340,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S341" s="256" t="str" cm="1">
        <f t="array" ref="S341">_xlfn.LET(
  _xlpm.bs,S338, _xlpm.si,S339, _xlpm.c,S340,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T341" s="240" cm="1">
        <f t="array" ref="T34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341" s="229" t="str" cm="1">
        <f t="array" ref="U34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(Texture match: Loam)</v>
      </c>
      <c r="V341" s="22"/>
    </row>
    <row r="342" spans="10:22" x14ac:dyDescent="0.15">
      <c r="J342" s="188" t="s">
        <v>231</v>
      </c>
      <c r="K342" s="189" t="s">
        <v>39</v>
      </c>
      <c r="L342" s="207">
        <v>31</v>
      </c>
      <c r="M342" s="239">
        <f>_xlfn.LET(
  _xlpm.analyte, SensorLab[[#This Row],[Analyte]],
  _xlpm.raw, N(SensorLab[[#This Row],[Raw_Value]]),
  _xlpm.scaleF, IFERROR(
    _xlfn.XLOOKUP(_xlpm.analyte, CalibrationCoefficients[Analyte], CalibrationCoefficients[ScaleFactor]),
    1
  ),
  IF(AND(_xlpm.analyte&lt;&gt;"", ISNUMBER(_xlpm.raw)), _xlpm.raw * _xlpm.scaleF, "NA")
)</f>
        <v>31</v>
      </c>
      <c r="N342" s="228"/>
      <c r="O342" s="228"/>
      <c r="P342" s="228">
        <v>4.1399999999999997</v>
      </c>
      <c r="Q342" s="207" cm="1">
        <f t="array" ref="Q34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4.1399999999999997</v>
      </c>
      <c r="R342" s="239" cm="1">
        <f t="array" ref="R34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4.79833</v>
      </c>
      <c r="S342" s="241" cm="1">
        <f t="array" ref="S34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6.3517000000000001</v>
      </c>
      <c r="T342" s="241" cm="1">
        <f t="array" ref="T34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-1.6482999999999999</v>
      </c>
      <c r="U342" s="228" t="str" cm="1">
        <f t="array" ref="U34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4.79833 and 4.79833</v>
      </c>
      <c r="V342" s="22"/>
    </row>
    <row r="343" spans="10:22" x14ac:dyDescent="0.15">
      <c r="J343" s="190" t="s">
        <v>231</v>
      </c>
      <c r="K343" s="191" t="s">
        <v>40</v>
      </c>
      <c r="L343" s="208">
        <v>118</v>
      </c>
      <c r="M343" s="237">
        <f>_xlfn.LET(
  _xlpm.analyte, SensorLab[[#This Row],[Analyte]],
  _xlpm.raw, N(SensorLab[[#This Row],[Raw_Value]]),
  _xlpm.scaleF, IFERROR(
    _xlfn.XLOOKUP(_xlpm.analyte, CalibrationCoefficients[Analyte], CalibrationCoefficients[ScaleFactor]),
    1
  ),
  IF(AND(_xlpm.analyte&lt;&gt;"", ISNUMBER(_xlpm.raw)), _xlpm.raw * _xlpm.scaleF, "NA")
)</f>
        <v>118</v>
      </c>
      <c r="N343" s="41"/>
      <c r="O343" s="41"/>
      <c r="P343" s="41">
        <v>7</v>
      </c>
      <c r="Q343" s="208" cm="1">
        <f t="array" ref="Q343">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7</v>
      </c>
      <c r="R343" s="237" cm="1">
        <f t="array" ref="R34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8.2664299999999997</v>
      </c>
      <c r="S343" s="238" cm="1">
        <f t="array" ref="S34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7.0763999999999996</v>
      </c>
      <c r="T343" s="238" cm="1">
        <f t="array" ref="T34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-7.6399999999999996E-2</v>
      </c>
      <c r="U343" s="41" t="str" cm="1">
        <f t="array" ref="U34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7.31882 and 8.43882</v>
      </c>
      <c r="V343" s="22"/>
    </row>
    <row r="344" spans="10:22" x14ac:dyDescent="0.15">
      <c r="J344" s="190" t="s">
        <v>231</v>
      </c>
      <c r="K344" s="191" t="s">
        <v>41</v>
      </c>
      <c r="L344" s="208">
        <v>111</v>
      </c>
      <c r="M344" s="237">
        <f>_xlfn.LET(
  _xlpm.analyte, SensorLab[[#This Row],[Analyte]],
  _xlpm.raw, N(SensorLab[[#This Row],[Raw_Value]]),
  _xlpm.scaleF, IFERROR(
    _xlfn.XLOOKUP(_xlpm.analyte, CalibrationCoefficients[Analyte], CalibrationCoefficients[ScaleFactor]),
    1
  ),
  IF(AND(_xlpm.analyte&lt;&gt;"", ISNUMBER(_xlpm.raw)), _xlpm.raw * _xlpm.scaleF, "NA")
)</f>
        <v>111</v>
      </c>
      <c r="N344" s="41"/>
      <c r="O344" s="41"/>
      <c r="P344" s="41">
        <v>125</v>
      </c>
      <c r="Q344" s="208" cm="1">
        <f t="array" ref="Q34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125</v>
      </c>
      <c r="R344" s="237" cm="1">
        <f t="array" ref="R34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146.37917999999999</v>
      </c>
      <c r="S344" s="238" cm="1">
        <f t="array" ref="S34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132.67921000000001</v>
      </c>
      <c r="T344" s="238" cm="1">
        <f t="array" ref="T34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-7.6792100000000003</v>
      </c>
      <c r="U344" s="41" t="str" cm="1">
        <f t="array" ref="U34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145.93487 and 148.91487</v>
      </c>
      <c r="V344" s="22"/>
    </row>
    <row r="345" spans="10:22" x14ac:dyDescent="0.15">
      <c r="J345" s="190" t="s">
        <v>231</v>
      </c>
      <c r="K345" s="127" t="s">
        <v>52</v>
      </c>
      <c r="L345" s="208">
        <v>334</v>
      </c>
      <c r="M345" s="237">
        <f>_xlfn.LET(
  _xlpm.analyte, SensorLab[[#This Row],[Analyte]],
  _xlpm.raw, N(SensorLab[[#This Row],[Raw_Value]]),
  _xlpm.scaleF, IFERROR(
    _xlfn.XLOOKUP(_xlpm.analyte, CalibrationCoefficients[Analyte], CalibrationCoefficients[ScaleFactor]),
    1
  ),
  IF(AND(_xlpm.analyte&lt;&gt;"", ISNUMBER(_xlpm.raw)), _xlpm.raw * _xlpm.scaleF, "NA")
)</f>
        <v>0.33400000000000002</v>
      </c>
      <c r="N345" s="41"/>
      <c r="O345" s="41"/>
      <c r="P345" s="41">
        <v>1.21</v>
      </c>
      <c r="Q345" s="208" cm="1">
        <f t="array" ref="Q345">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1.21</v>
      </c>
      <c r="R345" s="237" cm="1">
        <f t="array" ref="R34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1.1346099999999999</v>
      </c>
      <c r="S345" s="238" cm="1">
        <f t="array" ref="S34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1.1023799999999999</v>
      </c>
      <c r="T345" s="238" cm="1">
        <f t="array" ref="T34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0.10761999999999999</v>
      </c>
      <c r="U345" s="41" t="str" cm="1">
        <f t="array" ref="U34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0.10762)</v>
      </c>
      <c r="V345" s="22"/>
    </row>
    <row r="346" spans="10:22" x14ac:dyDescent="0.15">
      <c r="J346" s="190" t="s">
        <v>231</v>
      </c>
      <c r="K346" s="127" t="s">
        <v>34</v>
      </c>
      <c r="L346" s="208">
        <v>78</v>
      </c>
      <c r="M346" s="237">
        <f>_xlfn.LET(
  _xlpm.analyte, SensorLab[[#This Row],[Analyte]],
  _xlpm.raw, N(SensorLab[[#This Row],[Raw_Value]]),
  _xlpm.scaleF, IFERROR(
    _xlfn.XLOOKUP(_xlpm.analyte, CalibrationCoefficients[Analyte], CalibrationCoefficients[ScaleFactor]),
    1
  ),
  IF(AND(_xlpm.analyte&lt;&gt;"", ISNUMBER(_xlpm.raw)), _xlpm.raw * _xlpm.scaleF, "NA")
)</f>
        <v>7.8000000000000007</v>
      </c>
      <c r="N346" s="41"/>
      <c r="O346" s="41"/>
      <c r="P346" s="41">
        <v>7.9</v>
      </c>
      <c r="Q346" s="208" cm="1">
        <f t="array" ref="Q34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7.9</v>
      </c>
      <c r="R346" s="237" cm="1">
        <f t="array" ref="R34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7.86721</v>
      </c>
      <c r="S346" s="238" cm="1">
        <f t="array" ref="S34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7.8342999999999998</v>
      </c>
      <c r="T346" s="238" cm="1">
        <f t="array" ref="T34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6.5699999999999995E-2</v>
      </c>
      <c r="U346" s="41" t="str" cm="1">
        <f t="array" ref="U34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0.06570)</v>
      </c>
      <c r="V346" s="22"/>
    </row>
    <row r="347" spans="10:22" x14ac:dyDescent="0.15">
      <c r="J347" s="190" t="s">
        <v>231</v>
      </c>
      <c r="K347" s="127" t="s">
        <v>90</v>
      </c>
      <c r="L347" s="208">
        <v>196</v>
      </c>
      <c r="M347" s="237">
        <f>_xlfn.LET(
  _xlpm.analyte, SensorLab[[#This Row],[Analyte]],
  _xlpm.raw, N(SensorLab[[#This Row],[Raw_Value]]),
  _xlpm.scaleF, IFERROR(
    _xlfn.XLOOKUP(_xlpm.analyte, CalibrationCoefficients[Analyte], CalibrationCoefficients[ScaleFactor]),
    1
  ),
  IF(AND(_xlpm.analyte&lt;&gt;"", ISNUMBER(_xlpm.raw)), _xlpm.raw * _xlpm.scaleF, "NA")
)</f>
        <v>19.600000000000001</v>
      </c>
      <c r="N347" s="41"/>
      <c r="O347" s="41"/>
      <c r="P347" s="41">
        <v>19.600000000000001</v>
      </c>
      <c r="Q347" s="208" cm="1">
        <f t="array" ref="Q347">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19.600000000000001</v>
      </c>
      <c r="R347" s="237" cm="1">
        <f t="array" ref="R34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19.702670000000001</v>
      </c>
      <c r="S347" s="238" cm="1">
        <f t="array" ref="S34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19.666090000000001</v>
      </c>
      <c r="T347" s="238" cm="1">
        <f t="array" ref="T34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-4.3339099999999995</v>
      </c>
      <c r="U347" s="41" t="str" cm="1">
        <f t="array" ref="U34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19.55269 and 19.64731</v>
      </c>
      <c r="V347" s="22"/>
    </row>
    <row r="348" spans="10:22" x14ac:dyDescent="0.15">
      <c r="J348" s="190" t="s">
        <v>231</v>
      </c>
      <c r="K348" s="191" t="s">
        <v>43</v>
      </c>
      <c r="L348" s="208">
        <v>274</v>
      </c>
      <c r="M348" s="237">
        <f>_xlfn.LET(
  _xlpm.analyte, SensorLab[[#This Row],[Analyte]],
  _xlpm.raw, N(SensorLab[[#This Row],[Raw_Value]]),
  _xlpm.scaleF, IFERROR(
    _xlfn.XLOOKUP(_xlpm.analyte, CalibrationCoefficients[Analyte], CalibrationCoefficients[ScaleFactor]),
    1
  ),
  IF(AND(_xlpm.analyte&lt;&gt;"", ISNUMBER(_xlpm.raw)), _xlpm.raw * _xlpm.scaleF, "NA")
)</f>
        <v>27.400000000000002</v>
      </c>
      <c r="N348" s="41"/>
      <c r="O348" s="41"/>
      <c r="P348" s="41">
        <v>27.4</v>
      </c>
      <c r="Q348" s="208" cm="1">
        <f t="array" ref="Q34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27.4</v>
      </c>
      <c r="R348" s="237" cm="1">
        <f t="array" ref="R34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27.38777</v>
      </c>
      <c r="S348" s="238" cm="1">
        <f t="array" ref="S34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27.40118</v>
      </c>
      <c r="T348" s="238" cm="1">
        <f t="array" ref="T34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-1.1800000000000001E-3</v>
      </c>
      <c r="U348" s="41" t="str" cm="1">
        <f t="array" ref="U34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27.40000 and 27.40000</v>
      </c>
      <c r="V348" s="22"/>
    </row>
    <row r="349" spans="10:22" x14ac:dyDescent="0.15">
      <c r="J349" s="190" t="s">
        <v>231</v>
      </c>
      <c r="K349" s="191" t="s">
        <v>45</v>
      </c>
      <c r="L349" s="208">
        <v>3.1894000000000002E-3</v>
      </c>
      <c r="M349" s="237">
        <f>_xlfn.LET(
  _xlpm.analyte, SensorLab[[#This Row],[Analyte]],
  _xlpm.raw, N(SensorLab[[#This Row],[Raw_Value]]),
  _xlpm.scaleF, IFERROR(
    _xlfn.XLOOKUP(_xlpm.analyte, CalibrationCoefficients[Analyte], CalibrationCoefficients[ScaleFactor]),
    1
  ),
  IF(AND(_xlpm.analyte&lt;&gt;"", ISNUMBER(_xlpm.raw)), _xlpm.raw * _xlpm.scaleF, "NA")
)</f>
        <v>3.1894000000000002E-3</v>
      </c>
      <c r="N349" s="41"/>
      <c r="O349" s="41"/>
      <c r="P349" s="41">
        <v>0.82</v>
      </c>
      <c r="Q349" s="208" cm="1">
        <f t="array" ref="Q349">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0.82</v>
      </c>
      <c r="R349" s="237" cm="1">
        <f t="array" ref="R34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0.81483000000000005</v>
      </c>
      <c r="S349" s="238" cm="1">
        <f t="array" ref="S34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0.81072999999999995</v>
      </c>
      <c r="T349" s="238" cm="1">
        <f t="array" ref="T34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9.2700000000000005E-3</v>
      </c>
      <c r="U349" s="41" t="str" cm="1">
        <f t="array" ref="U34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0.00927)</v>
      </c>
      <c r="V349" s="22"/>
    </row>
    <row r="350" spans="10:22" x14ac:dyDescent="0.15">
      <c r="J350" s="190" t="s">
        <v>231</v>
      </c>
      <c r="K350" s="127" t="s">
        <v>0</v>
      </c>
      <c r="L350" s="208">
        <v>21.9</v>
      </c>
      <c r="M350" s="237">
        <f>_xlfn.LET(
  _xlpm.analyte, SensorLab[[#This Row],[Analyte]],
  _xlpm.raw, N(SensorLab[[#This Row],[Raw_Value]]),
  _xlpm.scaleF, IFERROR(
    _xlfn.XLOOKUP(_xlpm.analyte, CalibrationCoefficients[Analyte], CalibrationCoefficients[ScaleFactor]),
    1
  ),
  IF(AND(_xlpm.analyte&lt;&gt;"", ISNUMBER(_xlpm.raw)), _xlpm.raw * _xlpm.scaleF, "NA")
)</f>
        <v>21.9</v>
      </c>
      <c r="N350" s="41"/>
      <c r="O350" s="41"/>
      <c r="P350" s="41">
        <v>40</v>
      </c>
      <c r="Q350" s="208" cm="1">
        <f t="array" ref="Q35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40</v>
      </c>
      <c r="R350" s="237" cm="1">
        <f t="array" ref="R35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40</v>
      </c>
      <c r="S350" s="238" cm="1">
        <f t="array" ref="S35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40</v>
      </c>
      <c r="T350" s="238" cm="1">
        <f t="array" ref="T35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350" s="41" t="str" cm="1">
        <f t="array" ref="U35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350" s="22"/>
    </row>
    <row r="351" spans="10:22" x14ac:dyDescent="0.15">
      <c r="J351" s="190" t="s">
        <v>231</v>
      </c>
      <c r="K351" s="127" t="s">
        <v>5</v>
      </c>
      <c r="L351" s="208">
        <v>58.19</v>
      </c>
      <c r="M351" s="237">
        <f>_xlfn.LET(
  _xlpm.analyte, SensorLab[[#This Row],[Analyte]],
  _xlpm.raw, N(SensorLab[[#This Row],[Raw_Value]]),
  _xlpm.scaleF, IFERROR(
    _xlfn.XLOOKUP(_xlpm.analyte, CalibrationCoefficients[Analyte], CalibrationCoefficients[ScaleFactor]),
    1
  ),
  IF(AND(_xlpm.analyte&lt;&gt;"", ISNUMBER(_xlpm.raw)), _xlpm.raw * _xlpm.scaleF, "NA")
)</f>
        <v>58.19</v>
      </c>
      <c r="N351" s="41"/>
      <c r="O351" s="41"/>
      <c r="P351" s="41">
        <v>40</v>
      </c>
      <c r="Q351" s="208" cm="1">
        <f t="array" ref="Q351">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40</v>
      </c>
      <c r="R351" s="237" cm="1">
        <f t="array" ref="R35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40</v>
      </c>
      <c r="S351" s="238" cm="1">
        <f t="array" ref="S35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40</v>
      </c>
      <c r="T351" s="238" cm="1">
        <f t="array" ref="T35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351" s="41" t="str" cm="1">
        <f t="array" ref="U35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351" s="22"/>
    </row>
    <row r="352" spans="10:22" x14ac:dyDescent="0.15">
      <c r="J352" s="190" t="s">
        <v>231</v>
      </c>
      <c r="K352" s="127" t="s">
        <v>6</v>
      </c>
      <c r="L352" s="208">
        <v>19.91</v>
      </c>
      <c r="M352" s="237">
        <f>_xlfn.LET(
  _xlpm.analyte, SensorLab[[#This Row],[Analyte]],
  _xlpm.raw, N(SensorLab[[#This Row],[Raw_Value]]),
  _xlpm.scaleF, IFERROR(
    _xlfn.XLOOKUP(_xlpm.analyte, CalibrationCoefficients[Analyte], CalibrationCoefficients[ScaleFactor]),
    1
  ),
  IF(AND(_xlpm.analyte&lt;&gt;"", ISNUMBER(_xlpm.raw)), _xlpm.raw * _xlpm.scaleF, "NA")
)</f>
        <v>19.91</v>
      </c>
      <c r="N352" s="41"/>
      <c r="O352" s="41"/>
      <c r="P352" s="41">
        <v>20</v>
      </c>
      <c r="Q352" s="208" cm="1">
        <f t="array" ref="Q35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20</v>
      </c>
      <c r="R352" s="237" cm="1">
        <f t="array" ref="R35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20</v>
      </c>
      <c r="S352" s="238" cm="1">
        <f t="array" ref="S35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20</v>
      </c>
      <c r="T352" s="238" cm="1">
        <f t="array" ref="T35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352" s="41" t="str" cm="1">
        <f t="array" ref="U35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352" s="22"/>
    </row>
    <row r="353" spans="10:22" ht="11.25" thickBot="1" x14ac:dyDescent="0.2">
      <c r="J353" s="192" t="s">
        <v>231</v>
      </c>
      <c r="K353" s="193" t="s">
        <v>69</v>
      </c>
      <c r="L353" s="255" t="str" cm="1">
        <f t="array" ref="L353">_xlfn.LET(
  _xlpm.bs,L350, _xlpm.si,L351, _xlpm.c,L352,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M353" s="256" t="str" cm="1">
        <f t="array" ref="M353">_xlfn.LET(
  _xlpm.bs,M350, _xlpm.si,M351, _xlpm.c,M352,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N353" s="245" t="str" cm="1">
        <f t="array" ref="N353">_xlfn.LET(
  _xlpm.bs,N350, _xlpm.si,N351, _xlpm.c,N352,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353" s="245" t="str" cm="1">
        <f t="array" ref="O353">_xlfn.LET(
  _xlpm.bs,O350, _xlpm.si,O351, _xlpm.c,O352,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P353" s="245" t="str" cm="1">
        <f t="array" ref="P353">_xlfn.LET(
  _xlpm.bs,P350, _xlpm.si,P351, _xlpm.c,P352,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Q353" s="255" t="str" cm="1">
        <f t="array" ref="Q353">_xlfn.LET(
  _xlpm.bs,Q350, _xlpm.si,Q351, _xlpm.c,Q352,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R353" s="256" t="str" cm="1">
        <f t="array" ref="R353">_xlfn.LET(
  _xlpm.bs,R350, _xlpm.si,R351, _xlpm.c,R352,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S353" s="256" t="str" cm="1">
        <f t="array" ref="S353">_xlfn.LET(
  _xlpm.bs,S350, _xlpm.si,S351, _xlpm.c,S352,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T353" s="240" cm="1">
        <f t="array" ref="T35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353" s="229" t="str" cm="1">
        <f t="array" ref="U35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(Texture match: Loam)</v>
      </c>
      <c r="V353" s="22"/>
    </row>
    <row r="354" spans="10:22" x14ac:dyDescent="0.15">
      <c r="J354" s="190" t="s">
        <v>232</v>
      </c>
      <c r="K354" s="127" t="s">
        <v>39</v>
      </c>
      <c r="L354" s="208">
        <v>0</v>
      </c>
      <c r="M354"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354" s="41"/>
      <c r="O354" s="41"/>
      <c r="P354" s="41"/>
      <c r="Q354" s="208"/>
      <c r="R354" s="239" cm="1">
        <f t="array" ref="R35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0.44663000000000003</v>
      </c>
      <c r="S354" s="241" cm="1">
        <f t="array" ref="S35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v>
      </c>
      <c r="T354" s="241" cm="1">
        <f t="array" ref="T35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-6</v>
      </c>
      <c r="U354" s="41" t="str" cm="1">
        <f t="array" ref="U35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0.44663 and 0.00000</v>
      </c>
      <c r="V354" s="22"/>
    </row>
    <row r="355" spans="10:22" x14ac:dyDescent="0.15">
      <c r="J355" s="190" t="s">
        <v>232</v>
      </c>
      <c r="K355" s="191" t="s">
        <v>40</v>
      </c>
      <c r="L355" s="208">
        <v>0</v>
      </c>
      <c r="M355"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355" s="41"/>
      <c r="O355" s="41"/>
      <c r="P355" s="41"/>
      <c r="Q355" s="208"/>
      <c r="R355" s="237" cm="1">
        <f t="array" ref="R35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5.3140400000000003</v>
      </c>
      <c r="S355" s="238" cm="1">
        <f t="array" ref="S35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4.1240100000000002</v>
      </c>
      <c r="T355" s="238" cm="1">
        <f t="array" ref="T35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-0.87598999999999982</v>
      </c>
      <c r="U355" s="41" t="str" cm="1">
        <f t="array" ref="U35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5.70934 and 0.00000</v>
      </c>
      <c r="V355" s="22"/>
    </row>
    <row r="356" spans="10:22" x14ac:dyDescent="0.15">
      <c r="J356" s="190" t="s">
        <v>232</v>
      </c>
      <c r="K356" s="191" t="s">
        <v>41</v>
      </c>
      <c r="L356" s="208">
        <v>0</v>
      </c>
      <c r="M356"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356" s="41"/>
      <c r="O356" s="41"/>
      <c r="P356" s="41"/>
      <c r="Q356" s="208"/>
      <c r="R356" s="237" cm="1">
        <f t="array" ref="R35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111.50391999999999</v>
      </c>
      <c r="S356" s="238" cm="1">
        <f t="array" ref="S35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97.80395</v>
      </c>
      <c r="T356" s="238" cm="1">
        <f t="array" ref="T35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-97.80395</v>
      </c>
      <c r="U356" s="41" t="str" cm="1">
        <f t="array" ref="U35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107.71054 and 0.00000</v>
      </c>
      <c r="V356" s="22"/>
    </row>
    <row r="357" spans="10:22" x14ac:dyDescent="0.15">
      <c r="J357" s="190" t="s">
        <v>232</v>
      </c>
      <c r="K357" s="127" t="s">
        <v>52</v>
      </c>
      <c r="L357" s="208">
        <v>72</v>
      </c>
      <c r="M357" s="237">
        <f>_xlfn.LET(
  _xlpm.analyte, SensorLab[[#This Row],[Analyte]],
  _xlpm.raw, N(SensorLab[[#This Row],[Raw_Value]]),
  _xlpm.scaleF, IFERROR(
    _xlfn.XLOOKUP(_xlpm.analyte, CalibrationCoefficients[Analyte], CalibrationCoefficients[ScaleFactor]),
    1
  ),
  IF(AND(_xlpm.analyte&lt;&gt;"", ISNUMBER(_xlpm.raw)), _xlpm.raw * _xlpm.scaleF, "NA")
)</f>
        <v>7.2000000000000008E-2</v>
      </c>
      <c r="N357" s="41"/>
      <c r="O357" s="41"/>
      <c r="P357" s="41"/>
      <c r="Q357" s="208"/>
      <c r="R357" s="237" cm="1">
        <f t="array" ref="R35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0.96291000000000004</v>
      </c>
      <c r="S357" s="238" cm="1">
        <f t="array" ref="S35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0.93067999999999995</v>
      </c>
      <c r="T357" s="238" cm="1">
        <f t="array" ref="T35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-0.93067999999999995</v>
      </c>
      <c r="U357" s="41" t="str" cm="1">
        <f t="array" ref="U35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0.98863 and 0.00000</v>
      </c>
      <c r="V357" s="22"/>
    </row>
    <row r="358" spans="10:22" x14ac:dyDescent="0.15">
      <c r="J358" s="190" t="s">
        <v>232</v>
      </c>
      <c r="K358" s="127" t="s">
        <v>34</v>
      </c>
      <c r="L358" s="208">
        <v>78</v>
      </c>
      <c r="M358" s="237">
        <f>_xlfn.LET(
  _xlpm.analyte, SensorLab[[#This Row],[Analyte]],
  _xlpm.raw, N(SensorLab[[#This Row],[Raw_Value]]),
  _xlpm.scaleF, IFERROR(
    _xlfn.XLOOKUP(_xlpm.analyte, CalibrationCoefficients[Analyte], CalibrationCoefficients[ScaleFactor]),
    1
  ),
  IF(AND(_xlpm.analyte&lt;&gt;"", ISNUMBER(_xlpm.raw)), _xlpm.raw * _xlpm.scaleF, "NA")
)</f>
        <v>7.8000000000000007</v>
      </c>
      <c r="N358" s="41"/>
      <c r="O358" s="41"/>
      <c r="P358" s="41"/>
      <c r="Q358" s="208"/>
      <c r="R358" s="237" cm="1">
        <f t="array" ref="R35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7.86721</v>
      </c>
      <c r="S358" s="238" cm="1">
        <f t="array" ref="S35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7.8342999999999998</v>
      </c>
      <c r="T358" s="238" cm="1">
        <f t="array" ref="T35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-7.8342999999999998</v>
      </c>
      <c r="U358" s="41" t="str" cm="1">
        <f t="array" ref="U35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7.77728 and 0.00000</v>
      </c>
      <c r="V358" s="22"/>
    </row>
    <row r="359" spans="10:22" x14ac:dyDescent="0.15">
      <c r="J359" s="190" t="s">
        <v>232</v>
      </c>
      <c r="K359" s="127" t="s">
        <v>90</v>
      </c>
      <c r="L359" s="208">
        <v>215</v>
      </c>
      <c r="M359" s="237">
        <f>_xlfn.LET(
  _xlpm.analyte, SensorLab[[#This Row],[Analyte]],
  _xlpm.raw, N(SensorLab[[#This Row],[Raw_Value]]),
  _xlpm.scaleF, IFERROR(
    _xlfn.XLOOKUP(_xlpm.analyte, CalibrationCoefficients[Analyte], CalibrationCoefficients[ScaleFactor]),
    1
  ),
  IF(AND(_xlpm.analyte&lt;&gt;"", ISNUMBER(_xlpm.raw)), _xlpm.raw * _xlpm.scaleF, "NA")
)</f>
        <v>21.5</v>
      </c>
      <c r="N359" s="41"/>
      <c r="O359" s="41"/>
      <c r="P359" s="41"/>
      <c r="Q359" s="208"/>
      <c r="R359" s="237" cm="1">
        <f t="array" ref="R35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21.641909999999999</v>
      </c>
      <c r="S359" s="238" cm="1">
        <f t="array" ref="S35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21.605329999999999</v>
      </c>
      <c r="T359" s="238" cm="1">
        <f t="array" ref="T35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-2.3946700000000014</v>
      </c>
      <c r="U359" s="41" t="str" cm="1">
        <f t="array" ref="U35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21.43000 and 0.00000</v>
      </c>
      <c r="V359" s="22"/>
    </row>
    <row r="360" spans="10:22" x14ac:dyDescent="0.15">
      <c r="J360" s="190" t="s">
        <v>232</v>
      </c>
      <c r="K360" s="191" t="s">
        <v>43</v>
      </c>
      <c r="L360" s="208">
        <v>179</v>
      </c>
      <c r="M360" s="237">
        <f>_xlfn.LET(
  _xlpm.analyte, SensorLab[[#This Row],[Analyte]],
  _xlpm.raw, N(SensorLab[[#This Row],[Raw_Value]]),
  _xlpm.scaleF, IFERROR(
    _xlfn.XLOOKUP(_xlpm.analyte, CalibrationCoefficients[Analyte], CalibrationCoefficients[ScaleFactor]),
    1
  ),
  IF(AND(_xlpm.analyte&lt;&gt;"", ISNUMBER(_xlpm.raw)), _xlpm.raw * _xlpm.scaleF, "NA")
)</f>
        <v>17.900000000000002</v>
      </c>
      <c r="N360" s="41"/>
      <c r="O360" s="41"/>
      <c r="P360" s="41"/>
      <c r="Q360" s="208"/>
      <c r="R360" s="237" cm="1">
        <f t="array" ref="R36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17.885390000000001</v>
      </c>
      <c r="S360" s="238" cm="1">
        <f t="array" ref="S36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17.898800000000001</v>
      </c>
      <c r="T360" s="238" cm="1">
        <f t="array" ref="T36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-17.898800000000001</v>
      </c>
      <c r="U360" s="41" t="str" cm="1">
        <f t="array" ref="U36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17.90000 and 0.00000</v>
      </c>
      <c r="V360" s="22"/>
    </row>
    <row r="361" spans="10:22" x14ac:dyDescent="0.15">
      <c r="J361" s="190" t="s">
        <v>232</v>
      </c>
      <c r="K361" s="191" t="s">
        <v>45</v>
      </c>
      <c r="L361" s="208">
        <v>5.1999999999999995E-4</v>
      </c>
      <c r="M361" s="237">
        <f>_xlfn.LET(
  _xlpm.analyte, SensorLab[[#This Row],[Analyte]],
  _xlpm.raw, N(SensorLab[[#This Row],[Raw_Value]]),
  _xlpm.scaleF, IFERROR(
    _xlfn.XLOOKUP(_xlpm.analyte, CalibrationCoefficients[Analyte], CalibrationCoefficients[ScaleFactor]),
    1
  ),
  IF(AND(_xlpm.analyte&lt;&gt;"", ISNUMBER(_xlpm.raw)), _xlpm.raw * _xlpm.scaleF, "NA")
)</f>
        <v>5.1999999999999995E-4</v>
      </c>
      <c r="N361" s="41"/>
      <c r="O361" s="41"/>
      <c r="P361" s="41"/>
      <c r="Q361" s="208"/>
      <c r="R361" s="237" cm="1">
        <f t="array" ref="R36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0.60409999999999997</v>
      </c>
      <c r="S361" s="238" cm="1">
        <f t="array" ref="S36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0.6</v>
      </c>
      <c r="T361" s="238" cm="1">
        <f t="array" ref="T36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-0.6</v>
      </c>
      <c r="U361" s="41" t="str" cm="1">
        <f t="array" ref="U36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0.00000 and 0.00000</v>
      </c>
      <c r="V361" s="22"/>
    </row>
    <row r="362" spans="10:22" x14ac:dyDescent="0.15">
      <c r="J362" s="190" t="s">
        <v>232</v>
      </c>
      <c r="K362" s="127" t="s">
        <v>0</v>
      </c>
      <c r="L362" s="208">
        <v>50.76</v>
      </c>
      <c r="M362" s="237">
        <f>_xlfn.LET(
  _xlpm.analyte, SensorLab[[#This Row],[Analyte]],
  _xlpm.raw, N(SensorLab[[#This Row],[Raw_Value]]),
  _xlpm.scaleF, IFERROR(
    _xlfn.XLOOKUP(_xlpm.analyte, CalibrationCoefficients[Analyte], CalibrationCoefficients[ScaleFactor]),
    1
  ),
  IF(AND(_xlpm.analyte&lt;&gt;"", ISNUMBER(_xlpm.raw)), _xlpm.raw * _xlpm.scaleF, "NA")
)</f>
        <v>50.76</v>
      </c>
      <c r="N362" s="41"/>
      <c r="O362" s="41"/>
      <c r="P362" s="41"/>
      <c r="Q362" s="208"/>
      <c r="R362" s="237" cm="1">
        <f t="array" ref="R36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362" s="238" cm="1">
        <f t="array" ref="S36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362" s="238" cm="1">
        <f t="array" ref="T36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-23</v>
      </c>
      <c r="U362" s="41" t="str" cm="1">
        <f t="array" ref="U36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14.83156 and 0.00000</v>
      </c>
      <c r="V362" s="22"/>
    </row>
    <row r="363" spans="10:22" x14ac:dyDescent="0.15">
      <c r="J363" s="190" t="s">
        <v>232</v>
      </c>
      <c r="K363" s="127" t="s">
        <v>5</v>
      </c>
      <c r="L363" s="208">
        <v>34.1</v>
      </c>
      <c r="M363" s="237">
        <f>_xlfn.LET(
  _xlpm.analyte, SensorLab[[#This Row],[Analyte]],
  _xlpm.raw, N(SensorLab[[#This Row],[Raw_Value]]),
  _xlpm.scaleF, IFERROR(
    _xlfn.XLOOKUP(_xlpm.analyte, CalibrationCoefficients[Analyte], CalibrationCoefficients[ScaleFactor]),
    1
  ),
  IF(AND(_xlpm.analyte&lt;&gt;"", ISNUMBER(_xlpm.raw)), _xlpm.raw * _xlpm.scaleF, "NA")
)</f>
        <v>34.1</v>
      </c>
      <c r="N363" s="41"/>
      <c r="O363" s="41"/>
      <c r="P363" s="41"/>
      <c r="Q363" s="208"/>
      <c r="R363" s="237" cm="1">
        <f t="array" ref="R36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363" s="238" cm="1">
        <f t="array" ref="S36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363" s="238" cm="1">
        <f t="array" ref="T36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-28</v>
      </c>
      <c r="U363" s="41" t="str" cm="1">
        <f t="array" ref="U36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31.80963 and 0.00000</v>
      </c>
      <c r="V363" s="22"/>
    </row>
    <row r="364" spans="10:22" x14ac:dyDescent="0.15">
      <c r="J364" s="190" t="s">
        <v>232</v>
      </c>
      <c r="K364" s="127" t="s">
        <v>6</v>
      </c>
      <c r="L364" s="208">
        <v>15.14</v>
      </c>
      <c r="M364" s="237">
        <f>_xlfn.LET(
  _xlpm.analyte, SensorLab[[#This Row],[Analyte]],
  _xlpm.raw, N(SensorLab[[#This Row],[Raw_Value]]),
  _xlpm.scaleF, IFERROR(
    _xlfn.XLOOKUP(_xlpm.analyte, CalibrationCoefficients[Analyte], CalibrationCoefficients[ScaleFactor]),
    1
  ),
  IF(AND(_xlpm.analyte&lt;&gt;"", ISNUMBER(_xlpm.raw)), _xlpm.raw * _xlpm.scaleF, "NA")
)</f>
        <v>15.14</v>
      </c>
      <c r="N364" s="41"/>
      <c r="O364" s="41"/>
      <c r="P364" s="41"/>
      <c r="Q364" s="208"/>
      <c r="R364" s="237" cm="1">
        <f t="array" ref="R36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364" s="238" cm="1">
        <f t="array" ref="S36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364" s="238" cm="1">
        <f t="array" ref="T36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v>
      </c>
      <c r="U364" s="41" t="str" cm="1">
        <f t="array" ref="U36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12.10317 and 0.00000</v>
      </c>
      <c r="V364" s="22"/>
    </row>
    <row r="365" spans="10:22" ht="11.25" thickBot="1" x14ac:dyDescent="0.2">
      <c r="J365" s="190" t="s">
        <v>232</v>
      </c>
      <c r="K365" s="193" t="s">
        <v>69</v>
      </c>
      <c r="L365" s="255" t="str" cm="1">
        <f t="array" ref="L365">_xlfn.LET(
  _xlpm.bs,L362, _xlpm.si,L363, _xlpm.c,L364,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M365" s="256" t="str" cm="1">
        <f t="array" ref="M365">_xlfn.LET(
  _xlpm.bs,M362, _xlpm.si,M363, _xlpm.c,M364,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N365" s="245" t="str" cm="1">
        <f t="array" ref="N365">_xlfn.LET(
  _xlpm.bs,N362, _xlpm.si,N363, _xlpm.c,N364,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365" s="245" t="str" cm="1">
        <f t="array" ref="O365">_xlfn.LET(
  _xlpm.bs,O362, _xlpm.si,O363, _xlpm.c,O364,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P365" s="245" t="str" cm="1">
        <f t="array" ref="P365">_xlfn.LET(
  _xlpm.bs,P362, _xlpm.si,P363, _xlpm.c,P364,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365" s="255" t="str" cm="1">
        <f t="array" ref="Q365">_xlfn.LET(
  _xlpm.bs,Q362, _xlpm.si,Q363, _xlpm.c,Q364,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R365" s="256" t="str" cm="1">
        <f t="array" ref="R365">_xlfn.LET(
  _xlpm.bs,R362, _xlpm.si,R363, _xlpm.c,R364,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S365" s="256" t="str" cm="1">
        <f t="array" ref="S365">_xlfn.LET(
  _xlpm.bs,S362, _xlpm.si,S363, _xlpm.c,S364,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T365" s="240" cm="1">
        <f t="array" ref="T36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v>
      </c>
      <c r="U365" s="229" t="str" cm="1">
        <f t="array" ref="U36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#N/A</v>
      </c>
      <c r="V365" s="22"/>
    </row>
    <row r="366" spans="10:22" x14ac:dyDescent="0.15">
      <c r="J366" s="188" t="s">
        <v>233</v>
      </c>
      <c r="K366" s="189" t="s">
        <v>39</v>
      </c>
      <c r="L366" s="207">
        <v>0</v>
      </c>
      <c r="M366" s="239">
        <f>_xlfn.LET(
  _xlpm.analyte, SensorLab[[#This Row],[Analyte]],
  _xlpm.raw, N(SensorLab[[#This Row],[Raw_Value]]),
  _xlpm.scaleF, IFERROR(
    _xlfn.XLOOKUP(_xlpm.analyte, CalibrationCoefficients[Analyte], CalibrationCoefficients[ScaleFactor]),
    1
  ),
  IF(AND(_xlpm.analyte&lt;&gt;"", ISNUMBER(_xlpm.raw)), _xlpm.raw * _xlpm.scaleF, "NA")
)</f>
        <v>0</v>
      </c>
      <c r="N366" s="228"/>
      <c r="O366" s="228"/>
      <c r="P366" s="228">
        <v>2</v>
      </c>
      <c r="Q366" s="207" cm="1">
        <f t="array" ref="Q36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v>
      </c>
      <c r="R366" s="239" cm="1">
        <f t="array" ref="R36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0.44663000000000003</v>
      </c>
      <c r="S366" s="241" cm="1">
        <f t="array" ref="S36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v>
      </c>
      <c r="T366" s="241" cm="1">
        <f t="array" ref="T36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-6</v>
      </c>
      <c r="U366" s="228" t="str" cm="1">
        <f t="array" ref="U36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1.17402 and 0.44663</v>
      </c>
      <c r="V366" s="22"/>
    </row>
    <row r="367" spans="10:22" x14ac:dyDescent="0.15">
      <c r="J367" s="190" t="s">
        <v>233</v>
      </c>
      <c r="K367" s="191" t="s">
        <v>40</v>
      </c>
      <c r="L367" s="208">
        <v>0</v>
      </c>
      <c r="M367"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367" s="41"/>
      <c r="O367" s="41"/>
      <c r="P367" s="41">
        <v>5</v>
      </c>
      <c r="Q367" s="208" cm="1">
        <f t="array" ref="Q367">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5</v>
      </c>
      <c r="R367" s="237" cm="1">
        <f t="array" ref="R36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5.3140400000000003</v>
      </c>
      <c r="S367" s="238" cm="1">
        <f t="array" ref="S36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4.1240100000000002</v>
      </c>
      <c r="T367" s="238" cm="1">
        <f t="array" ref="T36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-0.87598999999999982</v>
      </c>
      <c r="U367" s="41" t="str" cm="1">
        <f t="array" ref="U36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5.70934 and 6.82934</v>
      </c>
      <c r="V367" s="22"/>
    </row>
    <row r="368" spans="10:22" x14ac:dyDescent="0.15">
      <c r="J368" s="190" t="s">
        <v>233</v>
      </c>
      <c r="K368" s="191" t="s">
        <v>41</v>
      </c>
      <c r="L368" s="208">
        <v>0</v>
      </c>
      <c r="M368"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368" s="41"/>
      <c r="O368" s="41"/>
      <c r="P368" s="41">
        <v>152</v>
      </c>
      <c r="Q368" s="208" cm="1">
        <f t="array" ref="Q36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152</v>
      </c>
      <c r="R368" s="237" cm="1">
        <f t="array" ref="R36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111.50391999999999</v>
      </c>
      <c r="S368" s="238" cm="1">
        <f t="array" ref="S36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97.80395</v>
      </c>
      <c r="T368" s="238" cm="1">
        <f t="array" ref="T36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54.19605</v>
      </c>
      <c r="U368" s="41" t="str" cm="1">
        <f t="array" ref="U36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107.71054 and 110.69054</v>
      </c>
      <c r="V368" s="22"/>
    </row>
    <row r="369" spans="10:22" x14ac:dyDescent="0.15">
      <c r="J369" s="190" t="s">
        <v>233</v>
      </c>
      <c r="K369" s="127" t="s">
        <v>52</v>
      </c>
      <c r="L369" s="208">
        <v>85</v>
      </c>
      <c r="M369" s="237">
        <f>_xlfn.LET(
  _xlpm.analyte, SensorLab[[#This Row],[Analyte]],
  _xlpm.raw, N(SensorLab[[#This Row],[Raw_Value]]),
  _xlpm.scaleF, IFERROR(
    _xlfn.XLOOKUP(_xlpm.analyte, CalibrationCoefficients[Analyte], CalibrationCoefficients[ScaleFactor]),
    1
  ),
  IF(AND(_xlpm.analyte&lt;&gt;"", ISNUMBER(_xlpm.raw)), _xlpm.raw * _xlpm.scaleF, "NA")
)</f>
        <v>8.5000000000000006E-2</v>
      </c>
      <c r="N369" s="41"/>
      <c r="O369" s="41"/>
      <c r="P369" s="41">
        <v>1.21</v>
      </c>
      <c r="Q369" s="208" cm="1">
        <f t="array" ref="Q369">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1.21</v>
      </c>
      <c r="R369" s="237" cm="1">
        <f t="array" ref="R36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0.97143000000000002</v>
      </c>
      <c r="S369" s="238" cm="1">
        <f t="array" ref="S36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0.93920000000000003</v>
      </c>
      <c r="T369" s="238" cm="1">
        <f t="array" ref="T36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0.27079999999999999</v>
      </c>
      <c r="U369" s="41" t="str" cm="1">
        <f t="array" ref="U36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0.99144 and 1.09144</v>
      </c>
      <c r="V369" s="22"/>
    </row>
    <row r="370" spans="10:22" x14ac:dyDescent="0.15">
      <c r="J370" s="190" t="s">
        <v>233</v>
      </c>
      <c r="K370" s="127" t="s">
        <v>34</v>
      </c>
      <c r="L370" s="208">
        <v>90</v>
      </c>
      <c r="M370" s="237">
        <f>_xlfn.LET(
  _xlpm.analyte, SensorLab[[#This Row],[Analyte]],
  _xlpm.raw, N(SensorLab[[#This Row],[Raw_Value]]),
  _xlpm.scaleF, IFERROR(
    _xlfn.XLOOKUP(_xlpm.analyte, CalibrationCoefficients[Analyte], CalibrationCoefficients[ScaleFactor]),
    1
  ),
  IF(AND(_xlpm.analyte&lt;&gt;"", ISNUMBER(_xlpm.raw)), _xlpm.raw * _xlpm.scaleF, "NA")
)</f>
        <v>9</v>
      </c>
      <c r="N370" s="41"/>
      <c r="O370" s="41"/>
      <c r="P370" s="41">
        <v>7.9</v>
      </c>
      <c r="Q370" s="208" cm="1">
        <f t="array" ref="Q37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7.9</v>
      </c>
      <c r="R370" s="237" cm="1">
        <f t="array" ref="R37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7.8123699999999996</v>
      </c>
      <c r="S370" s="238" cm="1">
        <f t="array" ref="S37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7.7794600000000003</v>
      </c>
      <c r="T370" s="238" cm="1">
        <f t="array" ref="T37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0.12053999999999999</v>
      </c>
      <c r="U370" s="41" t="str" cm="1">
        <f t="array" ref="U37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0.12054)</v>
      </c>
      <c r="V370" s="22"/>
    </row>
    <row r="371" spans="10:22" x14ac:dyDescent="0.15">
      <c r="J371" s="190" t="s">
        <v>233</v>
      </c>
      <c r="K371" s="127" t="s">
        <v>90</v>
      </c>
      <c r="L371" s="208">
        <v>210</v>
      </c>
      <c r="M371" s="237">
        <f>_xlfn.LET(
  _xlpm.analyte, SensorLab[[#This Row],[Analyte]],
  _xlpm.raw, N(SensorLab[[#This Row],[Raw_Value]]),
  _xlpm.scaleF, IFERROR(
    _xlfn.XLOOKUP(_xlpm.analyte, CalibrationCoefficients[Analyte], CalibrationCoefficients[ScaleFactor]),
    1
  ),
  IF(AND(_xlpm.analyte&lt;&gt;"", ISNUMBER(_xlpm.raw)), _xlpm.raw * _xlpm.scaleF, "NA")
)</f>
        <v>21</v>
      </c>
      <c r="N371" s="41"/>
      <c r="O371" s="41"/>
      <c r="P371" s="41">
        <v>21</v>
      </c>
      <c r="Q371" s="208" cm="1">
        <f t="array" ref="Q371">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21</v>
      </c>
      <c r="R371" s="237" cm="1">
        <f t="array" ref="R37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21.131589999999999</v>
      </c>
      <c r="S371" s="238" cm="1">
        <f t="array" ref="S37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21.095009999999998</v>
      </c>
      <c r="T371" s="238" cm="1">
        <f t="array" ref="T37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-2.9049900000000015</v>
      </c>
      <c r="U371" s="41" t="str" cm="1">
        <f t="array" ref="U37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20.95269 and 21.04731</v>
      </c>
      <c r="V371" s="22"/>
    </row>
    <row r="372" spans="10:22" x14ac:dyDescent="0.15">
      <c r="J372" s="190" t="s">
        <v>233</v>
      </c>
      <c r="K372" s="191" t="s">
        <v>43</v>
      </c>
      <c r="L372" s="208">
        <v>182</v>
      </c>
      <c r="M372" s="237">
        <f>_xlfn.LET(
  _xlpm.analyte, SensorLab[[#This Row],[Analyte]],
  _xlpm.raw, N(SensorLab[[#This Row],[Raw_Value]]),
  _xlpm.scaleF, IFERROR(
    _xlfn.XLOOKUP(_xlpm.analyte, CalibrationCoefficients[Analyte], CalibrationCoefficients[ScaleFactor]),
    1
  ),
  IF(AND(_xlpm.analyte&lt;&gt;"", ISNUMBER(_xlpm.raw)), _xlpm.raw * _xlpm.scaleF, "NA")
)</f>
        <v>18.2</v>
      </c>
      <c r="N372" s="41"/>
      <c r="O372" s="41"/>
      <c r="P372" s="41">
        <v>18.2</v>
      </c>
      <c r="Q372" s="208" cm="1">
        <f t="array" ref="Q37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18.2</v>
      </c>
      <c r="R372" s="237" cm="1">
        <f t="array" ref="R37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18.185469999999999</v>
      </c>
      <c r="S372" s="238" cm="1">
        <f t="array" ref="S37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18.198879999999999</v>
      </c>
      <c r="T372" s="238" cm="1">
        <f t="array" ref="T37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1.1199999999999999E-3</v>
      </c>
      <c r="U372" s="41" t="str" cm="1">
        <f t="array" ref="U37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18.20000 and 18.20000</v>
      </c>
      <c r="V372" s="22"/>
    </row>
    <row r="373" spans="10:22" x14ac:dyDescent="0.15">
      <c r="J373" s="190" t="s">
        <v>233</v>
      </c>
      <c r="K373" s="191" t="s">
        <v>45</v>
      </c>
      <c r="L373" s="208">
        <v>5.1999999999999995E-4</v>
      </c>
      <c r="M373" s="237">
        <f>_xlfn.LET(
  _xlpm.analyte, SensorLab[[#This Row],[Analyte]],
  _xlpm.raw, N(SensorLab[[#This Row],[Raw_Value]]),
  _xlpm.scaleF, IFERROR(
    _xlfn.XLOOKUP(_xlpm.analyte, CalibrationCoefficients[Analyte], CalibrationCoefficients[ScaleFactor]),
    1
  ),
  IF(AND(_xlpm.analyte&lt;&gt;"", ISNUMBER(_xlpm.raw)), _xlpm.raw * _xlpm.scaleF, "NA")
)</f>
        <v>5.1999999999999995E-4</v>
      </c>
      <c r="N373" s="41"/>
      <c r="O373" s="41"/>
      <c r="P373" s="41">
        <v>0.82</v>
      </c>
      <c r="Q373" s="208" cm="1">
        <f t="array" ref="Q373">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0.82</v>
      </c>
      <c r="R373" s="237" cm="1">
        <f t="array" ref="R37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0.60409999999999997</v>
      </c>
      <c r="S373" s="238" cm="1">
        <f t="array" ref="S37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0.6</v>
      </c>
      <c r="T373" s="238" cm="1">
        <f t="array" ref="T37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0.22</v>
      </c>
      <c r="U373" s="41" t="str" cm="1">
        <f t="array" ref="U37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0.22000)</v>
      </c>
      <c r="V373" s="22"/>
    </row>
    <row r="374" spans="10:22" x14ac:dyDescent="0.15">
      <c r="J374" s="190" t="s">
        <v>233</v>
      </c>
      <c r="K374" s="127" t="s">
        <v>0</v>
      </c>
      <c r="L374" s="208">
        <v>50.86</v>
      </c>
      <c r="M374" s="237">
        <f>_xlfn.LET(
  _xlpm.analyte, SensorLab[[#This Row],[Analyte]],
  _xlpm.raw, N(SensorLab[[#This Row],[Raw_Value]]),
  _xlpm.scaleF, IFERROR(
    _xlfn.XLOOKUP(_xlpm.analyte, CalibrationCoefficients[Analyte], CalibrationCoefficients[ScaleFactor]),
    1
  ),
  IF(AND(_xlpm.analyte&lt;&gt;"", ISNUMBER(_xlpm.raw)), _xlpm.raw * _xlpm.scaleF, "NA")
)</f>
        <v>50.86</v>
      </c>
      <c r="N374" s="41"/>
      <c r="O374" s="41"/>
      <c r="P374" s="41">
        <v>40</v>
      </c>
      <c r="Q374" s="208" cm="1">
        <f t="array" ref="Q37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40</v>
      </c>
      <c r="R374" s="237" cm="1">
        <f t="array" ref="R37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40</v>
      </c>
      <c r="S374" s="238" cm="1">
        <f t="array" ref="S37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40</v>
      </c>
      <c r="T374" s="238" cm="1">
        <f t="array" ref="T37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374" s="41" t="str" cm="1">
        <f t="array" ref="U37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374" s="22"/>
    </row>
    <row r="375" spans="10:22" x14ac:dyDescent="0.15">
      <c r="J375" s="190" t="s">
        <v>233</v>
      </c>
      <c r="K375" s="127" t="s">
        <v>5</v>
      </c>
      <c r="L375" s="208">
        <v>34.049999999999997</v>
      </c>
      <c r="M375" s="237">
        <f>_xlfn.LET(
  _xlpm.analyte, SensorLab[[#This Row],[Analyte]],
  _xlpm.raw, N(SensorLab[[#This Row],[Raw_Value]]),
  _xlpm.scaleF, IFERROR(
    _xlfn.XLOOKUP(_xlpm.analyte, CalibrationCoefficients[Analyte], CalibrationCoefficients[ScaleFactor]),
    1
  ),
  IF(AND(_xlpm.analyte&lt;&gt;"", ISNUMBER(_xlpm.raw)), _xlpm.raw * _xlpm.scaleF, "NA")
)</f>
        <v>34.049999999999997</v>
      </c>
      <c r="N375" s="41"/>
      <c r="O375" s="41"/>
      <c r="P375" s="41">
        <v>40</v>
      </c>
      <c r="Q375" s="208" cm="1">
        <f t="array" ref="Q375">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40</v>
      </c>
      <c r="R375" s="237" cm="1">
        <f t="array" ref="R37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40</v>
      </c>
      <c r="S375" s="238" cm="1">
        <f t="array" ref="S37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40</v>
      </c>
      <c r="T375" s="238" cm="1">
        <f t="array" ref="T37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375" s="41" t="str" cm="1">
        <f t="array" ref="U37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375" s="22"/>
    </row>
    <row r="376" spans="10:22" x14ac:dyDescent="0.15">
      <c r="J376" s="190" t="s">
        <v>233</v>
      </c>
      <c r="K376" s="127" t="s">
        <v>6</v>
      </c>
      <c r="L376" s="208">
        <v>15.09</v>
      </c>
      <c r="M376" s="237">
        <f>_xlfn.LET(
  _xlpm.analyte, SensorLab[[#This Row],[Analyte]],
  _xlpm.raw, N(SensorLab[[#This Row],[Raw_Value]]),
  _xlpm.scaleF, IFERROR(
    _xlfn.XLOOKUP(_xlpm.analyte, CalibrationCoefficients[Analyte], CalibrationCoefficients[ScaleFactor]),
    1
  ),
  IF(AND(_xlpm.analyte&lt;&gt;"", ISNUMBER(_xlpm.raw)), _xlpm.raw * _xlpm.scaleF, "NA")
)</f>
        <v>15.09</v>
      </c>
      <c r="N376" s="41"/>
      <c r="O376" s="41"/>
      <c r="P376" s="41">
        <v>20</v>
      </c>
      <c r="Q376" s="208" cm="1">
        <f t="array" ref="Q37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20</v>
      </c>
      <c r="R376" s="237" cm="1">
        <f t="array" ref="R37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20</v>
      </c>
      <c r="S376" s="238" cm="1">
        <f t="array" ref="S37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20</v>
      </c>
      <c r="T376" s="238" cm="1">
        <f t="array" ref="T37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376" s="41" t="str" cm="1">
        <f t="array" ref="U37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376" s="22"/>
    </row>
    <row r="377" spans="10:22" ht="11.25" thickBot="1" x14ac:dyDescent="0.2">
      <c r="J377" s="190" t="s">
        <v>233</v>
      </c>
      <c r="K377" s="193" t="s">
        <v>69</v>
      </c>
      <c r="L377" s="255" t="str" cm="1">
        <f t="array" ref="L377">_xlfn.LET(
  _xlpm.bs,L374, _xlpm.si,L375, _xlpm.c,L376,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M377" s="256" t="str" cm="1">
        <f t="array" ref="M377">_xlfn.LET(
  _xlpm.bs,M374, _xlpm.si,M375, _xlpm.c,M376,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N377" s="245" t="str" cm="1">
        <f t="array" ref="N377">_xlfn.LET(
  _xlpm.bs,N374, _xlpm.si,N375, _xlpm.c,N376,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377" s="245" t="str" cm="1">
        <f t="array" ref="O377">_xlfn.LET(
  _xlpm.bs,O374, _xlpm.si,O375, _xlpm.c,O376,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P377" s="245" t="str" cm="1">
        <f t="array" ref="P377">_xlfn.LET(
  _xlpm.bs,P374, _xlpm.si,P375, _xlpm.c,P376,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Q377" s="255" t="str" cm="1">
        <f t="array" ref="Q377">_xlfn.LET(
  _xlpm.bs,Q374, _xlpm.si,Q375, _xlpm.c,Q376,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R377" s="256" t="str" cm="1">
        <f t="array" ref="R377">_xlfn.LET(
  _xlpm.bs,R374, _xlpm.si,R375, _xlpm.c,R376,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S377" s="256" t="str" cm="1">
        <f t="array" ref="S377">_xlfn.LET(
  _xlpm.bs,S374, _xlpm.si,S375, _xlpm.c,S376,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T377" s="240" cm="1">
        <f t="array" ref="T37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377" s="229" t="str" cm="1">
        <f t="array" ref="U37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(Texture match: Loam)</v>
      </c>
      <c r="V377" s="22"/>
    </row>
    <row r="378" spans="10:22" x14ac:dyDescent="0.15">
      <c r="J378" s="188" t="s">
        <v>234</v>
      </c>
      <c r="K378" s="189" t="s">
        <v>39</v>
      </c>
      <c r="L378" s="207">
        <v>0</v>
      </c>
      <c r="M378" s="239">
        <f>_xlfn.LET(
  _xlpm.analyte, SensorLab[[#This Row],[Analyte]],
  _xlpm.raw, N(SensorLab[[#This Row],[Raw_Value]]),
  _xlpm.scaleF, IFERROR(
    _xlfn.XLOOKUP(_xlpm.analyte, CalibrationCoefficients[Analyte], CalibrationCoefficients[ScaleFactor]),
    1
  ),
  IF(AND(_xlpm.analyte&lt;&gt;"", ISNUMBER(_xlpm.raw)), _xlpm.raw * _xlpm.scaleF, "NA")
)</f>
        <v>0</v>
      </c>
      <c r="N378" s="228"/>
      <c r="O378" s="228"/>
      <c r="P378" s="41">
        <v>2</v>
      </c>
      <c r="Q378" s="207" cm="1">
        <f t="array" ref="Q37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v>
      </c>
      <c r="R378" s="239" cm="1">
        <f t="array" ref="R37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0.44663000000000003</v>
      </c>
      <c r="S378" s="241" cm="1">
        <f t="array" ref="S37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v>
      </c>
      <c r="T378" s="241" cm="1">
        <f t="array" ref="T37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-6</v>
      </c>
      <c r="U378" s="228" t="str" cm="1">
        <f t="array" ref="U37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1.17402 and 0.44663</v>
      </c>
      <c r="V378" s="22"/>
    </row>
    <row r="379" spans="10:22" x14ac:dyDescent="0.15">
      <c r="J379" s="190" t="s">
        <v>234</v>
      </c>
      <c r="K379" s="191" t="s">
        <v>40</v>
      </c>
      <c r="L379" s="208">
        <v>2</v>
      </c>
      <c r="M379" s="237">
        <f>_xlfn.LET(
  _xlpm.analyte, SensorLab[[#This Row],[Analyte]],
  _xlpm.raw, N(SensorLab[[#This Row],[Raw_Value]]),
  _xlpm.scaleF, IFERROR(
    _xlfn.XLOOKUP(_xlpm.analyte, CalibrationCoefficients[Analyte], CalibrationCoefficients[ScaleFactor]),
    1
  ),
  IF(AND(_xlpm.analyte&lt;&gt;"", ISNUMBER(_xlpm.raw)), _xlpm.raw * _xlpm.scaleF, "NA")
)</f>
        <v>2</v>
      </c>
      <c r="N379" s="41"/>
      <c r="O379" s="41"/>
      <c r="P379" s="41">
        <v>2</v>
      </c>
      <c r="Q379" s="208" cm="1">
        <f t="array" ref="Q379">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v>
      </c>
      <c r="R379" s="237" cm="1">
        <f t="array" ref="R37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5.3640800000000004</v>
      </c>
      <c r="S379" s="238" cm="1">
        <f t="array" ref="S37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4.1740500000000003</v>
      </c>
      <c r="T379" s="238" cm="1">
        <f t="array" ref="T37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-0.82594999999999974</v>
      </c>
      <c r="U379" s="41" t="str" cm="1">
        <f t="array" ref="U37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5.73662 and 3.22023</v>
      </c>
      <c r="V379" s="22"/>
    </row>
    <row r="380" spans="10:22" x14ac:dyDescent="0.15">
      <c r="J380" s="190" t="s">
        <v>234</v>
      </c>
      <c r="K380" s="191" t="s">
        <v>41</v>
      </c>
      <c r="L380" s="208">
        <v>0</v>
      </c>
      <c r="M380"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380" s="41"/>
      <c r="O380" s="41"/>
      <c r="P380" s="41">
        <v>99</v>
      </c>
      <c r="Q380" s="208" cm="1">
        <f t="array" ref="Q38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99</v>
      </c>
      <c r="R380" s="237" cm="1">
        <f t="array" ref="R38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111.50391999999999</v>
      </c>
      <c r="S380" s="238" cm="1">
        <f t="array" ref="S38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97.80395</v>
      </c>
      <c r="T380" s="238" cm="1">
        <f t="array" ref="T38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1.1960500000000001</v>
      </c>
      <c r="U380" s="41" t="str" cm="1">
        <f t="array" ref="U38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107.71054 and 110.69054</v>
      </c>
      <c r="V380" s="22"/>
    </row>
    <row r="381" spans="10:22" x14ac:dyDescent="0.15">
      <c r="J381" s="190" t="s">
        <v>234</v>
      </c>
      <c r="K381" s="127" t="s">
        <v>52</v>
      </c>
      <c r="L381" s="208">
        <v>94</v>
      </c>
      <c r="M381" s="237">
        <f>_xlfn.LET(
  _xlpm.analyte, SensorLab[[#This Row],[Analyte]],
  _xlpm.raw, N(SensorLab[[#This Row],[Raw_Value]]),
  _xlpm.scaleF, IFERROR(
    _xlfn.XLOOKUP(_xlpm.analyte, CalibrationCoefficients[Analyte], CalibrationCoefficients[ScaleFactor]),
    1
  ),
  IF(AND(_xlpm.analyte&lt;&gt;"", ISNUMBER(_xlpm.raw)), _xlpm.raw * _xlpm.scaleF, "NA")
)</f>
        <v>9.4E-2</v>
      </c>
      <c r="N381" s="41"/>
      <c r="O381" s="41"/>
      <c r="P381" s="41">
        <v>1.1000000000000001</v>
      </c>
      <c r="Q381" s="208" cm="1">
        <f t="array" ref="Q381">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1.1000000000000001</v>
      </c>
      <c r="R381" s="237" cm="1">
        <f t="array" ref="R38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0.97733000000000003</v>
      </c>
      <c r="S381" s="238" cm="1">
        <f t="array" ref="S38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0.94510000000000005</v>
      </c>
      <c r="T381" s="238" cm="1">
        <f t="array" ref="T38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0.15490000000000001</v>
      </c>
      <c r="U381" s="41" t="str" cm="1">
        <f t="array" ref="U38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0.99338 and 1.09338</v>
      </c>
      <c r="V381" s="22"/>
    </row>
    <row r="382" spans="10:22" x14ac:dyDescent="0.15">
      <c r="J382" s="190" t="s">
        <v>234</v>
      </c>
      <c r="K382" s="127" t="s">
        <v>34</v>
      </c>
      <c r="L382" s="208">
        <v>81</v>
      </c>
      <c r="M382" s="237">
        <f>_xlfn.LET(
  _xlpm.analyte, SensorLab[[#This Row],[Analyte]],
  _xlpm.raw, N(SensorLab[[#This Row],[Raw_Value]]),
  _xlpm.scaleF, IFERROR(
    _xlfn.XLOOKUP(_xlpm.analyte, CalibrationCoefficients[Analyte], CalibrationCoefficients[ScaleFactor]),
    1
  ),
  IF(AND(_xlpm.analyte&lt;&gt;"", ISNUMBER(_xlpm.raw)), _xlpm.raw * _xlpm.scaleF, "NA")
)</f>
        <v>8.1</v>
      </c>
      <c r="N382" s="41"/>
      <c r="O382" s="41"/>
      <c r="P382" s="41">
        <v>8</v>
      </c>
      <c r="Q382" s="208" cm="1">
        <f t="array" ref="Q38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8</v>
      </c>
      <c r="R382" s="237" cm="1">
        <f t="array" ref="R38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7.8535000000000004</v>
      </c>
      <c r="S382" s="238" cm="1">
        <f t="array" ref="S38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7.8205900000000002</v>
      </c>
      <c r="T382" s="238" cm="1">
        <f t="array" ref="T38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0.17940999999999999</v>
      </c>
      <c r="U382" s="41" t="str" cm="1">
        <f t="array" ref="U38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0.17941)</v>
      </c>
      <c r="V382" s="22"/>
    </row>
    <row r="383" spans="10:22" x14ac:dyDescent="0.15">
      <c r="J383" s="190" t="s">
        <v>234</v>
      </c>
      <c r="K383" s="127" t="s">
        <v>90</v>
      </c>
      <c r="L383" s="208">
        <v>201</v>
      </c>
      <c r="M383" s="237">
        <f>_xlfn.LET(
  _xlpm.analyte, SensorLab[[#This Row],[Analyte]],
  _xlpm.raw, N(SensorLab[[#This Row],[Raw_Value]]),
  _xlpm.scaleF, IFERROR(
    _xlfn.XLOOKUP(_xlpm.analyte, CalibrationCoefficients[Analyte], CalibrationCoefficients[ScaleFactor]),
    1
  ),
  IF(AND(_xlpm.analyte&lt;&gt;"", ISNUMBER(_xlpm.raw)), _xlpm.raw * _xlpm.scaleF, "NA")
)</f>
        <v>20.100000000000001</v>
      </c>
      <c r="N383" s="41"/>
      <c r="O383" s="41"/>
      <c r="P383" s="41">
        <v>21.5</v>
      </c>
      <c r="Q383" s="208" cm="1">
        <f t="array" ref="Q383">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21.5</v>
      </c>
      <c r="R383" s="237" cm="1">
        <f t="array" ref="R38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20.213000000000001</v>
      </c>
      <c r="S383" s="238" cm="1">
        <f t="array" ref="S38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20.17642</v>
      </c>
      <c r="T383" s="238" cm="1">
        <f t="array" ref="T38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-3.8235799999999998</v>
      </c>
      <c r="U383" s="41" t="str" cm="1">
        <f t="array" ref="U38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21.45269 and 20.17000</v>
      </c>
      <c r="V383" s="22"/>
    </row>
    <row r="384" spans="10:22" x14ac:dyDescent="0.15">
      <c r="J384" s="190" t="s">
        <v>234</v>
      </c>
      <c r="K384" s="191" t="s">
        <v>43</v>
      </c>
      <c r="L384" s="208">
        <v>191</v>
      </c>
      <c r="M384" s="237">
        <f>_xlfn.LET(
  _xlpm.analyte, SensorLab[[#This Row],[Analyte]],
  _xlpm.raw, N(SensorLab[[#This Row],[Raw_Value]]),
  _xlpm.scaleF, IFERROR(
    _xlfn.XLOOKUP(_xlpm.analyte, CalibrationCoefficients[Analyte], CalibrationCoefficients[ScaleFactor]),
    1
  ),
  IF(AND(_xlpm.analyte&lt;&gt;"", ISNUMBER(_xlpm.raw)), _xlpm.raw * _xlpm.scaleF, "NA")
)</f>
        <v>19.100000000000001</v>
      </c>
      <c r="N384" s="41"/>
      <c r="O384" s="41"/>
      <c r="P384" s="41">
        <v>17.899999999999999</v>
      </c>
      <c r="Q384" s="208" cm="1">
        <f t="array" ref="Q38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17.899999999999999</v>
      </c>
      <c r="R384" s="237" cm="1">
        <f t="array" ref="R38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19.08569</v>
      </c>
      <c r="S384" s="238" cm="1">
        <f t="array" ref="S38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19.0991</v>
      </c>
      <c r="T384" s="238" cm="1">
        <f t="array" ref="T38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-1.1991000000000001</v>
      </c>
      <c r="U384" s="41" t="str" cm="1">
        <f t="array" ref="U38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19.10000 and 17.90110</v>
      </c>
      <c r="V384" s="22"/>
    </row>
    <row r="385" spans="10:22" x14ac:dyDescent="0.15">
      <c r="J385" s="190" t="s">
        <v>234</v>
      </c>
      <c r="K385" s="191" t="s">
        <v>45</v>
      </c>
      <c r="L385" s="208">
        <v>5.1999999999999995E-4</v>
      </c>
      <c r="M385" s="237">
        <f>_xlfn.LET(
  _xlpm.analyte, SensorLab[[#This Row],[Analyte]],
  _xlpm.raw, N(SensorLab[[#This Row],[Raw_Value]]),
  _xlpm.scaleF, IFERROR(
    _xlfn.XLOOKUP(_xlpm.analyte, CalibrationCoefficients[Analyte], CalibrationCoefficients[ScaleFactor]),
    1
  ),
  IF(AND(_xlpm.analyte&lt;&gt;"", ISNUMBER(_xlpm.raw)), _xlpm.raw * _xlpm.scaleF, "NA")
)</f>
        <v>5.1999999999999995E-4</v>
      </c>
      <c r="N385" s="41"/>
      <c r="O385" s="41"/>
      <c r="P385" s="41">
        <v>0.82</v>
      </c>
      <c r="Q385" s="208" cm="1">
        <f t="array" ref="Q385">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0.82</v>
      </c>
      <c r="R385" s="237" cm="1">
        <f t="array" ref="R38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0.60409999999999997</v>
      </c>
      <c r="S385" s="238" cm="1">
        <f t="array" ref="S38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0.6</v>
      </c>
      <c r="T385" s="238" cm="1">
        <f t="array" ref="T38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0.22</v>
      </c>
      <c r="U385" s="41" t="str" cm="1">
        <f t="array" ref="U38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0.22000)</v>
      </c>
      <c r="V385" s="22"/>
    </row>
    <row r="386" spans="10:22" x14ac:dyDescent="0.15">
      <c r="J386" s="190" t="s">
        <v>234</v>
      </c>
      <c r="K386" s="127" t="s">
        <v>0</v>
      </c>
      <c r="L386" s="208">
        <v>51.246794218033969</v>
      </c>
      <c r="M386" s="237">
        <f>_xlfn.LET(
  _xlpm.analyte, SensorLab[[#This Row],[Analyte]],
  _xlpm.raw, N(SensorLab[[#This Row],[Raw_Value]]),
  _xlpm.scaleF, IFERROR(
    _xlfn.XLOOKUP(_xlpm.analyte, CalibrationCoefficients[Analyte], CalibrationCoefficients[ScaleFactor]),
    1
  ),
  IF(AND(_xlpm.analyte&lt;&gt;"", ISNUMBER(_xlpm.raw)), _xlpm.raw * _xlpm.scaleF, "NA")
)</f>
        <v>51.246794218033969</v>
      </c>
      <c r="N386" s="41"/>
      <c r="O386" s="41"/>
      <c r="P386" s="41">
        <v>40</v>
      </c>
      <c r="Q386" s="208" cm="1">
        <f t="array" ref="Q38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40</v>
      </c>
      <c r="R386" s="237" cm="1">
        <f t="array" ref="R38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40</v>
      </c>
      <c r="S386" s="238" cm="1">
        <f t="array" ref="S38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40</v>
      </c>
      <c r="T386" s="238" cm="1">
        <f t="array" ref="T38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386" s="41" t="str" cm="1">
        <f t="array" ref="U38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386" s="22"/>
    </row>
    <row r="387" spans="10:22" x14ac:dyDescent="0.15">
      <c r="J387" s="190" t="s">
        <v>234</v>
      </c>
      <c r="K387" s="127" t="s">
        <v>5</v>
      </c>
      <c r="L387" s="208">
        <v>34.104638355158485</v>
      </c>
      <c r="M387" s="237">
        <f>_xlfn.LET(
  _xlpm.analyte, SensorLab[[#This Row],[Analyte]],
  _xlpm.raw, N(SensorLab[[#This Row],[Raw_Value]]),
  _xlpm.scaleF, IFERROR(
    _xlfn.XLOOKUP(_xlpm.analyte, CalibrationCoefficients[Analyte], CalibrationCoefficients[ScaleFactor]),
    1
  ),
  IF(AND(_xlpm.analyte&lt;&gt;"", ISNUMBER(_xlpm.raw)), _xlpm.raw * _xlpm.scaleF, "NA")
)</f>
        <v>34.104638355158485</v>
      </c>
      <c r="N387" s="41"/>
      <c r="O387" s="41"/>
      <c r="P387" s="41">
        <v>40</v>
      </c>
      <c r="Q387" s="208" cm="1">
        <f t="array" ref="Q387">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40</v>
      </c>
      <c r="R387" s="237" cm="1">
        <f t="array" ref="R38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40</v>
      </c>
      <c r="S387" s="238" cm="1">
        <f t="array" ref="S38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40</v>
      </c>
      <c r="T387" s="238" cm="1">
        <f t="array" ref="T38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387" s="41" t="str" cm="1">
        <f t="array" ref="U38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387" s="22"/>
    </row>
    <row r="388" spans="10:22" x14ac:dyDescent="0.15">
      <c r="J388" s="190" t="s">
        <v>234</v>
      </c>
      <c r="K388" s="127" t="s">
        <v>6</v>
      </c>
      <c r="L388" s="208">
        <v>15.648567426807546</v>
      </c>
      <c r="M388" s="237">
        <f>_xlfn.LET(
  _xlpm.analyte, SensorLab[[#This Row],[Analyte]],
  _xlpm.raw, N(SensorLab[[#This Row],[Raw_Value]]),
  _xlpm.scaleF, IFERROR(
    _xlfn.XLOOKUP(_xlpm.analyte, CalibrationCoefficients[Analyte], CalibrationCoefficients[ScaleFactor]),
    1
  ),
  IF(AND(_xlpm.analyte&lt;&gt;"", ISNUMBER(_xlpm.raw)), _xlpm.raw * _xlpm.scaleF, "NA")
)</f>
        <v>15.648567426807546</v>
      </c>
      <c r="N388" s="41"/>
      <c r="O388" s="41"/>
      <c r="P388" s="41">
        <v>20</v>
      </c>
      <c r="Q388" s="208" cm="1">
        <f t="array" ref="Q38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20</v>
      </c>
      <c r="R388" s="237" cm="1">
        <f t="array" ref="R38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20</v>
      </c>
      <c r="S388" s="238" cm="1">
        <f t="array" ref="S38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20</v>
      </c>
      <c r="T388" s="238" cm="1">
        <f t="array" ref="T38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388" s="41" t="str" cm="1">
        <f t="array" ref="U38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388" s="22"/>
    </row>
    <row r="389" spans="10:22" ht="11.25" thickBot="1" x14ac:dyDescent="0.2">
      <c r="J389" s="190" t="s">
        <v>234</v>
      </c>
      <c r="K389" s="193" t="s">
        <v>69</v>
      </c>
      <c r="L389" s="255" t="str" cm="1">
        <f t="array" ref="L389">_xlfn.LET(
  _xlpm.bs,L386, _xlpm.si,L387, _xlpm.c,L388,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M389" s="256" t="str" cm="1">
        <f t="array" ref="M389">_xlfn.LET(
  _xlpm.bs,M386, _xlpm.si,M387, _xlpm.c,M388,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N389" s="245" t="str" cm="1">
        <f t="array" ref="N389">_xlfn.LET(
  _xlpm.bs,N386, _xlpm.si,N387, _xlpm.c,N388,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389" s="245" t="str" cm="1">
        <f t="array" ref="O389">_xlfn.LET(
  _xlpm.bs,O386, _xlpm.si,O387, _xlpm.c,O388,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P389" s="245" t="str" cm="1">
        <f t="array" ref="P389">_xlfn.LET(
  _xlpm.bs,P386, _xlpm.si,P387, _xlpm.c,P388,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Q389" s="255" t="str" cm="1">
        <f t="array" ref="Q389">_xlfn.LET(
  _xlpm.bs,Q386, _xlpm.si,Q387, _xlpm.c,Q388,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R389" s="256" t="str" cm="1">
        <f t="array" ref="R389">_xlfn.LET(
  _xlpm.bs,R386, _xlpm.si,R387, _xlpm.c,R388,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S389" s="256" t="str" cm="1">
        <f t="array" ref="S389">_xlfn.LET(
  _xlpm.bs,S386, _xlpm.si,S387, _xlpm.c,S388,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T389" s="240" cm="1">
        <f t="array" ref="T38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389" s="229" t="str" cm="1">
        <f t="array" ref="U38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(Texture match: Loam)</v>
      </c>
      <c r="V389" s="22"/>
    </row>
    <row r="390" spans="10:22" x14ac:dyDescent="0.15">
      <c r="J390" s="188" t="s">
        <v>235</v>
      </c>
      <c r="K390" s="189" t="s">
        <v>39</v>
      </c>
      <c r="L390" s="207">
        <v>0</v>
      </c>
      <c r="M390" s="239">
        <f>_xlfn.LET(
  _xlpm.analyte, SensorLab[[#This Row],[Analyte]],
  _xlpm.raw, N(SensorLab[[#This Row],[Raw_Value]]),
  _xlpm.scaleF, IFERROR(
    _xlfn.XLOOKUP(_xlpm.analyte, CalibrationCoefficients[Analyte], CalibrationCoefficients[ScaleFactor]),
    1
  ),
  IF(AND(_xlpm.analyte&lt;&gt;"", ISNUMBER(_xlpm.raw)), _xlpm.raw * _xlpm.scaleF, "NA")
)</f>
        <v>0</v>
      </c>
      <c r="N390" s="228"/>
      <c r="O390" s="228">
        <v>2</v>
      </c>
      <c r="P390" s="228"/>
      <c r="Q390" s="207" cm="1">
        <f t="array" ref="Q39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v>
      </c>
      <c r="R390" s="239" cm="1">
        <f t="array" ref="R39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0.44663000000000003</v>
      </c>
      <c r="S390" s="241" cm="1">
        <f t="array" ref="S39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v>
      </c>
      <c r="T390" s="241" cm="1">
        <f t="array" ref="T39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-6</v>
      </c>
      <c r="U390" s="228" t="str" cm="1">
        <f t="array" ref="U39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1.17402 and 0.44663</v>
      </c>
      <c r="V390" s="22"/>
    </row>
    <row r="391" spans="10:22" x14ac:dyDescent="0.15">
      <c r="J391" s="190" t="s">
        <v>235</v>
      </c>
      <c r="K391" s="191" t="s">
        <v>40</v>
      </c>
      <c r="L391" s="208">
        <v>20</v>
      </c>
      <c r="M391" s="237">
        <f>_xlfn.LET(
  _xlpm.analyte, SensorLab[[#This Row],[Analyte]],
  _xlpm.raw, N(SensorLab[[#This Row],[Raw_Value]]),
  _xlpm.scaleF, IFERROR(
    _xlfn.XLOOKUP(_xlpm.analyte, CalibrationCoefficients[Analyte], CalibrationCoefficients[ScaleFactor]),
    1
  ),
  IF(AND(_xlpm.analyte&lt;&gt;"", ISNUMBER(_xlpm.raw)), _xlpm.raw * _xlpm.scaleF, "NA")
)</f>
        <v>20</v>
      </c>
      <c r="N391" s="41"/>
      <c r="O391" s="41">
        <v>1.73</v>
      </c>
      <c r="P391" s="41"/>
      <c r="Q391" s="208" cm="1">
        <f t="array" ref="Q391">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1.73</v>
      </c>
      <c r="R391" s="237" cm="1">
        <f t="array" ref="R39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5.8144499999999999</v>
      </c>
      <c r="S391" s="238" cm="1">
        <f t="array" ref="S39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4.6244199999999998</v>
      </c>
      <c r="T391" s="238" cm="1">
        <f t="array" ref="T39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-0.37558000000000025</v>
      </c>
      <c r="U391" s="41" t="str" cm="1">
        <f t="array" ref="U39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5.98214 and 2.78550</v>
      </c>
      <c r="V391" s="22"/>
    </row>
    <row r="392" spans="10:22" x14ac:dyDescent="0.15">
      <c r="J392" s="190" t="s">
        <v>235</v>
      </c>
      <c r="K392" s="191" t="s">
        <v>41</v>
      </c>
      <c r="L392" s="208">
        <v>12</v>
      </c>
      <c r="M392" s="237">
        <f>_xlfn.LET(
  _xlpm.analyte, SensorLab[[#This Row],[Analyte]],
  _xlpm.raw, N(SensorLab[[#This Row],[Raw_Value]]),
  _xlpm.scaleF, IFERROR(
    _xlfn.XLOOKUP(_xlpm.analyte, CalibrationCoefficients[Analyte], CalibrationCoefficients[ScaleFactor]),
    1
  ),
  IF(AND(_xlpm.analyte&lt;&gt;"", ISNUMBER(_xlpm.raw)), _xlpm.raw * _xlpm.scaleF, "NA")
)</f>
        <v>12</v>
      </c>
      <c r="N392" s="41"/>
      <c r="O392" s="41">
        <v>137</v>
      </c>
      <c r="P392" s="41"/>
      <c r="Q392" s="208" cm="1">
        <f t="array" ref="Q39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137</v>
      </c>
      <c r="R392" s="237" cm="1">
        <f t="array" ref="R39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115.27422</v>
      </c>
      <c r="S392" s="238" cm="1">
        <f t="array" ref="S39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101.57425000000001</v>
      </c>
      <c r="T392" s="238" cm="1">
        <f t="array" ref="T39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35.425750000000001</v>
      </c>
      <c r="U392" s="41" t="str" cm="1">
        <f t="array" ref="U39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111.84290 and 114.82290</v>
      </c>
      <c r="V392" s="22"/>
    </row>
    <row r="393" spans="10:22" x14ac:dyDescent="0.15">
      <c r="J393" s="190" t="s">
        <v>235</v>
      </c>
      <c r="K393" s="127" t="s">
        <v>52</v>
      </c>
      <c r="L393" s="208">
        <v>132</v>
      </c>
      <c r="M393" s="237">
        <f>_xlfn.LET(
  _xlpm.analyte, SensorLab[[#This Row],[Analyte]],
  _xlpm.raw, N(SensorLab[[#This Row],[Raw_Value]]),
  _xlpm.scaleF, IFERROR(
    _xlfn.XLOOKUP(_xlpm.analyte, CalibrationCoefficients[Analyte], CalibrationCoefficients[ScaleFactor]),
    1
  ),
  IF(AND(_xlpm.analyte&lt;&gt;"", ISNUMBER(_xlpm.raw)), _xlpm.raw * _xlpm.scaleF, "NA")
)</f>
        <v>0.13200000000000001</v>
      </c>
      <c r="N393" s="41"/>
      <c r="O393" s="41">
        <v>0.97</v>
      </c>
      <c r="P393" s="41"/>
      <c r="Q393" s="208" cm="1">
        <f t="array" ref="Q393">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0.97</v>
      </c>
      <c r="R393" s="237" cm="1">
        <f t="array" ref="R39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1.00223</v>
      </c>
      <c r="S393" s="238" cm="1">
        <f t="array" ref="S39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0.97</v>
      </c>
      <c r="T393" s="238" cm="1">
        <f t="array" ref="T39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393" s="41" t="str" cm="1">
        <f t="array" ref="U39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1.00159 and 1.10159</v>
      </c>
      <c r="V393" s="22"/>
    </row>
    <row r="394" spans="10:22" x14ac:dyDescent="0.15">
      <c r="J394" s="190" t="s">
        <v>235</v>
      </c>
      <c r="K394" s="127" t="s">
        <v>34</v>
      </c>
      <c r="L394" s="208">
        <v>88</v>
      </c>
      <c r="M394" s="237">
        <f>_xlfn.LET(
  _xlpm.analyte, SensorLab[[#This Row],[Analyte]],
  _xlpm.raw, N(SensorLab[[#This Row],[Raw_Value]]),
  _xlpm.scaleF, IFERROR(
    _xlfn.XLOOKUP(_xlpm.analyte, CalibrationCoefficients[Analyte], CalibrationCoefficients[ScaleFactor]),
    1
  ),
  IF(AND(_xlpm.analyte&lt;&gt;"", ISNUMBER(_xlpm.raw)), _xlpm.raw * _xlpm.scaleF, "NA")
)</f>
        <v>8.8000000000000007</v>
      </c>
      <c r="N394" s="41"/>
      <c r="O394" s="41">
        <v>7.64</v>
      </c>
      <c r="P394" s="41"/>
      <c r="Q394" s="208" cm="1">
        <f t="array" ref="Q39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7.64</v>
      </c>
      <c r="R394" s="237" cm="1">
        <f t="array" ref="R39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7.82151</v>
      </c>
      <c r="S394" s="238" cm="1">
        <f t="array" ref="S39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7.7885999999999997</v>
      </c>
      <c r="T394" s="238" cm="1">
        <f t="array" ref="T39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-0.14860000000000001</v>
      </c>
      <c r="U394" s="41" t="str" cm="1">
        <f t="array" ref="U39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-0.14860)</v>
      </c>
      <c r="V394" s="22"/>
    </row>
    <row r="395" spans="10:22" x14ac:dyDescent="0.15">
      <c r="J395" s="190" t="s">
        <v>235</v>
      </c>
      <c r="K395" s="127" t="s">
        <v>90</v>
      </c>
      <c r="L395" s="208">
        <v>206</v>
      </c>
      <c r="M395" s="237">
        <f>_xlfn.LET(
  _xlpm.analyte, SensorLab[[#This Row],[Analyte]],
  _xlpm.raw, N(SensorLab[[#This Row],[Raw_Value]]),
  _xlpm.scaleF, IFERROR(
    _xlfn.XLOOKUP(_xlpm.analyte, CalibrationCoefficients[Analyte], CalibrationCoefficients[ScaleFactor]),
    1
  ),
  IF(AND(_xlpm.analyte&lt;&gt;"", ISNUMBER(_xlpm.raw)), _xlpm.raw * _xlpm.scaleF, "NA")
)</f>
        <v>20.6</v>
      </c>
      <c r="N395" s="41"/>
      <c r="O395" s="41">
        <v>20.6</v>
      </c>
      <c r="P395" s="41"/>
      <c r="Q395" s="208" cm="1">
        <f t="array" ref="Q395">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20.6</v>
      </c>
      <c r="R395" s="237" cm="1">
        <f t="array" ref="R39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20.723320000000001</v>
      </c>
      <c r="S395" s="238" cm="1">
        <f t="array" ref="S39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20.68674</v>
      </c>
      <c r="T395" s="238" cm="1">
        <f t="array" ref="T39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-3.3132599999999996</v>
      </c>
      <c r="U395" s="41" t="str" cm="1">
        <f t="array" ref="U39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20.55269 and 20.64731</v>
      </c>
      <c r="V395" s="22"/>
    </row>
    <row r="396" spans="10:22" x14ac:dyDescent="0.15">
      <c r="J396" s="190" t="s">
        <v>235</v>
      </c>
      <c r="K396" s="191" t="s">
        <v>43</v>
      </c>
      <c r="L396" s="208">
        <v>219</v>
      </c>
      <c r="M396" s="237">
        <f>_xlfn.LET(
  _xlpm.analyte, SensorLab[[#This Row],[Analyte]],
  _xlpm.raw, N(SensorLab[[#This Row],[Raw_Value]]),
  _xlpm.scaleF, IFERROR(
    _xlfn.XLOOKUP(_xlpm.analyte, CalibrationCoefficients[Analyte], CalibrationCoefficients[ScaleFactor]),
    1
  ),
  IF(AND(_xlpm.analyte&lt;&gt;"", ISNUMBER(_xlpm.raw)), _xlpm.raw * _xlpm.scaleF, "NA")
)</f>
        <v>21.900000000000002</v>
      </c>
      <c r="N396" s="41"/>
      <c r="O396" s="41">
        <v>21.9</v>
      </c>
      <c r="P396" s="41"/>
      <c r="Q396" s="208" cm="1">
        <f t="array" ref="Q39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21.9</v>
      </c>
      <c r="R396" s="237" cm="1">
        <f t="array" ref="R39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21.886389999999999</v>
      </c>
      <c r="S396" s="238" cm="1">
        <f t="array" ref="S39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21.899799999999999</v>
      </c>
      <c r="T396" s="238" cm="1">
        <f t="array" ref="T39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2.0000000000000001E-4</v>
      </c>
      <c r="U396" s="41" t="str" cm="1">
        <f t="array" ref="U39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21.90000 and 21.90000</v>
      </c>
      <c r="V396" s="22"/>
    </row>
    <row r="397" spans="10:22" x14ac:dyDescent="0.15">
      <c r="J397" s="190" t="s">
        <v>235</v>
      </c>
      <c r="K397" s="191" t="s">
        <v>45</v>
      </c>
      <c r="L397" s="208">
        <v>5.1999999999999995E-4</v>
      </c>
      <c r="M397" s="237">
        <f>_xlfn.LET(
  _xlpm.analyte, SensorLab[[#This Row],[Analyte]],
  _xlpm.raw, N(SensorLab[[#This Row],[Raw_Value]]),
  _xlpm.scaleF, IFERROR(
    _xlfn.XLOOKUP(_xlpm.analyte, CalibrationCoefficients[Analyte], CalibrationCoefficients[ScaleFactor]),
    1
  ),
  IF(AND(_xlpm.analyte&lt;&gt;"", ISNUMBER(_xlpm.raw)), _xlpm.raw * _xlpm.scaleF, "NA")
)</f>
        <v>5.1999999999999995E-4</v>
      </c>
      <c r="N397" s="41"/>
      <c r="O397" s="41">
        <v>0.28999999999999998</v>
      </c>
      <c r="P397" s="41"/>
      <c r="Q397" s="208" cm="1">
        <f t="array" ref="Q397">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0.28999999999999998</v>
      </c>
      <c r="R397" s="237" cm="1">
        <f t="array" ref="R39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0.60409999999999997</v>
      </c>
      <c r="S397" s="238" cm="1">
        <f t="array" ref="S39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0.6</v>
      </c>
      <c r="T397" s="238" cm="1">
        <f t="array" ref="T39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-0.31</v>
      </c>
      <c r="U397" s="41" t="str" cm="1">
        <f t="array" ref="U39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0.16258 and 0.41742</v>
      </c>
      <c r="V397" s="22"/>
    </row>
    <row r="398" spans="10:22" x14ac:dyDescent="0.15">
      <c r="J398" s="190" t="s">
        <v>235</v>
      </c>
      <c r="K398" s="127" t="s">
        <v>0</v>
      </c>
      <c r="L398" s="208">
        <v>50.75</v>
      </c>
      <c r="M398" s="237">
        <f>_xlfn.LET(
  _xlpm.analyte, SensorLab[[#This Row],[Analyte]],
  _xlpm.raw, N(SensorLab[[#This Row],[Raw_Value]]),
  _xlpm.scaleF, IFERROR(
    _xlfn.XLOOKUP(_xlpm.analyte, CalibrationCoefficients[Analyte], CalibrationCoefficients[ScaleFactor]),
    1
  ),
  IF(AND(_xlpm.analyte&lt;&gt;"", ISNUMBER(_xlpm.raw)), _xlpm.raw * _xlpm.scaleF, "NA")
)</f>
        <v>50.75</v>
      </c>
      <c r="N398" s="41"/>
      <c r="O398" s="41">
        <v>45</v>
      </c>
      <c r="P398" s="41"/>
      <c r="Q398" s="208" cm="1">
        <f t="array" ref="Q39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45</v>
      </c>
      <c r="R398" s="237" cm="1">
        <f t="array" ref="R39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45</v>
      </c>
      <c r="S398" s="238" cm="1">
        <f t="array" ref="S39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45</v>
      </c>
      <c r="T398" s="238" cm="1">
        <f t="array" ref="T39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398" s="41" t="str" cm="1">
        <f t="array" ref="U39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398" s="22"/>
    </row>
    <row r="399" spans="10:22" x14ac:dyDescent="0.15">
      <c r="J399" s="190" t="s">
        <v>235</v>
      </c>
      <c r="K399" s="127" t="s">
        <v>5</v>
      </c>
      <c r="L399" s="208">
        <v>34.1</v>
      </c>
      <c r="M399" s="237">
        <f>_xlfn.LET(
  _xlpm.analyte, SensorLab[[#This Row],[Analyte]],
  _xlpm.raw, N(SensorLab[[#This Row],[Raw_Value]]),
  _xlpm.scaleF, IFERROR(
    _xlfn.XLOOKUP(_xlpm.analyte, CalibrationCoefficients[Analyte], CalibrationCoefficients[ScaleFactor]),
    1
  ),
  IF(AND(_xlpm.analyte&lt;&gt;"", ISNUMBER(_xlpm.raw)), _xlpm.raw * _xlpm.scaleF, "NA")
)</f>
        <v>34.1</v>
      </c>
      <c r="N399" s="41"/>
      <c r="O399" s="41">
        <v>32.5</v>
      </c>
      <c r="P399" s="41"/>
      <c r="Q399" s="208" cm="1">
        <f t="array" ref="Q399">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32.5</v>
      </c>
      <c r="R399" s="237" cm="1">
        <f t="array" ref="R39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32.5</v>
      </c>
      <c r="S399" s="238" cm="1">
        <f t="array" ref="S39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32.5</v>
      </c>
      <c r="T399" s="238" cm="1">
        <f t="array" ref="T39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399" s="41" t="str" cm="1">
        <f t="array" ref="U39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399" s="22"/>
    </row>
    <row r="400" spans="10:22" x14ac:dyDescent="0.15">
      <c r="J400" s="190" t="s">
        <v>235</v>
      </c>
      <c r="K400" s="127" t="s">
        <v>6</v>
      </c>
      <c r="L400" s="208">
        <v>15.15</v>
      </c>
      <c r="M400" s="237">
        <f>_xlfn.LET(
  _xlpm.analyte, SensorLab[[#This Row],[Analyte]],
  _xlpm.raw, N(SensorLab[[#This Row],[Raw_Value]]),
  _xlpm.scaleF, IFERROR(
    _xlfn.XLOOKUP(_xlpm.analyte, CalibrationCoefficients[Analyte], CalibrationCoefficients[ScaleFactor]),
    1
  ),
  IF(AND(_xlpm.analyte&lt;&gt;"", ISNUMBER(_xlpm.raw)), _xlpm.raw * _xlpm.scaleF, "NA")
)</f>
        <v>15.15</v>
      </c>
      <c r="N400" s="41"/>
      <c r="O400" s="41">
        <v>22.5</v>
      </c>
      <c r="P400" s="41"/>
      <c r="Q400" s="208" cm="1">
        <f t="array" ref="Q40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22.5</v>
      </c>
      <c r="R400" s="237" cm="1">
        <f t="array" ref="R40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22.5</v>
      </c>
      <c r="S400" s="238" cm="1">
        <f t="array" ref="S40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22.5</v>
      </c>
      <c r="T400" s="238" cm="1">
        <f t="array" ref="T40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400" s="41" t="str" cm="1">
        <f t="array" ref="U40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22.50000 and 21.40081</v>
      </c>
      <c r="V400" s="22"/>
    </row>
    <row r="401" spans="10:22" ht="11.25" thickBot="1" x14ac:dyDescent="0.2">
      <c r="J401" s="190" t="s">
        <v>235</v>
      </c>
      <c r="K401" s="193" t="s">
        <v>69</v>
      </c>
      <c r="L401" s="255" t="str" cm="1">
        <f t="array" ref="L401">_xlfn.LET(
  _xlpm.bs,L398, _xlpm.si,L399, _xlpm.c,L400,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M401" s="256" t="str" cm="1">
        <f t="array" ref="M401">_xlfn.LET(
  _xlpm.bs,M398, _xlpm.si,M399, _xlpm.c,M400,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N401" s="245" t="str" cm="1">
        <f t="array" ref="N401">_xlfn.LET(
  _xlpm.bs,N398, _xlpm.si,N399, _xlpm.c,N400,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401" s="245" t="str" cm="1">
        <f t="array" ref="O401">_xlfn.LET(
  _xlpm.bs,O398, _xlpm.si,O399, _xlpm.c,O400,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P401" s="245" t="str" cm="1">
        <f t="array" ref="P401">_xlfn.LET(
  _xlpm.bs,P398, _xlpm.si,P399, _xlpm.c,P400,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401" s="255" t="str" cm="1">
        <f t="array" ref="Q401">_xlfn.LET(
  _xlpm.bs,Q398, _xlpm.si,Q399, _xlpm.c,Q400,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R401" s="256" t="str" cm="1">
        <f t="array" ref="R401">_xlfn.LET(
  _xlpm.bs,R398, _xlpm.si,R399, _xlpm.c,R400,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S401" s="256" t="str" cm="1">
        <f t="array" ref="S401">_xlfn.LET(
  _xlpm.bs,S398, _xlpm.si,S399, _xlpm.c,S400,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T401" s="240" cm="1">
        <f t="array" ref="T40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401" s="229" t="str" cm="1">
        <f t="array" ref="U40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(Texture match: Loam)</v>
      </c>
      <c r="V401" s="22"/>
    </row>
    <row r="402" spans="10:22" x14ac:dyDescent="0.15">
      <c r="J402" s="188" t="s">
        <v>212</v>
      </c>
      <c r="K402" s="189" t="s">
        <v>39</v>
      </c>
      <c r="L402" s="207">
        <v>0</v>
      </c>
      <c r="M402" s="239">
        <f>_xlfn.LET(
  _xlpm.analyte, SensorLab[[#This Row],[Analyte]],
  _xlpm.raw, N(SensorLab[[#This Row],[Raw_Value]]),
  _xlpm.scaleF, IFERROR(
    _xlfn.XLOOKUP(_xlpm.analyte, CalibrationCoefficients[Analyte], CalibrationCoefficients[ScaleFactor]),
    1
  ),
  IF(AND(_xlpm.analyte&lt;&gt;"", ISNUMBER(_xlpm.raw)), _xlpm.raw * _xlpm.scaleF, "NA")
)</f>
        <v>0</v>
      </c>
      <c r="N402" s="228"/>
      <c r="O402" s="228"/>
      <c r="P402" s="228">
        <v>2</v>
      </c>
      <c r="Q402" s="207" cm="1">
        <f t="array" ref="Q40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v>
      </c>
      <c r="R402" s="239" cm="1">
        <f t="array" ref="R40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0.44663000000000003</v>
      </c>
      <c r="S402" s="241" cm="1">
        <f t="array" ref="S40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v>
      </c>
      <c r="T402" s="241" cm="1">
        <f t="array" ref="T40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-6</v>
      </c>
      <c r="U402" s="228" t="str" cm="1">
        <f t="array" ref="U40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1.17402 and 0.44663</v>
      </c>
      <c r="V402" s="22"/>
    </row>
    <row r="403" spans="10:22" x14ac:dyDescent="0.15">
      <c r="J403" s="190" t="s">
        <v>212</v>
      </c>
      <c r="K403" s="191" t="s">
        <v>40</v>
      </c>
      <c r="L403" s="208">
        <v>0</v>
      </c>
      <c r="M403"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403" s="41"/>
      <c r="O403" s="41"/>
      <c r="P403" s="41">
        <v>17</v>
      </c>
      <c r="Q403" s="208" cm="1">
        <f t="array" ref="Q403">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17</v>
      </c>
      <c r="R403" s="237" cm="1">
        <f t="array" ref="R40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5.3140400000000003</v>
      </c>
      <c r="S403" s="238" cm="1">
        <f t="array" ref="S40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4.1240100000000002</v>
      </c>
      <c r="T403" s="238" cm="1">
        <f t="array" ref="T40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-0.87598999999999982</v>
      </c>
      <c r="U403" s="41" t="str" cm="1">
        <f t="array" ref="U40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11.64899 and 6.82934</v>
      </c>
      <c r="V403" s="22"/>
    </row>
    <row r="404" spans="10:22" x14ac:dyDescent="0.15">
      <c r="J404" s="190" t="s">
        <v>212</v>
      </c>
      <c r="K404" s="191" t="s">
        <v>41</v>
      </c>
      <c r="L404" s="208">
        <v>0</v>
      </c>
      <c r="M404"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404" s="41"/>
      <c r="O404" s="41"/>
      <c r="P404" s="41">
        <v>125</v>
      </c>
      <c r="Q404" s="208" cm="1">
        <f t="array" ref="Q40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125</v>
      </c>
      <c r="R404" s="237" cm="1">
        <f t="array" ref="R40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111.50391999999999</v>
      </c>
      <c r="S404" s="238" cm="1">
        <f t="array" ref="S40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97.80395</v>
      </c>
      <c r="T404" s="238" cm="1">
        <f t="array" ref="T40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27.19605</v>
      </c>
      <c r="U404" s="41" t="str" cm="1">
        <f t="array" ref="U40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107.71054 and 110.69054</v>
      </c>
      <c r="V404" s="22"/>
    </row>
    <row r="405" spans="10:22" x14ac:dyDescent="0.15">
      <c r="J405" s="190" t="s">
        <v>212</v>
      </c>
      <c r="K405" s="127" t="s">
        <v>52</v>
      </c>
      <c r="L405" s="208">
        <v>79</v>
      </c>
      <c r="M405" s="237">
        <f>_xlfn.LET(
  _xlpm.analyte, SensorLab[[#This Row],[Analyte]],
  _xlpm.raw, N(SensorLab[[#This Row],[Raw_Value]]),
  _xlpm.scaleF, IFERROR(
    _xlfn.XLOOKUP(_xlpm.analyte, CalibrationCoefficients[Analyte], CalibrationCoefficients[ScaleFactor]),
    1
  ),
  IF(AND(_xlpm.analyte&lt;&gt;"", ISNUMBER(_xlpm.raw)), _xlpm.raw * _xlpm.scaleF, "NA")
)</f>
        <v>7.9000000000000001E-2</v>
      </c>
      <c r="N405" s="41"/>
      <c r="O405" s="41"/>
      <c r="P405" s="41">
        <v>0.93</v>
      </c>
      <c r="Q405" s="208" cm="1">
        <f t="array" ref="Q405">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0.93</v>
      </c>
      <c r="R405" s="237" cm="1">
        <f t="array" ref="R40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0.96750000000000003</v>
      </c>
      <c r="S405" s="238" cm="1">
        <f t="array" ref="S40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0.93527000000000005</v>
      </c>
      <c r="T405" s="238" cm="1">
        <f t="array" ref="T40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-5.2700000000000004E-3</v>
      </c>
      <c r="U405" s="41" t="str" cm="1">
        <f t="array" ref="U40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0.99014 and 1.09014</v>
      </c>
      <c r="V405" s="22"/>
    </row>
    <row r="406" spans="10:22" x14ac:dyDescent="0.15">
      <c r="J406" s="190" t="s">
        <v>212</v>
      </c>
      <c r="K406" s="127" t="s">
        <v>34</v>
      </c>
      <c r="L406" s="208">
        <v>77</v>
      </c>
      <c r="M406" s="237">
        <f>_xlfn.LET(
  _xlpm.analyte, SensorLab[[#This Row],[Analyte]],
  _xlpm.raw, N(SensorLab[[#This Row],[Raw_Value]]),
  _xlpm.scaleF, IFERROR(
    _xlfn.XLOOKUP(_xlpm.analyte, CalibrationCoefficients[Analyte], CalibrationCoefficients[ScaleFactor]),
    1
  ),
  IF(AND(_xlpm.analyte&lt;&gt;"", ISNUMBER(_xlpm.raw)), _xlpm.raw * _xlpm.scaleF, "NA")
)</f>
        <v>7.7</v>
      </c>
      <c r="N406" s="41"/>
      <c r="O406" s="41"/>
      <c r="P406" s="41">
        <v>8.1999999999999993</v>
      </c>
      <c r="Q406" s="208" cm="1">
        <f t="array" ref="Q40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8.1999999999999993</v>
      </c>
      <c r="R406" s="237" cm="1">
        <f t="array" ref="R40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7.8717800000000002</v>
      </c>
      <c r="S406" s="238" cm="1">
        <f t="array" ref="S40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7.83887</v>
      </c>
      <c r="T406" s="238" cm="1">
        <f t="array" ref="T40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0.36113000000000001</v>
      </c>
      <c r="U406" s="41" t="str" cm="1">
        <f t="array" ref="U40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7.88230 and 7.98243</v>
      </c>
      <c r="V406" s="22"/>
    </row>
    <row r="407" spans="10:22" x14ac:dyDescent="0.15">
      <c r="J407" s="190" t="s">
        <v>212</v>
      </c>
      <c r="K407" s="127" t="s">
        <v>90</v>
      </c>
      <c r="L407" s="208">
        <v>217</v>
      </c>
      <c r="M407" s="237">
        <f>_xlfn.LET(
  _xlpm.analyte, SensorLab[[#This Row],[Analyte]],
  _xlpm.raw, N(SensorLab[[#This Row],[Raw_Value]]),
  _xlpm.scaleF, IFERROR(
    _xlfn.XLOOKUP(_xlpm.analyte, CalibrationCoefficients[Analyte], CalibrationCoefficients[ScaleFactor]),
    1
  ),
  IF(AND(_xlpm.analyte&lt;&gt;"", ISNUMBER(_xlpm.raw)), _xlpm.raw * _xlpm.scaleF, "NA")
)</f>
        <v>21.700000000000003</v>
      </c>
      <c r="N407" s="41"/>
      <c r="O407" s="41"/>
      <c r="P407" s="41">
        <v>21.7</v>
      </c>
      <c r="Q407" s="208" cm="1">
        <f t="array" ref="Q407">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21.7</v>
      </c>
      <c r="R407" s="237" cm="1">
        <f t="array" ref="R40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21.846039999999999</v>
      </c>
      <c r="S407" s="238" cm="1">
        <f t="array" ref="S40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21.809460000000001</v>
      </c>
      <c r="T407" s="238" cm="1">
        <f t="array" ref="T40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-2.1905399999999986</v>
      </c>
      <c r="U407" s="41" t="str" cm="1">
        <f t="array" ref="U40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21.65269 and 21.74731</v>
      </c>
      <c r="V407" s="22"/>
    </row>
    <row r="408" spans="10:22" x14ac:dyDescent="0.15">
      <c r="J408" s="190" t="s">
        <v>212</v>
      </c>
      <c r="K408" s="191" t="s">
        <v>43</v>
      </c>
      <c r="L408" s="208">
        <v>177</v>
      </c>
      <c r="M408" s="237">
        <f>_xlfn.LET(
  _xlpm.analyte, SensorLab[[#This Row],[Analyte]],
  _xlpm.raw, N(SensorLab[[#This Row],[Raw_Value]]),
  _xlpm.scaleF, IFERROR(
    _xlfn.XLOOKUP(_xlpm.analyte, CalibrationCoefficients[Analyte], CalibrationCoefficients[ScaleFactor]),
    1
  ),
  IF(AND(_xlpm.analyte&lt;&gt;"", ISNUMBER(_xlpm.raw)), _xlpm.raw * _xlpm.scaleF, "NA")
)</f>
        <v>17.7</v>
      </c>
      <c r="N408" s="41"/>
      <c r="O408" s="41"/>
      <c r="P408" s="41">
        <v>17.7</v>
      </c>
      <c r="Q408" s="208" cm="1">
        <f t="array" ref="Q40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17.7</v>
      </c>
      <c r="R408" s="237" cm="1">
        <f t="array" ref="R40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17.68534</v>
      </c>
      <c r="S408" s="238" cm="1">
        <f t="array" ref="S40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17.69875</v>
      </c>
      <c r="T408" s="238" cm="1">
        <f t="array" ref="T40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1.25E-3</v>
      </c>
      <c r="U408" s="41" t="str" cm="1">
        <f t="array" ref="U40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17.70000 and 17.70000</v>
      </c>
      <c r="V408" s="22"/>
    </row>
    <row r="409" spans="10:22" x14ac:dyDescent="0.15">
      <c r="J409" s="190" t="s">
        <v>212</v>
      </c>
      <c r="K409" s="191" t="s">
        <v>45</v>
      </c>
      <c r="L409" s="208">
        <v>5.1999999999999995E-4</v>
      </c>
      <c r="M409" s="237">
        <f>_xlfn.LET(
  _xlpm.analyte, SensorLab[[#This Row],[Analyte]],
  _xlpm.raw, N(SensorLab[[#This Row],[Raw_Value]]),
  _xlpm.scaleF, IFERROR(
    _xlfn.XLOOKUP(_xlpm.analyte, CalibrationCoefficients[Analyte], CalibrationCoefficients[ScaleFactor]),
    1
  ),
  IF(AND(_xlpm.analyte&lt;&gt;"", ISNUMBER(_xlpm.raw)), _xlpm.raw * _xlpm.scaleF, "NA")
)</f>
        <v>5.1999999999999995E-4</v>
      </c>
      <c r="N409" s="41"/>
      <c r="O409" s="41"/>
      <c r="P409" s="41">
        <v>0.82</v>
      </c>
      <c r="Q409" s="208" cm="1">
        <f t="array" ref="Q409">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0.82</v>
      </c>
      <c r="R409" s="237" cm="1">
        <f t="array" ref="R40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0.60409999999999997</v>
      </c>
      <c r="S409" s="238" cm="1">
        <f t="array" ref="S40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0.6</v>
      </c>
      <c r="T409" s="238" cm="1">
        <f t="array" ref="T40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0.22</v>
      </c>
      <c r="U409" s="41" t="str" cm="1">
        <f t="array" ref="U40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0.22000)</v>
      </c>
      <c r="V409" s="22"/>
    </row>
    <row r="410" spans="10:22" x14ac:dyDescent="0.15">
      <c r="J410" s="190" t="s">
        <v>212</v>
      </c>
      <c r="K410" s="127" t="s">
        <v>0</v>
      </c>
      <c r="L410" s="208">
        <v>50.77</v>
      </c>
      <c r="M410" s="237">
        <f>_xlfn.LET(
  _xlpm.analyte, SensorLab[[#This Row],[Analyte]],
  _xlpm.raw, N(SensorLab[[#This Row],[Raw_Value]]),
  _xlpm.scaleF, IFERROR(
    _xlfn.XLOOKUP(_xlpm.analyte, CalibrationCoefficients[Analyte], CalibrationCoefficients[ScaleFactor]),
    1
  ),
  IF(AND(_xlpm.analyte&lt;&gt;"", ISNUMBER(_xlpm.raw)), _xlpm.raw * _xlpm.scaleF, "NA")
)</f>
        <v>50.77</v>
      </c>
      <c r="N410" s="41"/>
      <c r="O410" s="41"/>
      <c r="P410" s="41">
        <v>40</v>
      </c>
      <c r="Q410" s="208" cm="1">
        <f t="array" ref="Q41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40</v>
      </c>
      <c r="R410" s="237" cm="1">
        <f t="array" ref="R41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40</v>
      </c>
      <c r="S410" s="238" cm="1">
        <f t="array" ref="S41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40</v>
      </c>
      <c r="T410" s="238" cm="1">
        <f t="array" ref="T41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410" s="41" t="str" cm="1">
        <f t="array" ref="U41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410" s="22"/>
    </row>
    <row r="411" spans="10:22" x14ac:dyDescent="0.15">
      <c r="J411" s="190" t="s">
        <v>212</v>
      </c>
      <c r="K411" s="127" t="s">
        <v>5</v>
      </c>
      <c r="L411" s="208">
        <v>34.090000000000003</v>
      </c>
      <c r="M411" s="237">
        <f>_xlfn.LET(
  _xlpm.analyte, SensorLab[[#This Row],[Analyte]],
  _xlpm.raw, N(SensorLab[[#This Row],[Raw_Value]]),
  _xlpm.scaleF, IFERROR(
    _xlfn.XLOOKUP(_xlpm.analyte, CalibrationCoefficients[Analyte], CalibrationCoefficients[ScaleFactor]),
    1
  ),
  IF(AND(_xlpm.analyte&lt;&gt;"", ISNUMBER(_xlpm.raw)), _xlpm.raw * _xlpm.scaleF, "NA")
)</f>
        <v>34.090000000000003</v>
      </c>
      <c r="N411" s="41"/>
      <c r="O411" s="41"/>
      <c r="P411" s="41">
        <v>40</v>
      </c>
      <c r="Q411" s="208" cm="1">
        <f t="array" ref="Q411">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40</v>
      </c>
      <c r="R411" s="237" cm="1">
        <f t="array" ref="R41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40</v>
      </c>
      <c r="S411" s="238" cm="1">
        <f t="array" ref="S41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40</v>
      </c>
      <c r="T411" s="238" cm="1">
        <f t="array" ref="T41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411" s="41" t="str" cm="1">
        <f t="array" ref="U41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411" s="22"/>
    </row>
    <row r="412" spans="10:22" x14ac:dyDescent="0.15">
      <c r="J412" s="190" t="s">
        <v>212</v>
      </c>
      <c r="K412" s="127" t="s">
        <v>6</v>
      </c>
      <c r="L412" s="208">
        <v>15.14</v>
      </c>
      <c r="M412" s="237">
        <f>_xlfn.LET(
  _xlpm.analyte, SensorLab[[#This Row],[Analyte]],
  _xlpm.raw, N(SensorLab[[#This Row],[Raw_Value]]),
  _xlpm.scaleF, IFERROR(
    _xlfn.XLOOKUP(_xlpm.analyte, CalibrationCoefficients[Analyte], CalibrationCoefficients[ScaleFactor]),
    1
  ),
  IF(AND(_xlpm.analyte&lt;&gt;"", ISNUMBER(_xlpm.raw)), _xlpm.raw * _xlpm.scaleF, "NA")
)</f>
        <v>15.14</v>
      </c>
      <c r="N412" s="41"/>
      <c r="O412" s="41"/>
      <c r="P412" s="41">
        <v>20</v>
      </c>
      <c r="Q412" s="208" cm="1">
        <f t="array" ref="Q41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20</v>
      </c>
      <c r="R412" s="237" cm="1">
        <f t="array" ref="R41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20</v>
      </c>
      <c r="S412" s="238" cm="1">
        <f t="array" ref="S41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20</v>
      </c>
      <c r="T412" s="238" cm="1">
        <f t="array" ref="T41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412" s="41" t="str" cm="1">
        <f t="array" ref="U41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412" s="22"/>
    </row>
    <row r="413" spans="10:22" ht="11.25" thickBot="1" x14ac:dyDescent="0.2">
      <c r="J413" s="190" t="s">
        <v>212</v>
      </c>
      <c r="K413" s="193" t="s">
        <v>69</v>
      </c>
      <c r="L413" s="255" t="str" cm="1">
        <f t="array" ref="L413">_xlfn.LET(
  _xlpm.bs,L410, _xlpm.si,L411, _xlpm.c,L412,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M413" s="256" t="str" cm="1">
        <f t="array" ref="M413">_xlfn.LET(
  _xlpm.bs,M410, _xlpm.si,M411, _xlpm.c,M412,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N413" s="245" t="str" cm="1">
        <f t="array" ref="N413">_xlfn.LET(
  _xlpm.bs,N410, _xlpm.si,N411, _xlpm.c,N412,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413" s="245" t="str" cm="1">
        <f t="array" ref="O413">_xlfn.LET(
  _xlpm.bs,O410, _xlpm.si,O411, _xlpm.c,O412,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P413" s="245" t="str" cm="1">
        <f t="array" ref="P413">_xlfn.LET(
  _xlpm.bs,P410, _xlpm.si,P411, _xlpm.c,P412,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Q413" s="255" t="str" cm="1">
        <f t="array" ref="Q413">_xlfn.LET(
  _xlpm.bs,Q410, _xlpm.si,Q411, _xlpm.c,Q412,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R413" s="256" t="str" cm="1">
        <f t="array" ref="R413">_xlfn.LET(
  _xlpm.bs,R410, _xlpm.si,R411, _xlpm.c,R412,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S413" s="256" t="str" cm="1">
        <f t="array" ref="S413">_xlfn.LET(
  _xlpm.bs,S410, _xlpm.si,S411, _xlpm.c,S412,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T413" s="240" cm="1">
        <f t="array" ref="T41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413" s="229" t="str" cm="1">
        <f t="array" ref="U41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(Texture match: Loam)</v>
      </c>
      <c r="V413" s="22"/>
    </row>
    <row r="414" spans="10:22" x14ac:dyDescent="0.15">
      <c r="J414" s="188" t="s">
        <v>299</v>
      </c>
      <c r="K414" s="189" t="s">
        <v>39</v>
      </c>
      <c r="L414" s="254">
        <v>92</v>
      </c>
      <c r="M414" s="239">
        <f>_xlfn.LET(
  _xlpm.analyte, SensorLab[[#This Row],[Analyte]],
  _xlpm.raw, N(SensorLab[[#This Row],[Raw_Value]]),
  _xlpm.scaleF, IFERROR(
    _xlfn.XLOOKUP(_xlpm.analyte, CalibrationCoefficients[Analyte], CalibrationCoefficients[ScaleFactor]),
    1
  ),
  IF(AND(_xlpm.analyte&lt;&gt;"", ISNUMBER(_xlpm.raw)), _xlpm.raw * _xlpm.scaleF, "NA")
)</f>
        <v>92</v>
      </c>
      <c r="N414" s="227"/>
      <c r="O414" s="228"/>
      <c r="P414" s="228"/>
      <c r="Q414" s="207"/>
      <c r="R414" s="239" cm="1">
        <f t="array" ref="R41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13.361359999999999</v>
      </c>
      <c r="S414" s="241" cm="1">
        <f t="array" ref="S41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14.91473</v>
      </c>
      <c r="T414" s="241" cm="1">
        <f t="array" ref="T41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-14.91473</v>
      </c>
      <c r="U414" s="228" t="str" cm="1">
        <f t="array" ref="U41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13.36136 and 0.00000</v>
      </c>
      <c r="V414" s="22"/>
    </row>
    <row r="415" spans="10:22" x14ac:dyDescent="0.15">
      <c r="J415" s="190" t="s">
        <v>299</v>
      </c>
      <c r="K415" s="191" t="s">
        <v>40</v>
      </c>
      <c r="L415" s="220">
        <v>258</v>
      </c>
      <c r="M415" s="237">
        <f>_xlfn.LET(
  _xlpm.analyte, SensorLab[[#This Row],[Analyte]],
  _xlpm.raw, N(SensorLab[[#This Row],[Raw_Value]]),
  _xlpm.scaleF, IFERROR(
    _xlfn.XLOOKUP(_xlpm.analyte, CalibrationCoefficients[Analyte], CalibrationCoefficients[ScaleFactor]),
    1
  ),
  IF(AND(_xlpm.analyte&lt;&gt;"", ISNUMBER(_xlpm.raw)), _xlpm.raw * _xlpm.scaleF, "NA")
)</f>
        <v>258</v>
      </c>
      <c r="N415" s="194"/>
      <c r="O415" s="41"/>
      <c r="P415" s="41"/>
      <c r="Q415" s="208"/>
      <c r="R415" s="237" cm="1">
        <f t="array" ref="R41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11.76925</v>
      </c>
      <c r="S415" s="238" cm="1">
        <f t="array" ref="S41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10.579219999999999</v>
      </c>
      <c r="T415" s="238" cm="1">
        <f t="array" ref="T41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-10.579219999999999</v>
      </c>
      <c r="U415" s="41" t="str" cm="1">
        <f t="array" ref="U41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9.22838 and 0.00000</v>
      </c>
      <c r="V415" s="22"/>
    </row>
    <row r="416" spans="10:22" x14ac:dyDescent="0.15">
      <c r="J416" s="190" t="s">
        <v>299</v>
      </c>
      <c r="K416" s="191" t="s">
        <v>41</v>
      </c>
      <c r="L416" s="220">
        <v>252</v>
      </c>
      <c r="M416" s="237">
        <f>_xlfn.LET(
  _xlpm.analyte, SensorLab[[#This Row],[Analyte]],
  _xlpm.raw, N(SensorLab[[#This Row],[Raw_Value]]),
  _xlpm.scaleF, IFERROR(
    _xlfn.XLOOKUP(_xlpm.analyte, CalibrationCoefficients[Analyte], CalibrationCoefficients[ScaleFactor]),
    1
  ),
  IF(AND(_xlpm.analyte&lt;&gt;"", ISNUMBER(_xlpm.raw)), _xlpm.raw * _xlpm.scaleF, "NA")
)</f>
        <v>252</v>
      </c>
      <c r="N416" s="194"/>
      <c r="O416" s="41"/>
      <c r="P416" s="41"/>
      <c r="Q416" s="208"/>
      <c r="R416" s="237" cm="1">
        <f t="array" ref="R41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190.68019000000001</v>
      </c>
      <c r="S416" s="238" cm="1">
        <f t="array" ref="S41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176.98022</v>
      </c>
      <c r="T416" s="238" cm="1">
        <f t="array" ref="T41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-176.98022</v>
      </c>
      <c r="U416" s="41" t="str" cm="1">
        <f t="array" ref="U41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194.49009 and 0.00000</v>
      </c>
      <c r="V416" s="22"/>
    </row>
    <row r="417" spans="10:22" x14ac:dyDescent="0.15">
      <c r="J417" s="190" t="s">
        <v>299</v>
      </c>
      <c r="K417" s="127" t="s">
        <v>52</v>
      </c>
      <c r="L417" s="220">
        <v>630</v>
      </c>
      <c r="M417" s="237">
        <f>_xlfn.LET(
  _xlpm.analyte, SensorLab[[#This Row],[Analyte]],
  _xlpm.raw, N(SensorLab[[#This Row],[Raw_Value]]),
  _xlpm.scaleF, IFERROR(
    _xlfn.XLOOKUP(_xlpm.analyte, CalibrationCoefficients[Analyte], CalibrationCoefficients[ScaleFactor]),
    1
  ),
  IF(AND(_xlpm.analyte&lt;&gt;"", ISNUMBER(_xlpm.raw)), _xlpm.raw * _xlpm.scaleF, "NA")
)</f>
        <v>0.63</v>
      </c>
      <c r="N417" s="194"/>
      <c r="O417" s="41"/>
      <c r="P417" s="41"/>
      <c r="Q417" s="208"/>
      <c r="R417" s="237" cm="1">
        <f t="array" ref="R41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1.3286</v>
      </c>
      <c r="S417" s="238" cm="1">
        <f t="array" ref="S41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1.29637</v>
      </c>
      <c r="T417" s="238" cm="1">
        <f t="array" ref="T41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-1.29637</v>
      </c>
      <c r="U417" s="41" t="str" cm="1">
        <f t="array" ref="U41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1.10918 and 0.00000</v>
      </c>
      <c r="V417" s="22"/>
    </row>
    <row r="418" spans="10:22" x14ac:dyDescent="0.15">
      <c r="J418" s="190" t="s">
        <v>299</v>
      </c>
      <c r="K418" s="127" t="s">
        <v>34</v>
      </c>
      <c r="L418" s="220">
        <v>680</v>
      </c>
      <c r="M418" s="237">
        <f>_xlfn.LET(
  _xlpm.analyte, SensorLab[[#This Row],[Analyte]],
  _xlpm.raw, N(SensorLab[[#This Row],[Raw_Value]]),
  _xlpm.scaleF, IFERROR(
    _xlfn.XLOOKUP(_xlpm.analyte, CalibrationCoefficients[Analyte], CalibrationCoefficients[ScaleFactor]),
    1
  ),
  IF(AND(_xlpm.analyte&lt;&gt;"", ISNUMBER(_xlpm.raw)), _xlpm.raw * _xlpm.scaleF, "NA")
)</f>
        <v>68</v>
      </c>
      <c r="N418" s="194"/>
      <c r="O418" s="41"/>
      <c r="P418" s="41"/>
      <c r="Q418" s="208"/>
      <c r="R418" s="237" cm="1">
        <f t="array" ref="R41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5.1160399999999999</v>
      </c>
      <c r="S418" s="238" cm="1">
        <f t="array" ref="S41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5.0831299999999997</v>
      </c>
      <c r="T418" s="238" cm="1">
        <f t="array" ref="T41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-0.4168700000000003</v>
      </c>
      <c r="U418" s="41" t="str" cm="1">
        <f t="array" ref="U41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4.67962 and 0.00000</v>
      </c>
      <c r="V418" s="22"/>
    </row>
    <row r="419" spans="10:22" x14ac:dyDescent="0.15">
      <c r="J419" s="190" t="s">
        <v>299</v>
      </c>
      <c r="K419" s="127" t="s">
        <v>90</v>
      </c>
      <c r="L419" s="220">
        <v>255</v>
      </c>
      <c r="M419" s="237">
        <f>_xlfn.LET(
  _xlpm.analyte, SensorLab[[#This Row],[Analyte]],
  _xlpm.raw, N(SensorLab[[#This Row],[Raw_Value]]),
  _xlpm.scaleF, IFERROR(
    _xlfn.XLOOKUP(_xlpm.analyte, CalibrationCoefficients[Analyte], CalibrationCoefficients[ScaleFactor]),
    1
  ),
  IF(AND(_xlpm.analyte&lt;&gt;"", ISNUMBER(_xlpm.raw)), _xlpm.raw * _xlpm.scaleF, "NA")
)</f>
        <v>25.5</v>
      </c>
      <c r="N419" s="194"/>
      <c r="O419" s="41"/>
      <c r="P419" s="41"/>
      <c r="Q419" s="208"/>
      <c r="R419" s="237" cm="1">
        <f t="array" ref="R41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25.724530000000001</v>
      </c>
      <c r="S419" s="238" cm="1">
        <f t="array" ref="S41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25.687950000000001</v>
      </c>
      <c r="T419" s="238" cm="1">
        <f t="array" ref="T41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-25.687950000000001</v>
      </c>
      <c r="U419" s="41" t="str" cm="1">
        <f t="array" ref="U41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25.43000 and 0.00000</v>
      </c>
      <c r="V419" s="22"/>
    </row>
    <row r="420" spans="10:22" x14ac:dyDescent="0.15">
      <c r="J420" s="190" t="s">
        <v>299</v>
      </c>
      <c r="K420" s="191" t="s">
        <v>43</v>
      </c>
      <c r="L420" s="220">
        <v>317</v>
      </c>
      <c r="M420" s="237">
        <f>_xlfn.LET(
  _xlpm.analyte, SensorLab[[#This Row],[Analyte]],
  _xlpm.raw, N(SensorLab[[#This Row],[Raw_Value]]),
  _xlpm.scaleF, IFERROR(
    _xlfn.XLOOKUP(_xlpm.analyte, CalibrationCoefficients[Analyte], CalibrationCoefficients[ScaleFactor]),
    1
  ),
  IF(AND(_xlpm.analyte&lt;&gt;"", ISNUMBER(_xlpm.raw)), _xlpm.raw * _xlpm.scaleF, "NA")
)</f>
        <v>31.700000000000003</v>
      </c>
      <c r="N420" s="194"/>
      <c r="O420" s="41"/>
      <c r="P420" s="41"/>
      <c r="Q420" s="208"/>
      <c r="R420" s="237" cm="1">
        <f t="array" ref="R42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31.688849999999999</v>
      </c>
      <c r="S420" s="238" cm="1">
        <f t="array" ref="S42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31.702259999999999</v>
      </c>
      <c r="T420" s="238" cm="1">
        <f t="array" ref="T42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1.702259999999999</v>
      </c>
      <c r="U420" s="41" t="str" cm="1">
        <f t="array" ref="U42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31.70000 and 0.00000</v>
      </c>
      <c r="V420" s="22"/>
    </row>
    <row r="421" spans="10:22" x14ac:dyDescent="0.15">
      <c r="J421" s="190" t="s">
        <v>299</v>
      </c>
      <c r="K421" s="191" t="s">
        <v>45</v>
      </c>
      <c r="L421" s="208">
        <v>0.53668709999999997</v>
      </c>
      <c r="M421" s="237">
        <f>_xlfn.LET(
  _xlpm.analyte, SensorLab[[#This Row],[Analyte]],
  _xlpm.raw, N(SensorLab[[#This Row],[Raw_Value]]),
  _xlpm.scaleF, IFERROR(
    _xlfn.XLOOKUP(_xlpm.analyte, CalibrationCoefficients[Analyte], CalibrationCoefficients[ScaleFactor]),
    1
  ),
  IF(AND(_xlpm.analyte&lt;&gt;"", ISNUMBER(_xlpm.raw)), _xlpm.raw * _xlpm.scaleF, "NA")
)</f>
        <v>0.53668709999999997</v>
      </c>
      <c r="N421" s="194"/>
      <c r="O421" s="41"/>
      <c r="P421" s="41"/>
      <c r="Q421" s="208"/>
      <c r="R421" s="237" cm="1">
        <f t="array" ref="R42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42.930390000000003</v>
      </c>
      <c r="S421" s="238" cm="1">
        <f t="array" ref="S42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42.926290000000002</v>
      </c>
      <c r="T421" s="238" cm="1">
        <f t="array" ref="T42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38.926290000000002</v>
      </c>
      <c r="U421" s="41" t="str" cm="1">
        <f t="array" ref="U42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52.48391 and 0.00000</v>
      </c>
      <c r="V421" s="22"/>
    </row>
    <row r="422" spans="10:22" x14ac:dyDescent="0.15">
      <c r="J422" s="190" t="s">
        <v>299</v>
      </c>
      <c r="K422" s="127" t="s">
        <v>0</v>
      </c>
      <c r="L422" s="208">
        <v>22.61</v>
      </c>
      <c r="M422" s="237">
        <f>_xlfn.LET(
  _xlpm.analyte, SensorLab[[#This Row],[Analyte]],
  _xlpm.raw, N(SensorLab[[#This Row],[Raw_Value]]),
  _xlpm.scaleF, IFERROR(
    _xlfn.XLOOKUP(_xlpm.analyte, CalibrationCoefficients[Analyte], CalibrationCoefficients[ScaleFactor]),
    1
  ),
  IF(AND(_xlpm.analyte&lt;&gt;"", ISNUMBER(_xlpm.raw)), _xlpm.raw * _xlpm.scaleF, "NA")
)</f>
        <v>22.61</v>
      </c>
      <c r="N422" s="194"/>
      <c r="O422" s="41"/>
      <c r="P422" s="41"/>
      <c r="Q422" s="208"/>
      <c r="R422" s="237" cm="1">
        <f t="array" ref="R42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422" s="238" cm="1">
        <f t="array" ref="S42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422" s="238" cm="1">
        <f t="array" ref="T42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-23</v>
      </c>
      <c r="U422" s="41" t="str" cm="1">
        <f t="array" ref="U42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20.23640 and 0.00000</v>
      </c>
      <c r="V422" s="22"/>
    </row>
    <row r="423" spans="10:22" x14ac:dyDescent="0.15">
      <c r="J423" s="190" t="s">
        <v>299</v>
      </c>
      <c r="K423" s="127" t="s">
        <v>5</v>
      </c>
      <c r="L423" s="208">
        <v>33.44</v>
      </c>
      <c r="M423" s="237">
        <f>_xlfn.LET(
  _xlpm.analyte, SensorLab[[#This Row],[Analyte]],
  _xlpm.raw, N(SensorLab[[#This Row],[Raw_Value]]),
  _xlpm.scaleF, IFERROR(
    _xlfn.XLOOKUP(_xlpm.analyte, CalibrationCoefficients[Analyte], CalibrationCoefficients[ScaleFactor]),
    1
  ),
  IF(AND(_xlpm.analyte&lt;&gt;"", ISNUMBER(_xlpm.raw)), _xlpm.raw * _xlpm.scaleF, "NA")
)</f>
        <v>33.44</v>
      </c>
      <c r="N423" s="194"/>
      <c r="O423" s="41"/>
      <c r="P423" s="41"/>
      <c r="Q423" s="208"/>
      <c r="R423" s="237" cm="1">
        <f t="array" ref="R42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423" s="238" cm="1">
        <f t="array" ref="S42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423" s="238" cm="1">
        <f t="array" ref="T42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-28</v>
      </c>
      <c r="U423" s="41" t="str" cm="1">
        <f t="array" ref="U42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31.94119 and 0.00000</v>
      </c>
      <c r="V423" s="22"/>
    </row>
    <row r="424" spans="10:22" x14ac:dyDescent="0.15">
      <c r="J424" s="190" t="s">
        <v>299</v>
      </c>
      <c r="K424" s="127" t="s">
        <v>6</v>
      </c>
      <c r="L424" s="208">
        <v>43.95</v>
      </c>
      <c r="M424" s="237">
        <f>_xlfn.LET(
  _xlpm.analyte, SensorLab[[#This Row],[Analyte]],
  _xlpm.raw, N(SensorLab[[#This Row],[Raw_Value]]),
  _xlpm.scaleF, IFERROR(
    _xlfn.XLOOKUP(_xlpm.analyte, CalibrationCoefficients[Analyte], CalibrationCoefficients[ScaleFactor]),
    1
  ),
  IF(AND(_xlpm.analyte&lt;&gt;"", ISNUMBER(_xlpm.raw)), _xlpm.raw * _xlpm.scaleF, "NA")
)</f>
        <v>43.95</v>
      </c>
      <c r="N424" s="194"/>
      <c r="O424" s="41"/>
      <c r="P424" s="41"/>
      <c r="Q424" s="208"/>
      <c r="R424" s="237" cm="1">
        <f t="array" ref="R42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424" s="238" cm="1">
        <f t="array" ref="S42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424" s="238" cm="1">
        <f t="array" ref="T42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v>
      </c>
      <c r="U424" s="41" t="str" cm="1">
        <f t="array" ref="U42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5.29116 and 0.00000</v>
      </c>
      <c r="V424" s="22"/>
    </row>
    <row r="425" spans="10:22" ht="11.25" thickBot="1" x14ac:dyDescent="0.2">
      <c r="J425" s="190" t="s">
        <v>299</v>
      </c>
      <c r="K425" s="193" t="s">
        <v>69</v>
      </c>
      <c r="L425" s="255" t="str" cm="1">
        <f t="array" ref="L425">_xlfn.LET(
  _xlpm.bs,L422, _xlpm.si,L423, _xlpm.c,L424,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Clay</v>
      </c>
      <c r="M425" s="256" t="str" cm="1">
        <f t="array" ref="M425">_xlfn.LET(
  _xlpm.bs,M422, _xlpm.si,M423, _xlpm.c,M424,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Clay</v>
      </c>
      <c r="N425" s="245" t="str" cm="1">
        <f t="array" ref="N425">_xlfn.LET(
  _xlpm.bs,N422, _xlpm.si,N423, _xlpm.c,N424,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425" s="245" t="str" cm="1">
        <f t="array" ref="O425">_xlfn.LET(
  _xlpm.bs,O422, _xlpm.si,O423, _xlpm.c,O424,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P425" s="245" t="str" cm="1">
        <f t="array" ref="P425">_xlfn.LET(
  _xlpm.bs,P422, _xlpm.si,P423, _xlpm.c,P424,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425" s="255" t="str" cm="1">
        <f t="array" ref="Q425">_xlfn.LET(
  _xlpm.bs,Q422, _xlpm.si,Q423, _xlpm.c,Q424,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R425" s="256" t="str" cm="1">
        <f t="array" ref="R425">_xlfn.LET(
  _xlpm.bs,R422, _xlpm.si,R423, _xlpm.c,R424,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S425" s="256" t="str" cm="1">
        <f t="array" ref="S425">_xlfn.LET(
  _xlpm.bs,S422, _xlpm.si,S423, _xlpm.c,S424,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T425" s="240" cm="1">
        <f t="array" ref="T42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v>
      </c>
      <c r="U425" s="229" t="str" cm="1">
        <f t="array" ref="U42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#N/A</v>
      </c>
      <c r="V425" s="22"/>
    </row>
    <row r="426" spans="10:22" x14ac:dyDescent="0.15">
      <c r="J426" s="188" t="s">
        <v>300</v>
      </c>
      <c r="K426" s="189" t="s">
        <v>39</v>
      </c>
      <c r="L426" s="254">
        <v>36</v>
      </c>
      <c r="M426" s="239">
        <f>_xlfn.LET(
  _xlpm.analyte, SensorLab[[#This Row],[Analyte]],
  _xlpm.raw, N(SensorLab[[#This Row],[Raw_Value]]),
  _xlpm.scaleF, IFERROR(
    _xlfn.XLOOKUP(_xlpm.analyte, CalibrationCoefficients[Analyte], CalibrationCoefficients[ScaleFactor]),
    1
  ),
  IF(AND(_xlpm.analyte&lt;&gt;"", ISNUMBER(_xlpm.raw)), _xlpm.raw * _xlpm.scaleF, "NA")
)</f>
        <v>36</v>
      </c>
      <c r="N426" s="227"/>
      <c r="O426" s="228"/>
      <c r="P426" s="228"/>
      <c r="Q426" s="207" t="str">
        <f>_xlfn.LET(
  _xlpm.tRaw, SensorLab[[#This Row],[Tarnab_Lab]],
  _xlpm.bRaw, SensorLab[[#This Row],[Bari_Lab]],
  _xlpm.mRaw, SensorLab[[#This Row],[ManuChar_Lab]],
  _xlpm.tIsNum, ISNUMBER(_xlpm.tRaw),
  _xlpm.bIsNum, ISNUMBER(_xlpm.bRaw),
  _xlpm.mIsNum, ISNUMBER(_xlpm.mRaw),
  _xlpm.t, IF(_xlpm.tIsNum, _xlpm.tRaw, ""),
  _xlpm.b, IF(_xlpm.bIsNum, _xlpm.bRaw, ""),
  _xlpm.m, IF(_xlpm.mIsNum, _xlpm.mRaw, ""),
  _xlpm.c, (--_xlpm.tIsNum) + (--_xlpm.bIsNum) + (--_xlpm.mIsNum),
  _xlpm.sumVals, IF(_xlpm.tIsNum, _xlpm.tRaw, 0) + IF(_xlpm.bIsNum, _xlpm.bRaw, 0) + IF(_xlpm.mIsNum, _xlpm.mRaw, 0),
  _xlpm.result,
    IF(_xlpm.c = 0, "",
      IF(_xlpm.c = 1,
         IF(_xlpm.tIsNum, _xlpm.t, IF(_xlpm.bIsNum, _xlpm.b, _xlpm.m)),
      IF(_xlpm.c = 2,
         _xlpm.sumVals / 2,
         MEDIAN(_xlpm.t, _xlpm.b, _xlpm.m)
      ))),
  _xlpm.result
)</f>
        <v/>
      </c>
      <c r="R426" s="239" cm="1">
        <f t="array" ref="R42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5.5002199999999997</v>
      </c>
      <c r="S426" s="241" cm="1">
        <f t="array" ref="S42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7.0535899999999998</v>
      </c>
      <c r="T426" s="241" cm="1">
        <f t="array" ref="T42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-0.9464100000000002</v>
      </c>
      <c r="U426" s="228" t="str" cm="1">
        <f t="array" ref="U42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5.50022 and 0.00000</v>
      </c>
      <c r="V426" s="22"/>
    </row>
    <row r="427" spans="10:22" x14ac:dyDescent="0.15">
      <c r="J427" s="190" t="s">
        <v>300</v>
      </c>
      <c r="K427" s="191" t="s">
        <v>40</v>
      </c>
      <c r="L427" s="220">
        <v>130</v>
      </c>
      <c r="M427" s="237">
        <f>_xlfn.LET(
  _xlpm.analyte, SensorLab[[#This Row],[Analyte]],
  _xlpm.raw, N(SensorLab[[#This Row],[Raw_Value]]),
  _xlpm.scaleF, IFERROR(
    _xlfn.XLOOKUP(_xlpm.analyte, CalibrationCoefficients[Analyte], CalibrationCoefficients[ScaleFactor]),
    1
  ),
  IF(AND(_xlpm.analyte&lt;&gt;"", ISNUMBER(_xlpm.raw)), _xlpm.raw * _xlpm.scaleF, "NA")
)</f>
        <v>130</v>
      </c>
      <c r="N427" s="194"/>
      <c r="O427" s="41"/>
      <c r="P427" s="41"/>
      <c r="Q427" s="208"/>
      <c r="R427" s="237" cm="1">
        <f t="array" ref="R42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8.5666700000000002</v>
      </c>
      <c r="S427" s="238" cm="1">
        <f t="array" ref="S42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7.3766400000000001</v>
      </c>
      <c r="T427" s="238" cm="1">
        <f t="array" ref="T42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-7.3766400000000001</v>
      </c>
      <c r="U427" s="41" t="str" cm="1">
        <f t="array" ref="U42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7.48250 and 0.00000</v>
      </c>
      <c r="V427" s="22"/>
    </row>
    <row r="428" spans="10:22" x14ac:dyDescent="0.15">
      <c r="J428" s="190" t="s">
        <v>300</v>
      </c>
      <c r="K428" s="191" t="s">
        <v>41</v>
      </c>
      <c r="L428" s="220">
        <v>123</v>
      </c>
      <c r="M428" s="237">
        <f>_xlfn.LET(
  _xlpm.analyte, SensorLab[[#This Row],[Analyte]],
  _xlpm.raw, N(SensorLab[[#This Row],[Raw_Value]]),
  _xlpm.scaleF, IFERROR(
    _xlfn.XLOOKUP(_xlpm.analyte, CalibrationCoefficients[Analyte], CalibrationCoefficients[ScaleFactor]),
    1
  ),
  IF(AND(_xlpm.analyte&lt;&gt;"", ISNUMBER(_xlpm.raw)), _xlpm.raw * _xlpm.scaleF, "NA")
)</f>
        <v>123</v>
      </c>
      <c r="N428" s="194"/>
      <c r="O428" s="41"/>
      <c r="P428" s="41"/>
      <c r="Q428" s="208"/>
      <c r="R428" s="237" cm="1">
        <f t="array" ref="R42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150.14948000000001</v>
      </c>
      <c r="S428" s="238" cm="1">
        <f t="array" ref="S42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136.44951</v>
      </c>
      <c r="T428" s="238" cm="1">
        <f t="array" ref="T42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-136.44951</v>
      </c>
      <c r="U428" s="41" t="str" cm="1">
        <f t="array" ref="U42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150.06723 and 0.00000</v>
      </c>
      <c r="V428" s="22"/>
    </row>
    <row r="429" spans="10:22" x14ac:dyDescent="0.15">
      <c r="J429" s="190" t="s">
        <v>300</v>
      </c>
      <c r="K429" s="127" t="s">
        <v>52</v>
      </c>
      <c r="L429" s="220">
        <v>360</v>
      </c>
      <c r="M429" s="237">
        <f>_xlfn.LET(
  _xlpm.analyte, SensorLab[[#This Row],[Analyte]],
  _xlpm.raw, N(SensorLab[[#This Row],[Raw_Value]]),
  _xlpm.scaleF, IFERROR(
    _xlfn.XLOOKUP(_xlpm.analyte, CalibrationCoefficients[Analyte], CalibrationCoefficients[ScaleFactor]),
    1
  ),
  IF(AND(_xlpm.analyte&lt;&gt;"", ISNUMBER(_xlpm.raw)), _xlpm.raw * _xlpm.scaleF, "NA")
)</f>
        <v>0.36</v>
      </c>
      <c r="N429" s="194"/>
      <c r="O429" s="41"/>
      <c r="P429" s="41"/>
      <c r="Q429" s="208"/>
      <c r="R429" s="237" cm="1">
        <f t="array" ref="R42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1.1516500000000001</v>
      </c>
      <c r="S429" s="238" cm="1">
        <f t="array" ref="S42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1.1194200000000001</v>
      </c>
      <c r="T429" s="238" cm="1">
        <f t="array" ref="T42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-1.1194200000000001</v>
      </c>
      <c r="U429" s="41" t="str" cm="1">
        <f t="array" ref="U42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1.05085 and 0.00000</v>
      </c>
      <c r="V429" s="22"/>
    </row>
    <row r="430" spans="10:22" x14ac:dyDescent="0.15">
      <c r="J430" s="190" t="s">
        <v>300</v>
      </c>
      <c r="K430" s="127" t="s">
        <v>34</v>
      </c>
      <c r="L430" s="220">
        <v>630</v>
      </c>
      <c r="M430" s="237">
        <f>_xlfn.LET(
  _xlpm.analyte, SensorLab[[#This Row],[Analyte]],
  _xlpm.raw, N(SensorLab[[#This Row],[Raw_Value]]),
  _xlpm.scaleF, IFERROR(
    _xlfn.XLOOKUP(_xlpm.analyte, CalibrationCoefficients[Analyte], CalibrationCoefficients[ScaleFactor]),
    1
  ),
  IF(AND(_xlpm.analyte&lt;&gt;"", ISNUMBER(_xlpm.raw)), _xlpm.raw * _xlpm.scaleF, "NA")
)</f>
        <v>63</v>
      </c>
      <c r="N430" s="194"/>
      <c r="O430" s="41"/>
      <c r="P430" s="41"/>
      <c r="Q430" s="208"/>
      <c r="R430" s="237" cm="1">
        <f t="array" ref="R43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5.3445400000000003</v>
      </c>
      <c r="S430" s="238" cm="1">
        <f t="array" ref="S43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5.3116300000000001</v>
      </c>
      <c r="T430" s="238" cm="1">
        <f t="array" ref="T43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-0.18836999999999993</v>
      </c>
      <c r="U430" s="41" t="str" cm="1">
        <f t="array" ref="U43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4.93690 and 0.00000</v>
      </c>
      <c r="V430" s="22"/>
    </row>
    <row r="431" spans="10:22" x14ac:dyDescent="0.15">
      <c r="J431" s="190" t="s">
        <v>300</v>
      </c>
      <c r="K431" s="127" t="s">
        <v>90</v>
      </c>
      <c r="L431" s="220">
        <v>264</v>
      </c>
      <c r="M431" s="237">
        <f>_xlfn.LET(
  _xlpm.analyte, SensorLab[[#This Row],[Analyte]],
  _xlpm.raw, N(SensorLab[[#This Row],[Raw_Value]]),
  _xlpm.scaleF, IFERROR(
    _xlfn.XLOOKUP(_xlpm.analyte, CalibrationCoefficients[Analyte], CalibrationCoefficients[ScaleFactor]),
    1
  ),
  IF(AND(_xlpm.analyte&lt;&gt;"", ISNUMBER(_xlpm.raw)), _xlpm.raw * _xlpm.scaleF, "NA")
)</f>
        <v>26.400000000000002</v>
      </c>
      <c r="N431" s="194"/>
      <c r="O431" s="41"/>
      <c r="P431" s="41"/>
      <c r="Q431" s="208"/>
      <c r="R431" s="237" cm="1">
        <f t="array" ref="R43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26.64312</v>
      </c>
      <c r="S431" s="238" cm="1">
        <f t="array" ref="S43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26.606539999999999</v>
      </c>
      <c r="T431" s="238" cm="1">
        <f t="array" ref="T43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-26.606539999999999</v>
      </c>
      <c r="U431" s="41" t="str" cm="1">
        <f t="array" ref="U43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26.33000 and 0.00000</v>
      </c>
      <c r="V431" s="22"/>
    </row>
    <row r="432" spans="10:22" x14ac:dyDescent="0.15">
      <c r="J432" s="190" t="s">
        <v>300</v>
      </c>
      <c r="K432" s="191" t="s">
        <v>43</v>
      </c>
      <c r="L432" s="220">
        <v>305</v>
      </c>
      <c r="M432" s="237">
        <f>_xlfn.LET(
  _xlpm.analyte, SensorLab[[#This Row],[Analyte]],
  _xlpm.raw, N(SensorLab[[#This Row],[Raw_Value]]),
  _xlpm.scaleF, IFERROR(
    _xlfn.XLOOKUP(_xlpm.analyte, CalibrationCoefficients[Analyte], CalibrationCoefficients[ScaleFactor]),
    1
  ),
  IF(AND(_xlpm.analyte&lt;&gt;"", ISNUMBER(_xlpm.raw)), _xlpm.raw * _xlpm.scaleF, "NA")
)</f>
        <v>30.5</v>
      </c>
      <c r="N432" s="194"/>
      <c r="O432" s="41"/>
      <c r="P432" s="41"/>
      <c r="Q432" s="208"/>
      <c r="R432" s="237" cm="1">
        <f t="array" ref="R43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30.48855</v>
      </c>
      <c r="S432" s="238" cm="1">
        <f t="array" ref="S43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30.50196</v>
      </c>
      <c r="T432" s="238" cm="1">
        <f t="array" ref="T43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0.50196000000000041</v>
      </c>
      <c r="U432" s="41" t="str" cm="1">
        <f t="array" ref="U43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30.50000 and 0.00000</v>
      </c>
      <c r="V432" s="22"/>
    </row>
    <row r="433" spans="10:22" x14ac:dyDescent="0.15">
      <c r="J433" s="190" t="s">
        <v>300</v>
      </c>
      <c r="K433" s="191" t="s">
        <v>45</v>
      </c>
      <c r="L433" s="208">
        <v>0.111654</v>
      </c>
      <c r="M433" s="237">
        <f>_xlfn.LET(
  _xlpm.analyte, SensorLab[[#This Row],[Analyte]],
  _xlpm.raw, N(SensorLab[[#This Row],[Raw_Value]]),
  _xlpm.scaleF, IFERROR(
    _xlfn.XLOOKUP(_xlpm.analyte, CalibrationCoefficients[Analyte], CalibrationCoefficients[ScaleFactor]),
    1
  ),
  IF(AND(_xlpm.analyte&lt;&gt;"", ISNUMBER(_xlpm.raw)), _xlpm.raw * _xlpm.scaleF, "NA")
)</f>
        <v>0.111654</v>
      </c>
      <c r="N433" s="194"/>
      <c r="O433" s="41"/>
      <c r="P433" s="41"/>
      <c r="Q433" s="208"/>
      <c r="R433" s="237" cm="1">
        <f t="array" ref="R43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9.3772800000000007</v>
      </c>
      <c r="S433" s="238" cm="1">
        <f t="array" ref="S43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9.3731799999999996</v>
      </c>
      <c r="T433" s="238" cm="1">
        <f t="array" ref="T43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5.3731799999999996</v>
      </c>
      <c r="U433" s="41" t="str" cm="1">
        <f t="array" ref="U43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9.86276 and 0.00000</v>
      </c>
      <c r="V433" s="22"/>
    </row>
    <row r="434" spans="10:22" x14ac:dyDescent="0.15">
      <c r="J434" s="190" t="s">
        <v>300</v>
      </c>
      <c r="K434" s="127" t="s">
        <v>0</v>
      </c>
      <c r="L434" s="208">
        <v>13.83</v>
      </c>
      <c r="M434" s="237">
        <f>_xlfn.LET(
  _xlpm.analyte, SensorLab[[#This Row],[Analyte]],
  _xlpm.raw, N(SensorLab[[#This Row],[Raw_Value]]),
  _xlpm.scaleF, IFERROR(
    _xlfn.XLOOKUP(_xlpm.analyte, CalibrationCoefficients[Analyte], CalibrationCoefficients[ScaleFactor]),
    1
  ),
  IF(AND(_xlpm.analyte&lt;&gt;"", ISNUMBER(_xlpm.raw)), _xlpm.raw * _xlpm.scaleF, "NA")
)</f>
        <v>13.83</v>
      </c>
      <c r="N434" s="194"/>
      <c r="O434" s="41"/>
      <c r="P434" s="41"/>
      <c r="Q434" s="208"/>
      <c r="R434" s="237" cm="1">
        <f t="array" ref="R43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434" s="238" cm="1">
        <f t="array" ref="S43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434" s="238" cm="1">
        <f t="array" ref="T43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-23</v>
      </c>
      <c r="U434" s="41" t="str" cm="1">
        <f t="array" ref="U43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21.92217 and 0.00000</v>
      </c>
      <c r="V434" s="22"/>
    </row>
    <row r="435" spans="10:22" x14ac:dyDescent="0.15">
      <c r="J435" s="190" t="s">
        <v>300</v>
      </c>
      <c r="K435" s="127" t="s">
        <v>5</v>
      </c>
      <c r="L435" s="208">
        <v>68.02</v>
      </c>
      <c r="M435" s="237">
        <f>_xlfn.LET(
  _xlpm.analyte, SensorLab[[#This Row],[Analyte]],
  _xlpm.raw, N(SensorLab[[#This Row],[Raw_Value]]),
  _xlpm.scaleF, IFERROR(
    _xlfn.XLOOKUP(_xlpm.analyte, CalibrationCoefficients[Analyte], CalibrationCoefficients[ScaleFactor]),
    1
  ),
  IF(AND(_xlpm.analyte&lt;&gt;"", ISNUMBER(_xlpm.raw)), _xlpm.raw * _xlpm.scaleF, "NA")
)</f>
        <v>68.02</v>
      </c>
      <c r="N435" s="194"/>
      <c r="O435" s="41"/>
      <c r="P435" s="41"/>
      <c r="Q435" s="208"/>
      <c r="R435" s="237" cm="1">
        <f t="array" ref="R43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435" s="238" cm="1">
        <f t="array" ref="S43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435" s="238" cm="1">
        <f t="array" ref="T43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-28</v>
      </c>
      <c r="U435" s="41" t="str" cm="1">
        <f t="array" ref="U43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25.04851 and 0.00000</v>
      </c>
      <c r="V435" s="22"/>
    </row>
    <row r="436" spans="10:22" x14ac:dyDescent="0.15">
      <c r="J436" s="190" t="s">
        <v>300</v>
      </c>
      <c r="K436" s="127" t="s">
        <v>6</v>
      </c>
      <c r="L436" s="208">
        <v>18.149999999999999</v>
      </c>
      <c r="M436" s="237">
        <f>_xlfn.LET(
  _xlpm.analyte, SensorLab[[#This Row],[Analyte]],
  _xlpm.raw, N(SensorLab[[#This Row],[Raw_Value]]),
  _xlpm.scaleF, IFERROR(
    _xlfn.XLOOKUP(_xlpm.analyte, CalibrationCoefficients[Analyte], CalibrationCoefficients[ScaleFactor]),
    1
  ),
  IF(AND(_xlpm.analyte&lt;&gt;"", ISNUMBER(_xlpm.raw)), _xlpm.raw * _xlpm.scaleF, "NA")
)</f>
        <v>18.149999999999999</v>
      </c>
      <c r="N436" s="194"/>
      <c r="O436" s="41"/>
      <c r="P436" s="41"/>
      <c r="Q436" s="208"/>
      <c r="R436" s="237" cm="1">
        <f t="array" ref="R43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436" s="238" cm="1">
        <f t="array" ref="S43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436" s="238" cm="1">
        <f t="array" ref="T43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v>
      </c>
      <c r="U436" s="41" t="str" cm="1">
        <f t="array" ref="U43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11.39147 and 0.00000</v>
      </c>
      <c r="V436" s="22"/>
    </row>
    <row r="437" spans="10:22" ht="11.25" thickBot="1" x14ac:dyDescent="0.2">
      <c r="J437" s="192" t="s">
        <v>300</v>
      </c>
      <c r="K437" s="193" t="s">
        <v>69</v>
      </c>
      <c r="L437" s="255" t="str" cm="1">
        <f t="array" ref="L437">_xlfn.LET(
  _xlpm.bs,L434, _xlpm.si,L435, _xlpm.c,L436,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M437" s="256" t="str" cm="1">
        <f t="array" ref="M437">_xlfn.LET(
  _xlpm.bs,M434, _xlpm.si,M435, _xlpm.c,M436,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N437" s="245" t="str" cm="1">
        <f t="array" ref="N437">_xlfn.LET(
  _xlpm.bs,N434, _xlpm.si,N435, _xlpm.c,N436,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437" s="245" t="str" cm="1">
        <f t="array" ref="O437">_xlfn.LET(
  _xlpm.bs,O434, _xlpm.si,O435, _xlpm.c,O436,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P437" s="245" t="str" cm="1">
        <f t="array" ref="P437">_xlfn.LET(
  _xlpm.bs,P434, _xlpm.si,P435, _xlpm.c,P436,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437" s="255" t="str" cm="1">
        <f t="array" ref="Q437">_xlfn.LET(
  _xlpm.bs,Q434, _xlpm.si,Q435, _xlpm.c,Q436,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R437" s="256" t="str" cm="1">
        <f t="array" ref="R437">_xlfn.LET(
  _xlpm.bs,R434, _xlpm.si,R435, _xlpm.c,R436,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S437" s="256" t="str" cm="1">
        <f t="array" ref="S437">_xlfn.LET(
  _xlpm.bs,S434, _xlpm.si,S435, _xlpm.c,S436,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T437" s="240" cm="1">
        <f t="array" ref="T43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v>
      </c>
      <c r="U437" s="229" t="str" cm="1">
        <f t="array" ref="U43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#N/A</v>
      </c>
      <c r="V437" s="22"/>
    </row>
    <row r="438" spans="10:22" x14ac:dyDescent="0.15">
      <c r="J438" s="190" t="s">
        <v>301</v>
      </c>
      <c r="K438" s="127" t="s">
        <v>39</v>
      </c>
      <c r="L438" s="220">
        <v>43</v>
      </c>
      <c r="M438" s="237">
        <f>_xlfn.LET(
  _xlpm.analyte, SensorLab[[#This Row],[Analyte]],
  _xlpm.raw, N(SensorLab[[#This Row],[Raw_Value]]),
  _xlpm.scaleF, IFERROR(
    _xlfn.XLOOKUP(_xlpm.analyte, CalibrationCoefficients[Analyte], CalibrationCoefficients[ScaleFactor]),
    1
  ),
  IF(AND(_xlpm.analyte&lt;&gt;"", ISNUMBER(_xlpm.raw)), _xlpm.raw * _xlpm.scaleF, "NA")
)</f>
        <v>43</v>
      </c>
      <c r="N438" s="194"/>
      <c r="O438" s="41"/>
      <c r="P438" s="41"/>
      <c r="Q438" s="208" t="str">
        <f>_xlfn.LET(
  _xlpm.tRaw, SensorLab[[#This Row],[Tarnab_Lab]],
  _xlpm.bRaw, SensorLab[[#This Row],[Bari_Lab]],
  _xlpm.mRaw, SensorLab[[#This Row],[ManuChar_Lab]],
  _xlpm.tIsNum, ISNUMBER(_xlpm.tRaw),
  _xlpm.bIsNum, ISNUMBER(_xlpm.bRaw),
  _xlpm.mIsNum, ISNUMBER(_xlpm.mRaw),
  _xlpm.t, IF(_xlpm.tIsNum, _xlpm.tRaw, ""),
  _xlpm.b, IF(_xlpm.bIsNum, _xlpm.bRaw, ""),
  _xlpm.m, IF(_xlpm.mIsNum, _xlpm.mRaw, ""),
  _xlpm.c, (--_xlpm.tIsNum) + (--_xlpm.bIsNum) + (--_xlpm.mIsNum),
  _xlpm.sumVals, IF(_xlpm.tIsNum, _xlpm.tRaw, 0) + IF(_xlpm.bIsNum, _xlpm.bRaw, 0) + IF(_xlpm.mIsNum, _xlpm.mRaw, 0),
  _xlpm.result,
    IF(_xlpm.c = 0, "",
      IF(_xlpm.c = 1,
         IF(_xlpm.tIsNum, _xlpm.t, IF(_xlpm.bIsNum, _xlpm.b, _xlpm.m)),
      IF(_xlpm.c = 2,
         _xlpm.sumVals / 2,
         MEDIAN(_xlpm.t, _xlpm.b, _xlpm.m)
      ))),
  _xlpm.result
)</f>
        <v/>
      </c>
      <c r="R438" s="239" cm="1">
        <f t="array" ref="R43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6.4828599999999996</v>
      </c>
      <c r="S438" s="241" cm="1">
        <f t="array" ref="S43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8.0362299999999998</v>
      </c>
      <c r="T438" s="241" cm="1">
        <f t="array" ref="T43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-8.0362299999999998</v>
      </c>
      <c r="U438" s="41" t="str" cm="1">
        <f t="array" ref="U43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6.48286 and 0.00000</v>
      </c>
      <c r="V438" s="22"/>
    </row>
    <row r="439" spans="10:22" x14ac:dyDescent="0.15">
      <c r="J439" s="190" t="s">
        <v>301</v>
      </c>
      <c r="K439" s="191" t="s">
        <v>40</v>
      </c>
      <c r="L439" s="220">
        <v>147</v>
      </c>
      <c r="M439" s="237">
        <f>_xlfn.LET(
  _xlpm.analyte, SensorLab[[#This Row],[Analyte]],
  _xlpm.raw, N(SensorLab[[#This Row],[Raw_Value]]),
  _xlpm.scaleF, IFERROR(
    _xlfn.XLOOKUP(_xlpm.analyte, CalibrationCoefficients[Analyte], CalibrationCoefficients[ScaleFactor]),
    1
  ),
  IF(AND(_xlpm.analyte&lt;&gt;"", ISNUMBER(_xlpm.raw)), _xlpm.raw * _xlpm.scaleF, "NA")
)</f>
        <v>147</v>
      </c>
      <c r="N439" s="194"/>
      <c r="O439" s="41"/>
      <c r="P439" s="41"/>
      <c r="Q439" s="208" t="str">
        <f>_xlfn.LET(
  _xlpm.tRaw, SensorLab[[#This Row],[Tarnab_Lab]],
  _xlpm.bRaw, SensorLab[[#This Row],[Bari_Lab]],
  _xlpm.mRaw, SensorLab[[#This Row],[ManuChar_Lab]],
  _xlpm.tIsNum, ISNUMBER(_xlpm.tRaw),
  _xlpm.bIsNum, ISNUMBER(_xlpm.bRaw),
  _xlpm.mIsNum, ISNUMBER(_xlpm.mRaw),
  _xlpm.t, IF(_xlpm.tIsNum, _xlpm.tRaw, ""),
  _xlpm.b, IF(_xlpm.bIsNum, _xlpm.bRaw, ""),
  _xlpm.m, IF(_xlpm.mIsNum, _xlpm.mRaw, ""),
  _xlpm.c, (--_xlpm.tIsNum) + (--_xlpm.bIsNum) + (--_xlpm.mIsNum),
  _xlpm.sumVals, IF(_xlpm.tIsNum, _xlpm.tRaw, 0) + IF(_xlpm.bIsNum, _xlpm.bRaw, 0) + IF(_xlpm.mIsNum, _xlpm.mRaw, 0),
  _xlpm.result,
    IF(_xlpm.c = 0, "",
      IF(_xlpm.c = 1,
         IF(_xlpm.tIsNum, _xlpm.t, IF(_xlpm.bIsNum, _xlpm.b, _xlpm.m)),
      IF(_xlpm.c = 2,
         _xlpm.sumVals / 2,
         MEDIAN(_xlpm.t, _xlpm.b, _xlpm.m)
      ))),
  _xlpm.result
)</f>
        <v/>
      </c>
      <c r="R439" s="237" cm="1">
        <f t="array" ref="R43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8.9920100000000005</v>
      </c>
      <c r="S439" s="238" cm="1">
        <f t="array" ref="S43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7.8019800000000004</v>
      </c>
      <c r="T439" s="238" cm="1">
        <f t="array" ref="T43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-7.8019800000000004</v>
      </c>
      <c r="U439" s="41" t="str" cm="1">
        <f t="array" ref="U43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7.71437 and 0.00000</v>
      </c>
      <c r="V439" s="22"/>
    </row>
    <row r="440" spans="10:22" x14ac:dyDescent="0.15">
      <c r="J440" s="190" t="s">
        <v>301</v>
      </c>
      <c r="K440" s="191" t="s">
        <v>41</v>
      </c>
      <c r="L440" s="220">
        <v>140</v>
      </c>
      <c r="M440" s="237">
        <f>_xlfn.LET(
  _xlpm.analyte, SensorLab[[#This Row],[Analyte]],
  _xlpm.raw, N(SensorLab[[#This Row],[Raw_Value]]),
  _xlpm.scaleF, IFERROR(
    _xlfn.XLOOKUP(_xlpm.analyte, CalibrationCoefficients[Analyte], CalibrationCoefficients[ScaleFactor]),
    1
  ),
  IF(AND(_xlpm.analyte&lt;&gt;"", ISNUMBER(_xlpm.raw)), _xlpm.raw * _xlpm.scaleF, "NA")
)</f>
        <v>140</v>
      </c>
      <c r="N440" s="194"/>
      <c r="O440" s="41"/>
      <c r="P440" s="41"/>
      <c r="Q440" s="208"/>
      <c r="R440" s="237" cm="1">
        <f t="array" ref="R44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155.49073999999999</v>
      </c>
      <c r="S440" s="238" cm="1">
        <f t="array" ref="S44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141.79077000000001</v>
      </c>
      <c r="T440" s="238" cm="1">
        <f t="array" ref="T44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-141.79077000000001</v>
      </c>
      <c r="U440" s="41" t="str" cm="1">
        <f t="array" ref="U44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155.92140 and 0.00000</v>
      </c>
      <c r="V440" s="22"/>
    </row>
    <row r="441" spans="10:22" x14ac:dyDescent="0.15">
      <c r="J441" s="190" t="s">
        <v>301</v>
      </c>
      <c r="K441" s="127" t="s">
        <v>52</v>
      </c>
      <c r="L441" s="220">
        <v>390</v>
      </c>
      <c r="M441" s="237">
        <f>_xlfn.LET(
  _xlpm.analyte, SensorLab[[#This Row],[Analyte]],
  _xlpm.raw, N(SensorLab[[#This Row],[Raw_Value]]),
  _xlpm.scaleF, IFERROR(
    _xlfn.XLOOKUP(_xlpm.analyte, CalibrationCoefficients[Analyte], CalibrationCoefficients[ScaleFactor]),
    1
  ),
  IF(AND(_xlpm.analyte&lt;&gt;"", ISNUMBER(_xlpm.raw)), _xlpm.raw * _xlpm.scaleF, "NA")
)</f>
        <v>0.39</v>
      </c>
      <c r="N441" s="194"/>
      <c r="O441" s="41"/>
      <c r="P441" s="41"/>
      <c r="Q441" s="208"/>
      <c r="R441" s="237" cm="1">
        <f t="array" ref="R44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1.1713100000000001</v>
      </c>
      <c r="S441" s="238" cm="1">
        <f t="array" ref="S44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1.1390800000000001</v>
      </c>
      <c r="T441" s="238" cm="1">
        <f t="array" ref="T44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-1.1390800000000001</v>
      </c>
      <c r="U441" s="41" t="str" cm="1">
        <f t="array" ref="U44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1.05733 and 0.00000</v>
      </c>
      <c r="V441" s="22"/>
    </row>
    <row r="442" spans="10:22" x14ac:dyDescent="0.15">
      <c r="J442" s="190" t="s">
        <v>301</v>
      </c>
      <c r="K442" s="127" t="s">
        <v>34</v>
      </c>
      <c r="L442" s="220">
        <v>650</v>
      </c>
      <c r="M442" s="237">
        <f>_xlfn.LET(
  _xlpm.analyte, SensorLab[[#This Row],[Analyte]],
  _xlpm.raw, N(SensorLab[[#This Row],[Raw_Value]]),
  _xlpm.scaleF, IFERROR(
    _xlfn.XLOOKUP(_xlpm.analyte, CalibrationCoefficients[Analyte], CalibrationCoefficients[ScaleFactor]),
    1
  ),
  IF(AND(_xlpm.analyte&lt;&gt;"", ISNUMBER(_xlpm.raw)), _xlpm.raw * _xlpm.scaleF, "NA")
)</f>
        <v>65</v>
      </c>
      <c r="N442" s="194"/>
      <c r="O442" s="41"/>
      <c r="P442" s="41"/>
      <c r="Q442" s="208"/>
      <c r="R442" s="237" cm="1">
        <f t="array" ref="R44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5.2531400000000001</v>
      </c>
      <c r="S442" s="238" cm="1">
        <f t="array" ref="S44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5.2202299999999999</v>
      </c>
      <c r="T442" s="238" cm="1">
        <f t="array" ref="T44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-0.27977000000000007</v>
      </c>
      <c r="U442" s="41" t="str" cm="1">
        <f t="array" ref="U44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4.83399 and 0.00000</v>
      </c>
      <c r="V442" s="22"/>
    </row>
    <row r="443" spans="10:22" x14ac:dyDescent="0.15">
      <c r="J443" s="190" t="s">
        <v>301</v>
      </c>
      <c r="K443" s="127" t="s">
        <v>90</v>
      </c>
      <c r="L443" s="220">
        <v>252</v>
      </c>
      <c r="M443" s="237">
        <f>_xlfn.LET(
  _xlpm.analyte, SensorLab[[#This Row],[Analyte]],
  _xlpm.raw, N(SensorLab[[#This Row],[Raw_Value]]),
  _xlpm.scaleF, IFERROR(
    _xlfn.XLOOKUP(_xlpm.analyte, CalibrationCoefficients[Analyte], CalibrationCoefficients[ScaleFactor]),
    1
  ),
  IF(AND(_xlpm.analyte&lt;&gt;"", ISNUMBER(_xlpm.raw)), _xlpm.raw * _xlpm.scaleF, "NA")
)</f>
        <v>25.200000000000003</v>
      </c>
      <c r="N443" s="194"/>
      <c r="O443" s="41"/>
      <c r="P443" s="41"/>
      <c r="Q443" s="208"/>
      <c r="R443" s="237" cm="1">
        <f t="array" ref="R44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25.418330000000001</v>
      </c>
      <c r="S443" s="238" cm="1">
        <f t="array" ref="S44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25.38175</v>
      </c>
      <c r="T443" s="238" cm="1">
        <f t="array" ref="T44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-25.38175</v>
      </c>
      <c r="U443" s="41" t="str" cm="1">
        <f t="array" ref="U44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25.13000 and 0.00000</v>
      </c>
      <c r="V443" s="22"/>
    </row>
    <row r="444" spans="10:22" x14ac:dyDescent="0.15">
      <c r="J444" s="190" t="s">
        <v>301</v>
      </c>
      <c r="K444" s="191" t="s">
        <v>43</v>
      </c>
      <c r="L444" s="220">
        <v>298</v>
      </c>
      <c r="M444" s="237">
        <f>_xlfn.LET(
  _xlpm.analyte, SensorLab[[#This Row],[Analyte]],
  _xlpm.raw, N(SensorLab[[#This Row],[Raw_Value]]),
  _xlpm.scaleF, IFERROR(
    _xlfn.XLOOKUP(_xlpm.analyte, CalibrationCoefficients[Analyte], CalibrationCoefficients[ScaleFactor]),
    1
  ),
  IF(AND(_xlpm.analyte&lt;&gt;"", ISNUMBER(_xlpm.raw)), _xlpm.raw * _xlpm.scaleF, "NA")
)</f>
        <v>29.8</v>
      </c>
      <c r="N444" s="194"/>
      <c r="O444" s="41"/>
      <c r="P444" s="41"/>
      <c r="Q444" s="208"/>
      <c r="R444" s="237" cm="1">
        <f t="array" ref="R44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29.78837</v>
      </c>
      <c r="S444" s="238" cm="1">
        <f t="array" ref="S44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29.801780000000001</v>
      </c>
      <c r="T444" s="238" cm="1">
        <f t="array" ref="T44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-29.801780000000001</v>
      </c>
      <c r="U444" s="41" t="str" cm="1">
        <f t="array" ref="U44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29.80000 and 0.00000</v>
      </c>
      <c r="V444" s="22"/>
    </row>
    <row r="445" spans="10:22" x14ac:dyDescent="0.15">
      <c r="J445" s="190" t="s">
        <v>301</v>
      </c>
      <c r="K445" s="191" t="s">
        <v>45</v>
      </c>
      <c r="L445" s="208">
        <v>0.1491431</v>
      </c>
      <c r="M445" s="237">
        <f>_xlfn.LET(
  _xlpm.analyte, SensorLab[[#This Row],[Analyte]],
  _xlpm.raw, N(SensorLab[[#This Row],[Raw_Value]]),
  _xlpm.scaleF, IFERROR(
    _xlfn.XLOOKUP(_xlpm.analyte, CalibrationCoefficients[Analyte], CalibrationCoefficients[ScaleFactor]),
    1
  ),
  IF(AND(_xlpm.analyte&lt;&gt;"", ISNUMBER(_xlpm.raw)), _xlpm.raw * _xlpm.scaleF, "NA")
)</f>
        <v>0.1491431</v>
      </c>
      <c r="N445" s="194"/>
      <c r="O445" s="41"/>
      <c r="P445" s="41"/>
      <c r="Q445" s="208"/>
      <c r="R445" s="237" cm="1">
        <f t="array" ref="R44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12.33676</v>
      </c>
      <c r="S445" s="238" cm="1">
        <f t="array" ref="S44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12.332660000000001</v>
      </c>
      <c r="T445" s="238" cm="1">
        <f t="array" ref="T44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8.3326600000000006</v>
      </c>
      <c r="U445" s="41" t="str" cm="1">
        <f t="array" ref="U44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13.62206 and 0.00000</v>
      </c>
      <c r="V445" s="22"/>
    </row>
    <row r="446" spans="10:22" x14ac:dyDescent="0.15">
      <c r="J446" s="190" t="s">
        <v>301</v>
      </c>
      <c r="K446" s="127" t="s">
        <v>0</v>
      </c>
      <c r="L446" s="208">
        <v>18.350000000000001</v>
      </c>
      <c r="M446" s="237">
        <f>_xlfn.LET(
  _xlpm.analyte, SensorLab[[#This Row],[Analyte]],
  _xlpm.raw, N(SensorLab[[#This Row],[Raw_Value]]),
  _xlpm.scaleF, IFERROR(
    _xlfn.XLOOKUP(_xlpm.analyte, CalibrationCoefficients[Analyte], CalibrationCoefficients[ScaleFactor]),
    1
  ),
  IF(AND(_xlpm.analyte&lt;&gt;"", ISNUMBER(_xlpm.raw)), _xlpm.raw * _xlpm.scaleF, "NA")
)</f>
        <v>18.350000000000001</v>
      </c>
      <c r="N446" s="194"/>
      <c r="O446" s="41"/>
      <c r="P446" s="41"/>
      <c r="Q446" s="208"/>
      <c r="R446" s="237" cm="1">
        <f t="array" ref="R44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446" s="238" cm="1">
        <f t="array" ref="S44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446" s="238" cm="1">
        <f t="array" ref="T44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-23</v>
      </c>
      <c r="U446" s="41" t="str" cm="1">
        <f t="array" ref="U44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21.05433 and 0.00000</v>
      </c>
      <c r="V446" s="22"/>
    </row>
    <row r="447" spans="10:22" x14ac:dyDescent="0.15">
      <c r="J447" s="190" t="s">
        <v>301</v>
      </c>
      <c r="K447" s="127" t="s">
        <v>5</v>
      </c>
      <c r="L447" s="208">
        <v>69.2</v>
      </c>
      <c r="M447" s="237">
        <f>_xlfn.LET(
  _xlpm.analyte, SensorLab[[#This Row],[Analyte]],
  _xlpm.raw, N(SensorLab[[#This Row],[Raw_Value]]),
  _xlpm.scaleF, IFERROR(
    _xlfn.XLOOKUP(_xlpm.analyte, CalibrationCoefficients[Analyte], CalibrationCoefficients[ScaleFactor]),
    1
  ),
  IF(AND(_xlpm.analyte&lt;&gt;"", ISNUMBER(_xlpm.raw)), _xlpm.raw * _xlpm.scaleF, "NA")
)</f>
        <v>69.2</v>
      </c>
      <c r="N447" s="194"/>
      <c r="O447" s="41"/>
      <c r="P447" s="41"/>
      <c r="Q447" s="208"/>
      <c r="R447" s="237" cm="1">
        <f t="array" ref="R44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447" s="238" cm="1">
        <f t="array" ref="S44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447" s="238" cm="1">
        <f t="array" ref="T44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-28</v>
      </c>
      <c r="U447" s="41" t="str" cm="1">
        <f t="array" ref="U44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24.81330 and 0.00000</v>
      </c>
      <c r="V447" s="22"/>
    </row>
    <row r="448" spans="10:22" x14ac:dyDescent="0.15">
      <c r="J448" s="190" t="s">
        <v>301</v>
      </c>
      <c r="K448" s="127" t="s">
        <v>6</v>
      </c>
      <c r="L448" s="208">
        <v>12.45</v>
      </c>
      <c r="M448" s="237">
        <f>_xlfn.LET(
  _xlpm.analyte, SensorLab[[#This Row],[Analyte]],
  _xlpm.raw, N(SensorLab[[#This Row],[Raw_Value]]),
  _xlpm.scaleF, IFERROR(
    _xlfn.XLOOKUP(_xlpm.analyte, CalibrationCoefficients[Analyte], CalibrationCoefficients[ScaleFactor]),
    1
  ),
  IF(AND(_xlpm.analyte&lt;&gt;"", ISNUMBER(_xlpm.raw)), _xlpm.raw * _xlpm.scaleF, "NA")
)</f>
        <v>12.45</v>
      </c>
      <c r="N448" s="194"/>
      <c r="O448" s="41"/>
      <c r="P448" s="41"/>
      <c r="Q448" s="208"/>
      <c r="R448" s="237" cm="1">
        <f t="array" ref="R44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448" s="238" cm="1">
        <f t="array" ref="S44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448" s="238" cm="1">
        <f t="array" ref="T44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v>
      </c>
      <c r="U448" s="41" t="str" cm="1">
        <f t="array" ref="U44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12.73921 and 0.00000</v>
      </c>
      <c r="V448" s="22"/>
    </row>
    <row r="449" spans="10:22" ht="11.25" thickBot="1" x14ac:dyDescent="0.2">
      <c r="J449" s="192" t="s">
        <v>301</v>
      </c>
      <c r="K449" s="193" t="s">
        <v>69</v>
      </c>
      <c r="L449" s="255" t="str" cm="1">
        <f t="array" ref="L449">_xlfn.LET(
  _xlpm.bs,L446, _xlpm.si,L447, _xlpm.c,L448,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M449" s="256" t="str" cm="1">
        <f t="array" ref="M449">_xlfn.LET(
  _xlpm.bs,M446, _xlpm.si,M447, _xlpm.c,M448,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N449" s="245" t="str" cm="1">
        <f t="array" ref="N449">_xlfn.LET(
  _xlpm.bs,N446, _xlpm.si,N447, _xlpm.c,N448,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449" s="245" t="str" cm="1">
        <f t="array" ref="O449">_xlfn.LET(
  _xlpm.bs,O446, _xlpm.si,O447, _xlpm.c,O448,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P449" s="245" t="str" cm="1">
        <f t="array" ref="P449">_xlfn.LET(
  _xlpm.bs,P446, _xlpm.si,P447, _xlpm.c,P448,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449" s="255" t="str" cm="1">
        <f t="array" ref="Q449">_xlfn.LET(
  _xlpm.bs,Q446, _xlpm.si,Q447, _xlpm.c,Q448,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R449" s="256" t="str" cm="1">
        <f t="array" ref="R449">_xlfn.LET(
  _xlpm.bs,R446, _xlpm.si,R447, _xlpm.c,R448,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S449" s="256" t="str" cm="1">
        <f t="array" ref="S449">_xlfn.LET(
  _xlpm.bs,S446, _xlpm.si,S447, _xlpm.c,S448,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T449" s="240" cm="1">
        <f t="array" ref="T44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v>
      </c>
      <c r="U449" s="229" t="str" cm="1">
        <f t="array" ref="U44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#N/A</v>
      </c>
      <c r="V449" s="22"/>
    </row>
    <row r="450" spans="10:22" x14ac:dyDescent="0.15">
      <c r="J450" s="190" t="s">
        <v>302</v>
      </c>
      <c r="K450" s="127" t="s">
        <v>39</v>
      </c>
      <c r="L450" s="220">
        <v>18.600000000000001</v>
      </c>
      <c r="M450" s="237">
        <f>_xlfn.LET(
  _xlpm.analyte, SensorLab[[#This Row],[Analyte]],
  _xlpm.raw, N(SensorLab[[#This Row],[Raw_Value]]),
  _xlpm.scaleF, IFERROR(
    _xlfn.XLOOKUP(_xlpm.analyte, CalibrationCoefficients[Analyte], CalibrationCoefficients[ScaleFactor]),
    1
  ),
  IF(AND(_xlpm.analyte&lt;&gt;"", ISNUMBER(_xlpm.raw)), _xlpm.raw * _xlpm.scaleF, "NA")
)</f>
        <v>18.600000000000001</v>
      </c>
      <c r="N450" s="194"/>
      <c r="O450" s="41"/>
      <c r="P450" s="41"/>
      <c r="Q450" s="208" t="str">
        <f>_xlfn.LET(
  _xlpm.tRaw, SensorLab[[#This Row],[Tarnab_Lab]],
  _xlpm.bRaw, SensorLab[[#This Row],[Bari_Lab]],
  _xlpm.mRaw, SensorLab[[#This Row],[ManuChar_Lab]],
  _xlpm.tIsNum, ISNUMBER(_xlpm.tRaw),
  _xlpm.bIsNum, ISNUMBER(_xlpm.bRaw),
  _xlpm.mIsNum, ISNUMBER(_xlpm.mRaw),
  _xlpm.t, IF(_xlpm.tIsNum, _xlpm.tRaw, ""),
  _xlpm.b, IF(_xlpm.bIsNum, _xlpm.bRaw, ""),
  _xlpm.m, IF(_xlpm.mIsNum, _xlpm.mRaw, ""),
  _xlpm.c, (--_xlpm.tIsNum) + (--_xlpm.bIsNum) + (--_xlpm.mIsNum),
  _xlpm.sumVals, IF(_xlpm.tIsNum, _xlpm.tRaw, 0) + IF(_xlpm.bIsNum, _xlpm.bRaw, 0) + IF(_xlpm.mIsNum, _xlpm.mRaw, 0),
  _xlpm.result,
    IF(_xlpm.c = 0, "",
      IF(_xlpm.c = 1,
         IF(_xlpm.tIsNum, _xlpm.t, IF(_xlpm.bIsNum, _xlpm.b, _xlpm.m)),
      IF(_xlpm.c = 2,
         _xlpm.sumVals / 2,
         MEDIAN(_xlpm.t, _xlpm.b, _xlpm.m)
      ))),
  _xlpm.result
)</f>
        <v/>
      </c>
      <c r="R450" s="239" cm="1">
        <f t="array" ref="R45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3.0576500000000002</v>
      </c>
      <c r="S450" s="241" cm="1">
        <f t="array" ref="S45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4.6110199999999999</v>
      </c>
      <c r="T450" s="241" cm="1">
        <f t="array" ref="T45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-3.3889800000000001</v>
      </c>
      <c r="U450" s="41" t="str" cm="1">
        <f t="array" ref="U45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3.05765 and 0.00000</v>
      </c>
      <c r="V450" s="22"/>
    </row>
    <row r="451" spans="10:22" x14ac:dyDescent="0.15">
      <c r="J451" s="190" t="s">
        <v>302</v>
      </c>
      <c r="K451" s="191" t="s">
        <v>40</v>
      </c>
      <c r="L451" s="220">
        <v>90.2</v>
      </c>
      <c r="M451" s="237">
        <f>_xlfn.LET(
  _xlpm.analyte, SensorLab[[#This Row],[Analyte]],
  _xlpm.raw, N(SensorLab[[#This Row],[Raw_Value]]),
  _xlpm.scaleF, IFERROR(
    _xlfn.XLOOKUP(_xlpm.analyte, CalibrationCoefficients[Analyte], CalibrationCoefficients[ScaleFactor]),
    1
  ),
  IF(AND(_xlpm.analyte&lt;&gt;"", ISNUMBER(_xlpm.raw)), _xlpm.raw * _xlpm.scaleF, "NA")
)</f>
        <v>90.2</v>
      </c>
      <c r="N451" s="194"/>
      <c r="O451" s="41"/>
      <c r="P451" s="41"/>
      <c r="Q451" s="208" t="str">
        <f>_xlfn.LET(
  _xlpm.tRaw, SensorLab[[#This Row],[Tarnab_Lab]],
  _xlpm.bRaw, SensorLab[[#This Row],[Bari_Lab]],
  _xlpm.mRaw, SensorLab[[#This Row],[ManuChar_Lab]],
  _xlpm.tIsNum, ISNUMBER(_xlpm.tRaw),
  _xlpm.bIsNum, ISNUMBER(_xlpm.bRaw),
  _xlpm.mIsNum, ISNUMBER(_xlpm.mRaw),
  _xlpm.t, IF(_xlpm.tIsNum, _xlpm.tRaw, ""),
  _xlpm.b, IF(_xlpm.bIsNum, _xlpm.bRaw, ""),
  _xlpm.m, IF(_xlpm.mIsNum, _xlpm.mRaw, ""),
  _xlpm.c, (--_xlpm.tIsNum) + (--_xlpm.bIsNum) + (--_xlpm.mIsNum),
  _xlpm.sumVals, IF(_xlpm.tIsNum, _xlpm.tRaw, 0) + IF(_xlpm.bIsNum, _xlpm.bRaw, 0) + IF(_xlpm.mIsNum, _xlpm.mRaw, 0),
  _xlpm.result,
    IF(_xlpm.c = 0, "",
      IF(_xlpm.c = 1,
         IF(_xlpm.tIsNum, _xlpm.t, IF(_xlpm.bIsNum, _xlpm.b, _xlpm.m)),
      IF(_xlpm.c = 2,
         _xlpm.sumVals / 2,
         MEDIAN(_xlpm.t, _xlpm.b, _xlpm.m)
      ))),
  _xlpm.result
)</f>
        <v/>
      </c>
      <c r="R451" s="237" cm="1">
        <f t="array" ref="R45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7.5708700000000002</v>
      </c>
      <c r="S451" s="238" cm="1">
        <f t="array" ref="S45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6.3808400000000001</v>
      </c>
      <c r="T451" s="238" cm="1">
        <f t="array" ref="T45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-6.3808400000000001</v>
      </c>
      <c r="U451" s="41" t="str" cm="1">
        <f t="array" ref="U45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6.93964 and 0.00000</v>
      </c>
      <c r="V451" s="22"/>
    </row>
    <row r="452" spans="10:22" x14ac:dyDescent="0.15">
      <c r="J452" s="190" t="s">
        <v>302</v>
      </c>
      <c r="K452" s="191" t="s">
        <v>41</v>
      </c>
      <c r="L452" s="220">
        <v>83.2</v>
      </c>
      <c r="M452" s="237">
        <f>_xlfn.LET(
  _xlpm.analyte, SensorLab[[#This Row],[Analyte]],
  _xlpm.raw, N(SensorLab[[#This Row],[Raw_Value]]),
  _xlpm.scaleF, IFERROR(
    _xlfn.XLOOKUP(_xlpm.analyte, CalibrationCoefficients[Analyte], CalibrationCoefficients[ScaleFactor]),
    1
  ),
  IF(AND(_xlpm.analyte&lt;&gt;"", ISNUMBER(_xlpm.raw)), _xlpm.raw * _xlpm.scaleF, "NA")
)</f>
        <v>83.2</v>
      </c>
      <c r="N452" s="194"/>
      <c r="O452" s="41"/>
      <c r="P452" s="41"/>
      <c r="Q452" s="208" t="str">
        <f>_xlfn.LET(
  _xlpm.tRaw, SensorLab[[#This Row],[Tarnab_Lab]],
  _xlpm.bRaw, SensorLab[[#This Row],[Bari_Lab]],
  _xlpm.mRaw, SensorLab[[#This Row],[ManuChar_Lab]],
  _xlpm.tIsNum, ISNUMBER(_xlpm.tRaw),
  _xlpm.bIsNum, ISNUMBER(_xlpm.bRaw),
  _xlpm.mIsNum, ISNUMBER(_xlpm.mRaw),
  _xlpm.t, IF(_xlpm.tIsNum, _xlpm.tRaw, ""),
  _xlpm.b, IF(_xlpm.bIsNum, _xlpm.bRaw, ""),
  _xlpm.m, IF(_xlpm.mIsNum, _xlpm.mRaw, ""),
  _xlpm.c, (--_xlpm.tIsNum) + (--_xlpm.bIsNum) + (--_xlpm.mIsNum),
  _xlpm.sumVals, IF(_xlpm.tIsNum, _xlpm.tRaw, 0) + IF(_xlpm.bIsNum, _xlpm.bRaw, 0) + IF(_xlpm.mIsNum, _xlpm.mRaw, 0),
  _xlpm.result,
    IF(_xlpm.c = 0, "",
      IF(_xlpm.c = 1,
         IF(_xlpm.tIsNum, _xlpm.t, IF(_xlpm.bIsNum, _xlpm.b, _xlpm.m)),
      IF(_xlpm.c = 2,
         _xlpm.sumVals / 2,
         MEDIAN(_xlpm.t, _xlpm.b, _xlpm.m)
      ))),
  _xlpm.result
)</f>
        <v/>
      </c>
      <c r="R452" s="237" cm="1">
        <f t="array" ref="R45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137.64465999999999</v>
      </c>
      <c r="S452" s="238" cm="1">
        <f t="array" ref="S45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123.94468999999999</v>
      </c>
      <c r="T452" s="238" cm="1">
        <f t="array" ref="T45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-123.94468999999999</v>
      </c>
      <c r="U452" s="41" t="str" cm="1">
        <f t="array" ref="U45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136.36157 and 0.00000</v>
      </c>
      <c r="V452" s="22"/>
    </row>
    <row r="453" spans="10:22" x14ac:dyDescent="0.15">
      <c r="J453" s="190" t="s">
        <v>302</v>
      </c>
      <c r="K453" s="127" t="s">
        <v>52</v>
      </c>
      <c r="L453" s="220">
        <v>280</v>
      </c>
      <c r="M453" s="237">
        <f>_xlfn.LET(
  _xlpm.analyte, SensorLab[[#This Row],[Analyte]],
  _xlpm.raw, N(SensorLab[[#This Row],[Raw_Value]]),
  _xlpm.scaleF, IFERROR(
    _xlfn.XLOOKUP(_xlpm.analyte, CalibrationCoefficients[Analyte], CalibrationCoefficients[ScaleFactor]),
    1
  ),
  IF(AND(_xlpm.analyte&lt;&gt;"", ISNUMBER(_xlpm.raw)), _xlpm.raw * _xlpm.scaleF, "NA")
)</f>
        <v>0.28000000000000003</v>
      </c>
      <c r="N453" s="194"/>
      <c r="O453" s="41"/>
      <c r="P453" s="41"/>
      <c r="Q453" s="208" t="str">
        <f>_xlfn.LET(
  _xlpm.tRaw, SensorLab[[#This Row],[Tarnab_Lab]],
  _xlpm.bRaw, SensorLab[[#This Row],[Bari_Lab]],
  _xlpm.mRaw, SensorLab[[#This Row],[ManuChar_Lab]],
  _xlpm.tIsNum, ISNUMBER(_xlpm.tRaw),
  _xlpm.bIsNum, ISNUMBER(_xlpm.bRaw),
  _xlpm.mIsNum, ISNUMBER(_xlpm.mRaw),
  _xlpm.t, IF(_xlpm.tIsNum, _xlpm.tRaw, ""),
  _xlpm.b, IF(_xlpm.bIsNum, _xlpm.bRaw, ""),
  _xlpm.m, IF(_xlpm.mIsNum, _xlpm.mRaw, ""),
  _xlpm.c, (--_xlpm.tIsNum) + (--_xlpm.bIsNum) + (--_xlpm.mIsNum),
  _xlpm.sumVals, IF(_xlpm.tIsNum, _xlpm.tRaw, 0) + IF(_xlpm.bIsNum, _xlpm.bRaw, 0) + IF(_xlpm.mIsNum, _xlpm.mRaw, 0),
  _xlpm.result,
    IF(_xlpm.c = 0, "",
      IF(_xlpm.c = 1,
         IF(_xlpm.tIsNum, _xlpm.t, IF(_xlpm.bIsNum, _xlpm.b, _xlpm.m)),
      IF(_xlpm.c = 2,
         _xlpm.sumVals / 2,
         MEDIAN(_xlpm.t, _xlpm.b, _xlpm.m)
      ))),
  _xlpm.result
)</f>
        <v/>
      </c>
      <c r="R453" s="237" cm="1">
        <f t="array" ref="R45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1.0992200000000001</v>
      </c>
      <c r="S453" s="238" cm="1">
        <f t="array" ref="S45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1.0669900000000001</v>
      </c>
      <c r="T453" s="238" cm="1">
        <f t="array" ref="T45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-1.0669900000000001</v>
      </c>
      <c r="U453" s="41" t="str" cm="1">
        <f t="array" ref="U45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1.03357 and 0.00000</v>
      </c>
      <c r="V453" s="22"/>
    </row>
    <row r="454" spans="10:22" x14ac:dyDescent="0.15">
      <c r="J454" s="190" t="s">
        <v>302</v>
      </c>
      <c r="K454" s="127" t="s">
        <v>34</v>
      </c>
      <c r="L454" s="220">
        <v>708</v>
      </c>
      <c r="M454" s="237">
        <f>_xlfn.LET(
  _xlpm.analyte, SensorLab[[#This Row],[Analyte]],
  _xlpm.raw, N(SensorLab[[#This Row],[Raw_Value]]),
  _xlpm.scaleF, IFERROR(
    _xlfn.XLOOKUP(_xlpm.analyte, CalibrationCoefficients[Analyte], CalibrationCoefficients[ScaleFactor]),
    1
  ),
  IF(AND(_xlpm.analyte&lt;&gt;"", ISNUMBER(_xlpm.raw)), _xlpm.raw * _xlpm.scaleF, "NA")
)</f>
        <v>70.8</v>
      </c>
      <c r="N454" s="194"/>
      <c r="O454" s="41"/>
      <c r="P454" s="41"/>
      <c r="Q454" s="208"/>
      <c r="R454" s="237" cm="1">
        <f t="array" ref="R45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4.9880800000000001</v>
      </c>
      <c r="S454" s="238" cm="1">
        <f t="array" ref="S45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4.9551699999999999</v>
      </c>
      <c r="T454" s="238" cm="1">
        <f t="array" ref="T45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-0.54483000000000015</v>
      </c>
      <c r="U454" s="41" t="str" cm="1">
        <f t="array" ref="U45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4.53555 and 0.00000</v>
      </c>
      <c r="V454" s="22"/>
    </row>
    <row r="455" spans="10:22" x14ac:dyDescent="0.15">
      <c r="J455" s="190" t="s">
        <v>302</v>
      </c>
      <c r="K455" s="127" t="s">
        <v>90</v>
      </c>
      <c r="L455" s="220">
        <v>257</v>
      </c>
      <c r="M455" s="237">
        <f>_xlfn.LET(
  _xlpm.analyte, SensorLab[[#This Row],[Analyte]],
  _xlpm.raw, N(SensorLab[[#This Row],[Raw_Value]]),
  _xlpm.scaleF, IFERROR(
    _xlfn.XLOOKUP(_xlpm.analyte, CalibrationCoefficients[Analyte], CalibrationCoefficients[ScaleFactor]),
    1
  ),
  IF(AND(_xlpm.analyte&lt;&gt;"", ISNUMBER(_xlpm.raw)), _xlpm.raw * _xlpm.scaleF, "NA")
)</f>
        <v>25.700000000000003</v>
      </c>
      <c r="N455" s="194"/>
      <c r="O455" s="41"/>
      <c r="P455" s="41"/>
      <c r="Q455" s="208"/>
      <c r="R455" s="237" cm="1">
        <f t="array" ref="R45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25.928660000000001</v>
      </c>
      <c r="S455" s="238" cm="1">
        <f t="array" ref="S45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25.89208</v>
      </c>
      <c r="T455" s="238" cm="1">
        <f t="array" ref="T45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-25.89208</v>
      </c>
      <c r="U455" s="41" t="str" cm="1">
        <f t="array" ref="U45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25.63000 and 0.00000</v>
      </c>
      <c r="V455" s="22"/>
    </row>
    <row r="456" spans="10:22" x14ac:dyDescent="0.15">
      <c r="J456" s="190" t="s">
        <v>302</v>
      </c>
      <c r="K456" s="191" t="s">
        <v>43</v>
      </c>
      <c r="L456" s="220">
        <v>254</v>
      </c>
      <c r="M456" s="237">
        <f>_xlfn.LET(
  _xlpm.analyte, SensorLab[[#This Row],[Analyte]],
  _xlpm.raw, N(SensorLab[[#This Row],[Raw_Value]]),
  _xlpm.scaleF, IFERROR(
    _xlfn.XLOOKUP(_xlpm.analyte, CalibrationCoefficients[Analyte], CalibrationCoefficients[ScaleFactor]),
    1
  ),
  IF(AND(_xlpm.analyte&lt;&gt;"", ISNUMBER(_xlpm.raw)), _xlpm.raw * _xlpm.scaleF, "NA")
)</f>
        <v>25.400000000000002</v>
      </c>
      <c r="N456" s="194"/>
      <c r="O456" s="41"/>
      <c r="P456" s="41"/>
      <c r="Q456" s="208"/>
      <c r="R456" s="237" cm="1">
        <f t="array" ref="R45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25.387270000000001</v>
      </c>
      <c r="S456" s="238" cm="1">
        <f t="array" ref="S45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25.400680000000001</v>
      </c>
      <c r="T456" s="238" cm="1">
        <f t="array" ref="T45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-25.400680000000001</v>
      </c>
      <c r="U456" s="41" t="str" cm="1">
        <f t="array" ref="U45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25.40000 and 0.00000</v>
      </c>
      <c r="V456" s="22"/>
    </row>
    <row r="457" spans="10:22" x14ac:dyDescent="0.15">
      <c r="J457" s="190" t="s">
        <v>302</v>
      </c>
      <c r="K457" s="191" t="s">
        <v>45</v>
      </c>
      <c r="L457" s="208">
        <v>2.0999999999999999E-3</v>
      </c>
      <c r="M457" s="237">
        <f>_xlfn.LET(
  _xlpm.analyte, SensorLab[[#This Row],[Analyte]],
  _xlpm.raw, N(SensorLab[[#This Row],[Raw_Value]]),
  _xlpm.scaleF, IFERROR(
    _xlfn.XLOOKUP(_xlpm.analyte, CalibrationCoefficients[Analyte], CalibrationCoefficients[ScaleFactor]),
    1
  ),
  IF(AND(_xlpm.analyte&lt;&gt;"", ISNUMBER(_xlpm.raw)), _xlpm.raw * _xlpm.scaleF, "NA")
)</f>
        <v>2.0999999999999999E-3</v>
      </c>
      <c r="N457" s="194"/>
      <c r="O457" s="41"/>
      <c r="P457" s="41"/>
      <c r="Q457" s="208"/>
      <c r="R457" s="237" cm="1">
        <f t="array" ref="R45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0.72882999999999998</v>
      </c>
      <c r="S457" s="238" cm="1">
        <f t="array" ref="S45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0.72472999999999999</v>
      </c>
      <c r="T457" s="238" cm="1">
        <f t="array" ref="T45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-0.72472999999999999</v>
      </c>
      <c r="U457" s="41" t="str" cm="1">
        <f t="array" ref="U45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0.00000 and 0.00000</v>
      </c>
      <c r="V457" s="22"/>
    </row>
    <row r="458" spans="10:22" x14ac:dyDescent="0.15">
      <c r="J458" s="190" t="s">
        <v>302</v>
      </c>
      <c r="K458" s="127" t="s">
        <v>0</v>
      </c>
      <c r="L458" s="208">
        <v>27.12</v>
      </c>
      <c r="M458" s="237">
        <f>_xlfn.LET(
  _xlpm.analyte, SensorLab[[#This Row],[Analyte]],
  _xlpm.raw, N(SensorLab[[#This Row],[Raw_Value]]),
  _xlpm.scaleF, IFERROR(
    _xlfn.XLOOKUP(_xlpm.analyte, CalibrationCoefficients[Analyte], CalibrationCoefficients[ScaleFactor]),
    1
  ),
  IF(AND(_xlpm.analyte&lt;&gt;"", ISNUMBER(_xlpm.raw)), _xlpm.raw * _xlpm.scaleF, "NA")
)</f>
        <v>27.12</v>
      </c>
      <c r="N458" s="194"/>
      <c r="O458" s="41"/>
      <c r="P458" s="41"/>
      <c r="Q458" s="208"/>
      <c r="R458" s="237" cm="1">
        <f t="array" ref="R45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458" s="238" cm="1">
        <f t="array" ref="S45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458" s="238" cm="1">
        <f t="array" ref="T45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-23</v>
      </c>
      <c r="U458" s="41" t="str" cm="1">
        <f t="array" ref="U45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19.37048 and 0.00000</v>
      </c>
      <c r="V458" s="22"/>
    </row>
    <row r="459" spans="10:22" x14ac:dyDescent="0.15">
      <c r="J459" s="190" t="s">
        <v>302</v>
      </c>
      <c r="K459" s="127" t="s">
        <v>5</v>
      </c>
      <c r="L459" s="208">
        <v>57.73</v>
      </c>
      <c r="M459" s="237">
        <f>_xlfn.LET(
  _xlpm.analyte, SensorLab[[#This Row],[Analyte]],
  _xlpm.raw, N(SensorLab[[#This Row],[Raw_Value]]),
  _xlpm.scaleF, IFERROR(
    _xlfn.XLOOKUP(_xlpm.analyte, CalibrationCoefficients[Analyte], CalibrationCoefficients[ScaleFactor]),
    1
  ),
  IF(AND(_xlpm.analyte&lt;&gt;"", ISNUMBER(_xlpm.raw)), _xlpm.raw * _xlpm.scaleF, "NA")
)</f>
        <v>57.73</v>
      </c>
      <c r="N459" s="194"/>
      <c r="O459" s="41"/>
      <c r="P459" s="41"/>
      <c r="Q459" s="208"/>
      <c r="R459" s="237" cm="1">
        <f t="array" ref="R45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459" s="238" cm="1">
        <f t="array" ref="S45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459" s="238" cm="1">
        <f t="array" ref="T45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-28</v>
      </c>
      <c r="U459" s="41" t="str" cm="1">
        <f t="array" ref="U45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27.09957 and 0.00000</v>
      </c>
      <c r="V459" s="22"/>
    </row>
    <row r="460" spans="10:22" x14ac:dyDescent="0.15">
      <c r="J460" s="190" t="s">
        <v>302</v>
      </c>
      <c r="K460" s="127" t="s">
        <v>6</v>
      </c>
      <c r="L460" s="208">
        <v>15.15</v>
      </c>
      <c r="M460" s="237">
        <f>_xlfn.LET(
  _xlpm.analyte, SensorLab[[#This Row],[Analyte]],
  _xlpm.raw, N(SensorLab[[#This Row],[Raw_Value]]),
  _xlpm.scaleF, IFERROR(
    _xlfn.XLOOKUP(_xlpm.analyte, CalibrationCoefficients[Analyte], CalibrationCoefficients[ScaleFactor]),
    1
  ),
  IF(AND(_xlpm.analyte&lt;&gt;"", ISNUMBER(_xlpm.raw)), _xlpm.raw * _xlpm.scaleF, "NA")
)</f>
        <v>15.15</v>
      </c>
      <c r="N460" s="194"/>
      <c r="O460" s="41"/>
      <c r="P460" s="41"/>
      <c r="Q460" s="208"/>
      <c r="R460" s="237" cm="1">
        <f t="array" ref="R46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460" s="238" cm="1">
        <f t="array" ref="S46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460" s="238" cm="1">
        <f t="array" ref="T46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v>
      </c>
      <c r="U460" s="41" t="str" cm="1">
        <f t="array" ref="U46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12.10081 and 0.00000</v>
      </c>
      <c r="V460" s="22"/>
    </row>
    <row r="461" spans="10:22" ht="11.25" thickBot="1" x14ac:dyDescent="0.2">
      <c r="J461" s="192" t="s">
        <v>302</v>
      </c>
      <c r="K461" s="193" t="s">
        <v>69</v>
      </c>
      <c r="L461" s="255" t="str" cm="1">
        <f t="array" ref="L461">_xlfn.LET(
  _xlpm.bs,L458, _xlpm.si,L459, _xlpm.c,L460,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M461" s="256" t="str" cm="1">
        <f t="array" ref="M461">_xlfn.LET(
  _xlpm.bs,M458, _xlpm.si,M459, _xlpm.c,M460,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N461" s="245" t="str" cm="1">
        <f t="array" ref="N461">_xlfn.LET(
  _xlpm.bs,N458, _xlpm.si,N459, _xlpm.c,N460,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461" s="245" t="str" cm="1">
        <f t="array" ref="O461">_xlfn.LET(
  _xlpm.bs,O458, _xlpm.si,O459, _xlpm.c,O460,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P461" s="245" t="str" cm="1">
        <f t="array" ref="P461">_xlfn.LET(
  _xlpm.bs,P458, _xlpm.si,P459, _xlpm.c,P460,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461" s="255" t="str" cm="1">
        <f t="array" ref="Q461">_xlfn.LET(
  _xlpm.bs,Q458, _xlpm.si,Q459, _xlpm.c,Q460,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R461" s="256" t="str" cm="1">
        <f t="array" ref="R461">_xlfn.LET(
  _xlpm.bs,R458, _xlpm.si,R459, _xlpm.c,R460,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S461" s="256" t="str" cm="1">
        <f t="array" ref="S461">_xlfn.LET(
  _xlpm.bs,S458, _xlpm.si,S459, _xlpm.c,S460,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T461" s="240" cm="1">
        <f t="array" ref="T46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v>
      </c>
      <c r="U461" s="229" t="str" cm="1">
        <f t="array" ref="U46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#N/A</v>
      </c>
      <c r="V461" s="22"/>
    </row>
    <row r="462" spans="10:22" x14ac:dyDescent="0.15">
      <c r="J462" s="190" t="s">
        <v>246</v>
      </c>
      <c r="K462" s="127" t="s">
        <v>39</v>
      </c>
      <c r="L462" s="220">
        <v>0</v>
      </c>
      <c r="M462"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462" s="194"/>
      <c r="O462" s="41"/>
      <c r="P462" s="41"/>
      <c r="Q462" s="208" t="str">
        <f>_xlfn.LET(
  _xlpm.tRaw, SensorLab[[#This Row],[Tarnab_Lab]],
  _xlpm.bRaw, SensorLab[[#This Row],[Bari_Lab]],
  _xlpm.mRaw, SensorLab[[#This Row],[ManuChar_Lab]],
  _xlpm.tIsNum, ISNUMBER(_xlpm.tRaw),
  _xlpm.bIsNum, ISNUMBER(_xlpm.bRaw),
  _xlpm.mIsNum, ISNUMBER(_xlpm.mRaw),
  _xlpm.t, IF(_xlpm.tIsNum, _xlpm.tRaw, ""),
  _xlpm.b, IF(_xlpm.bIsNum, _xlpm.bRaw, ""),
  _xlpm.m, IF(_xlpm.mIsNum, _xlpm.mRaw, ""),
  _xlpm.c, (--_xlpm.tIsNum) + (--_xlpm.bIsNum) + (--_xlpm.mIsNum),
  _xlpm.sumVals, IF(_xlpm.tIsNum, _xlpm.tRaw, 0) + IF(_xlpm.bIsNum, _xlpm.bRaw, 0) + IF(_xlpm.mIsNum, _xlpm.mRaw, 0),
  _xlpm.result,
    IF(_xlpm.c = 0, "",
      IF(_xlpm.c = 1,
         IF(_xlpm.tIsNum, _xlpm.t, IF(_xlpm.bIsNum, _xlpm.b, _xlpm.m)),
      IF(_xlpm.c = 2,
         _xlpm.sumVals / 2,
         MEDIAN(_xlpm.t, _xlpm.b, _xlpm.m)
      ))),
  _xlpm.result
)</f>
        <v/>
      </c>
      <c r="R462" s="239" cm="1">
        <f t="array" ref="R46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0.44663000000000003</v>
      </c>
      <c r="S462" s="241" cm="1">
        <f t="array" ref="S46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v>
      </c>
      <c r="T462" s="241" cm="1">
        <f t="array" ref="T46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-6</v>
      </c>
      <c r="U462" s="41" t="str" cm="1">
        <f t="array" ref="U46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0.44663 and 0.00000</v>
      </c>
      <c r="V462" s="22"/>
    </row>
    <row r="463" spans="10:22" x14ac:dyDescent="0.15">
      <c r="J463" s="190" t="s">
        <v>246</v>
      </c>
      <c r="K463" s="191" t="s">
        <v>40</v>
      </c>
      <c r="L463" s="220">
        <v>29</v>
      </c>
      <c r="M463" s="237">
        <f>_xlfn.LET(
  _xlpm.analyte, SensorLab[[#This Row],[Analyte]],
  _xlpm.raw, N(SensorLab[[#This Row],[Raw_Value]]),
  _xlpm.scaleF, IFERROR(
    _xlfn.XLOOKUP(_xlpm.analyte, CalibrationCoefficients[Analyte], CalibrationCoefficients[ScaleFactor]),
    1
  ),
  IF(AND(_xlpm.analyte&lt;&gt;"", ISNUMBER(_xlpm.raw)), _xlpm.raw * _xlpm.scaleF, "NA")
)</f>
        <v>29</v>
      </c>
      <c r="N463" s="194"/>
      <c r="O463" s="41"/>
      <c r="P463" s="41"/>
      <c r="Q463" s="208" t="str">
        <f>_xlfn.LET(
  _xlpm.tRaw, SensorLab[[#This Row],[Tarnab_Lab]],
  _xlpm.bRaw, SensorLab[[#This Row],[Bari_Lab]],
  _xlpm.mRaw, SensorLab[[#This Row],[ManuChar_Lab]],
  _xlpm.tIsNum, ISNUMBER(_xlpm.tRaw),
  _xlpm.bIsNum, ISNUMBER(_xlpm.bRaw),
  _xlpm.mIsNum, ISNUMBER(_xlpm.mRaw),
  _xlpm.t, IF(_xlpm.tIsNum, _xlpm.tRaw, ""),
  _xlpm.b, IF(_xlpm.bIsNum, _xlpm.bRaw, ""),
  _xlpm.m, IF(_xlpm.mIsNum, _xlpm.mRaw, ""),
  _xlpm.c, (--_xlpm.tIsNum) + (--_xlpm.bIsNum) + (--_xlpm.mIsNum),
  _xlpm.sumVals, IF(_xlpm.tIsNum, _xlpm.tRaw, 0) + IF(_xlpm.bIsNum, _xlpm.bRaw, 0) + IF(_xlpm.mIsNum, _xlpm.mRaw, 0),
  _xlpm.result,
    IF(_xlpm.c = 0, "",
      IF(_xlpm.c = 1,
         IF(_xlpm.tIsNum, _xlpm.t, IF(_xlpm.bIsNum, _xlpm.b, _xlpm.m)),
      IF(_xlpm.c = 2,
         _xlpm.sumVals / 2,
         MEDIAN(_xlpm.t, _xlpm.b, _xlpm.m)
      ))),
  _xlpm.result
)</f>
        <v/>
      </c>
      <c r="R463" s="237" cm="1">
        <f t="array" ref="R46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6.0396299999999998</v>
      </c>
      <c r="S463" s="238" cm="1">
        <f t="array" ref="S46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4.8495999999999997</v>
      </c>
      <c r="T463" s="238" cm="1">
        <f t="array" ref="T46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-0.15040000000000031</v>
      </c>
      <c r="U463" s="41" t="str" cm="1">
        <f t="array" ref="U46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6.10489 and 0.00000</v>
      </c>
      <c r="V463" s="22"/>
    </row>
    <row r="464" spans="10:22" x14ac:dyDescent="0.15">
      <c r="J464" s="190" t="s">
        <v>246</v>
      </c>
      <c r="K464" s="191" t="s">
        <v>41</v>
      </c>
      <c r="L464" s="220">
        <v>21</v>
      </c>
      <c r="M464" s="237">
        <f>_xlfn.LET(
  _xlpm.analyte, SensorLab[[#This Row],[Analyte]],
  _xlpm.raw, N(SensorLab[[#This Row],[Raw_Value]]),
  _xlpm.scaleF, IFERROR(
    _xlfn.XLOOKUP(_xlpm.analyte, CalibrationCoefficients[Analyte], CalibrationCoefficients[ScaleFactor]),
    1
  ),
  IF(AND(_xlpm.analyte&lt;&gt;"", ISNUMBER(_xlpm.raw)), _xlpm.raw * _xlpm.scaleF, "NA")
)</f>
        <v>21</v>
      </c>
      <c r="N464" s="194"/>
      <c r="O464" s="41"/>
      <c r="P464" s="41"/>
      <c r="Q464" s="208" t="str">
        <f>_xlfn.LET(
  _xlpm.tRaw, SensorLab[[#This Row],[Tarnab_Lab]],
  _xlpm.bRaw, SensorLab[[#This Row],[Bari_Lab]],
  _xlpm.mRaw, SensorLab[[#This Row],[ManuChar_Lab]],
  _xlpm.tIsNum, ISNUMBER(_xlpm.tRaw),
  _xlpm.bIsNum, ISNUMBER(_xlpm.bRaw),
  _xlpm.mIsNum, ISNUMBER(_xlpm.mRaw),
  _xlpm.t, IF(_xlpm.tIsNum, _xlpm.tRaw, ""),
  _xlpm.b, IF(_xlpm.bIsNum, _xlpm.bRaw, ""),
  _xlpm.m, IF(_xlpm.mIsNum, _xlpm.mRaw, ""),
  _xlpm.c, (--_xlpm.tIsNum) + (--_xlpm.bIsNum) + (--_xlpm.mIsNum),
  _xlpm.sumVals, IF(_xlpm.tIsNum, _xlpm.tRaw, 0) + IF(_xlpm.bIsNum, _xlpm.bRaw, 0) + IF(_xlpm.mIsNum, _xlpm.mRaw, 0),
  _xlpm.result,
    IF(_xlpm.c = 0, "",
      IF(_xlpm.c = 1,
         IF(_xlpm.tIsNum, _xlpm.t, IF(_xlpm.bIsNum, _xlpm.b, _xlpm.m)),
      IF(_xlpm.c = 2,
         _xlpm.sumVals / 2,
         MEDIAN(_xlpm.t, _xlpm.b, _xlpm.m)
      ))),
  _xlpm.result
)</f>
        <v/>
      </c>
      <c r="R464" s="237" cm="1">
        <f t="array" ref="R46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118.10195</v>
      </c>
      <c r="S464" s="238" cm="1">
        <f t="array" ref="S46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104.40197999999999</v>
      </c>
      <c r="T464" s="238" cm="1">
        <f t="array" ref="T46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-104.40197999999999</v>
      </c>
      <c r="U464" s="41" t="str" cm="1">
        <f t="array" ref="U46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114.94217 and 0.00000</v>
      </c>
      <c r="V464" s="22"/>
    </row>
    <row r="465" spans="10:22" x14ac:dyDescent="0.15">
      <c r="J465" s="190" t="s">
        <v>246</v>
      </c>
      <c r="K465" s="127" t="s">
        <v>52</v>
      </c>
      <c r="L465" s="220">
        <v>149</v>
      </c>
      <c r="M465" s="237">
        <f>_xlfn.LET(
  _xlpm.analyte, SensorLab[[#This Row],[Analyte]],
  _xlpm.raw, N(SensorLab[[#This Row],[Raw_Value]]),
  _xlpm.scaleF, IFERROR(
    _xlfn.XLOOKUP(_xlpm.analyte, CalibrationCoefficients[Analyte], CalibrationCoefficients[ScaleFactor]),
    1
  ),
  IF(AND(_xlpm.analyte&lt;&gt;"", ISNUMBER(_xlpm.raw)), _xlpm.raw * _xlpm.scaleF, "NA")
)</f>
        <v>0.14899999999999999</v>
      </c>
      <c r="N465" s="194"/>
      <c r="O465" s="41"/>
      <c r="P465" s="41"/>
      <c r="Q465" s="208"/>
      <c r="R465" s="237" cm="1">
        <f t="array" ref="R46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1.0133700000000001</v>
      </c>
      <c r="S465" s="238" cm="1">
        <f t="array" ref="S46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0.98114000000000001</v>
      </c>
      <c r="T465" s="238" cm="1">
        <f t="array" ref="T46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-0.98114000000000001</v>
      </c>
      <c r="U465" s="41" t="str" cm="1">
        <f t="array" ref="U46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1.00526 and 0.00000</v>
      </c>
      <c r="V465" s="22"/>
    </row>
    <row r="466" spans="10:22" x14ac:dyDescent="0.15">
      <c r="J466" s="190" t="s">
        <v>246</v>
      </c>
      <c r="K466" s="127" t="s">
        <v>34</v>
      </c>
      <c r="L466" s="220">
        <v>73</v>
      </c>
      <c r="M466" s="237">
        <f>_xlfn.LET(
  _xlpm.analyte, SensorLab[[#This Row],[Analyte]],
  _xlpm.raw, N(SensorLab[[#This Row],[Raw_Value]]),
  _xlpm.scaleF, IFERROR(
    _xlfn.XLOOKUP(_xlpm.analyte, CalibrationCoefficients[Analyte], CalibrationCoefficients[ScaleFactor]),
    1
  ),
  IF(AND(_xlpm.analyte&lt;&gt;"", ISNUMBER(_xlpm.raw)), _xlpm.raw * _xlpm.scaleF, "NA")
)</f>
        <v>7.3000000000000007</v>
      </c>
      <c r="N466" s="194"/>
      <c r="O466" s="41"/>
      <c r="P466" s="41"/>
      <c r="Q466" s="208"/>
      <c r="R466" s="237" cm="1">
        <f t="array" ref="R46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7.8900600000000001</v>
      </c>
      <c r="S466" s="238" cm="1">
        <f t="array" ref="S46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7.8571499999999999</v>
      </c>
      <c r="T466" s="238" cm="1">
        <f t="array" ref="T46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-7.8571499999999999</v>
      </c>
      <c r="U466" s="41" t="str" cm="1">
        <f t="array" ref="U46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7.80301 and 0.00000</v>
      </c>
      <c r="V466" s="22"/>
    </row>
    <row r="467" spans="10:22" x14ac:dyDescent="0.15">
      <c r="J467" s="190" t="s">
        <v>246</v>
      </c>
      <c r="K467" s="127" t="s">
        <v>90</v>
      </c>
      <c r="L467" s="220">
        <v>141</v>
      </c>
      <c r="M467" s="237">
        <f>_xlfn.LET(
  _xlpm.analyte, SensorLab[[#This Row],[Analyte]],
  _xlpm.raw, N(SensorLab[[#This Row],[Raw_Value]]),
  _xlpm.scaleF, IFERROR(
    _xlfn.XLOOKUP(_xlpm.analyte, CalibrationCoefficients[Analyte], CalibrationCoefficients[ScaleFactor]),
    1
  ),
  IF(AND(_xlpm.analyte&lt;&gt;"", ISNUMBER(_xlpm.raw)), _xlpm.raw * _xlpm.scaleF, "NA")
)</f>
        <v>14.100000000000001</v>
      </c>
      <c r="N467" s="194"/>
      <c r="O467" s="41"/>
      <c r="P467" s="41"/>
      <c r="Q467" s="208"/>
      <c r="R467" s="237" cm="1">
        <f t="array" ref="R46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14.08907</v>
      </c>
      <c r="S467" s="238" cm="1">
        <f t="array" ref="S46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14.052490000000001</v>
      </c>
      <c r="T467" s="238" cm="1">
        <f t="array" ref="T46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-9.9475099999999994</v>
      </c>
      <c r="U467" s="41" t="str" cm="1">
        <f t="array" ref="U46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14.03000 and 0.00000</v>
      </c>
      <c r="V467" s="22"/>
    </row>
    <row r="468" spans="10:22" x14ac:dyDescent="0.15">
      <c r="J468" s="190" t="s">
        <v>246</v>
      </c>
      <c r="K468" s="191" t="s">
        <v>43</v>
      </c>
      <c r="L468" s="220">
        <v>270</v>
      </c>
      <c r="M468" s="237">
        <f>_xlfn.LET(
  _xlpm.analyte, SensorLab[[#This Row],[Analyte]],
  _xlpm.raw, N(SensorLab[[#This Row],[Raw_Value]]),
  _xlpm.scaleF, IFERROR(
    _xlfn.XLOOKUP(_xlpm.analyte, CalibrationCoefficients[Analyte], CalibrationCoefficients[ScaleFactor]),
    1
  ),
  IF(AND(_xlpm.analyte&lt;&gt;"", ISNUMBER(_xlpm.raw)), _xlpm.raw * _xlpm.scaleF, "NA")
)</f>
        <v>27</v>
      </c>
      <c r="N468" s="194"/>
      <c r="O468" s="41"/>
      <c r="P468" s="41"/>
      <c r="Q468" s="208"/>
      <c r="R468" s="237" cm="1">
        <f t="array" ref="R46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26.987670000000001</v>
      </c>
      <c r="S468" s="238" cm="1">
        <f t="array" ref="S46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27.001080000000002</v>
      </c>
      <c r="T468" s="238" cm="1">
        <f t="array" ref="T46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-27.001080000000002</v>
      </c>
      <c r="U468" s="41" t="str" cm="1">
        <f t="array" ref="U46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27.00000 and 0.00000</v>
      </c>
      <c r="V468" s="22"/>
    </row>
    <row r="469" spans="10:22" x14ac:dyDescent="0.15">
      <c r="J469" s="190" t="s">
        <v>246</v>
      </c>
      <c r="K469" s="191" t="s">
        <v>45</v>
      </c>
      <c r="L469" s="208">
        <v>5.1999999999999995E-4</v>
      </c>
      <c r="M469" s="237">
        <f>_xlfn.LET(
  _xlpm.analyte, SensorLab[[#This Row],[Analyte]],
  _xlpm.raw, N(SensorLab[[#This Row],[Raw_Value]]),
  _xlpm.scaleF, IFERROR(
    _xlfn.XLOOKUP(_xlpm.analyte, CalibrationCoefficients[Analyte], CalibrationCoefficients[ScaleFactor]),
    1
  ),
  IF(AND(_xlpm.analyte&lt;&gt;"", ISNUMBER(_xlpm.raw)), _xlpm.raw * _xlpm.scaleF, "NA")
)</f>
        <v>5.1999999999999995E-4</v>
      </c>
      <c r="N469" s="194"/>
      <c r="O469" s="41"/>
      <c r="P469" s="41"/>
      <c r="Q469" s="208"/>
      <c r="R469" s="237" cm="1">
        <f t="array" ref="R46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0.60409999999999997</v>
      </c>
      <c r="S469" s="238" cm="1">
        <f t="array" ref="S46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0.6</v>
      </c>
      <c r="T469" s="238" cm="1">
        <f t="array" ref="T46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-0.6</v>
      </c>
      <c r="U469" s="41" t="str" cm="1">
        <f t="array" ref="U46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0.00000 and 0.00000</v>
      </c>
      <c r="V469" s="22"/>
    </row>
    <row r="470" spans="10:22" x14ac:dyDescent="0.15">
      <c r="J470" s="190" t="s">
        <v>246</v>
      </c>
      <c r="K470" s="127" t="s">
        <v>0</v>
      </c>
      <c r="L470" s="208">
        <v>35.200000000000003</v>
      </c>
      <c r="M470" s="237">
        <f>_xlfn.LET(
  _xlpm.analyte, SensorLab[[#This Row],[Analyte]],
  _xlpm.raw, N(SensorLab[[#This Row],[Raw_Value]]),
  _xlpm.scaleF, IFERROR(
    _xlfn.XLOOKUP(_xlpm.analyte, CalibrationCoefficients[Analyte], CalibrationCoefficients[ScaleFactor]),
    1
  ),
  IF(AND(_xlpm.analyte&lt;&gt;"", ISNUMBER(_xlpm.raw)), _xlpm.raw * _xlpm.scaleF, "NA")
)</f>
        <v>35.200000000000003</v>
      </c>
      <c r="N470" s="194"/>
      <c r="O470" s="41"/>
      <c r="P470" s="41"/>
      <c r="Q470" s="208"/>
      <c r="R470" s="237" cm="1">
        <f t="array" ref="R47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470" s="238" cm="1">
        <f t="array" ref="S47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470" s="238" cm="1">
        <f t="array" ref="T47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-23</v>
      </c>
      <c r="U470" s="41" t="str" cm="1">
        <f t="array" ref="U47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17.81910 and 0.00000</v>
      </c>
      <c r="V470" s="22"/>
    </row>
    <row r="471" spans="10:22" x14ac:dyDescent="0.15">
      <c r="J471" s="190" t="s">
        <v>246</v>
      </c>
      <c r="K471" s="127" t="s">
        <v>5</v>
      </c>
      <c r="L471" s="208">
        <v>47.1</v>
      </c>
      <c r="M471" s="237">
        <f>_xlfn.LET(
  _xlpm.analyte, SensorLab[[#This Row],[Analyte]],
  _xlpm.raw, N(SensorLab[[#This Row],[Raw_Value]]),
  _xlpm.scaleF, IFERROR(
    _xlfn.XLOOKUP(_xlpm.analyte, CalibrationCoefficients[Analyte], CalibrationCoefficients[ScaleFactor]),
    1
  ),
  IF(AND(_xlpm.analyte&lt;&gt;"", ISNUMBER(_xlpm.raw)), _xlpm.raw * _xlpm.scaleF, "NA")
)</f>
        <v>47.1</v>
      </c>
      <c r="N471" s="194"/>
      <c r="O471" s="41"/>
      <c r="P471" s="41"/>
      <c r="Q471" s="208"/>
      <c r="R471" s="237" cm="1">
        <f t="array" ref="R47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471" s="238" cm="1">
        <f t="array" ref="S47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471" s="238" cm="1">
        <f t="array" ref="T47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-28</v>
      </c>
      <c r="U471" s="41" t="str" cm="1">
        <f t="array" ref="U47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29.21840 and 0.00000</v>
      </c>
      <c r="V471" s="22"/>
    </row>
    <row r="472" spans="10:22" x14ac:dyDescent="0.15">
      <c r="J472" s="190" t="s">
        <v>246</v>
      </c>
      <c r="K472" s="127" t="s">
        <v>6</v>
      </c>
      <c r="L472" s="208">
        <v>17.7</v>
      </c>
      <c r="M472" s="237">
        <f>_xlfn.LET(
  _xlpm.analyte, SensorLab[[#This Row],[Analyte]],
  _xlpm.raw, N(SensorLab[[#This Row],[Raw_Value]]),
  _xlpm.scaleF, IFERROR(
    _xlfn.XLOOKUP(_xlpm.analyte, CalibrationCoefficients[Analyte], CalibrationCoefficients[ScaleFactor]),
    1
  ),
  IF(AND(_xlpm.analyte&lt;&gt;"", ISNUMBER(_xlpm.raw)), _xlpm.raw * _xlpm.scaleF, "NA")
)</f>
        <v>17.7</v>
      </c>
      <c r="N472" s="194"/>
      <c r="O472" s="41"/>
      <c r="P472" s="41"/>
      <c r="Q472" s="208"/>
      <c r="R472" s="237" cm="1">
        <f t="array" ref="R47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472" s="238" cm="1">
        <f t="array" ref="S47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472" s="238" cm="1">
        <f t="array" ref="T47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v>
      </c>
      <c r="U472" s="41" t="str" cm="1">
        <f t="array" ref="U47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11.49787 and 0.00000</v>
      </c>
      <c r="V472" s="22"/>
    </row>
    <row r="473" spans="10:22" ht="11.25" thickBot="1" x14ac:dyDescent="0.2">
      <c r="J473" s="192" t="s">
        <v>246</v>
      </c>
      <c r="K473" s="193" t="s">
        <v>69</v>
      </c>
      <c r="L473" s="255" t="str" cm="1">
        <f t="array" ref="L473">_xlfn.LET(
  _xlpm.bs,L470, _xlpm.si,L471, _xlpm.c,L472,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M473" s="256" t="str" cm="1">
        <f t="array" ref="M473">_xlfn.LET(
  _xlpm.bs,M470, _xlpm.si,M471, _xlpm.c,M472,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N473" s="245" t="str" cm="1">
        <f t="array" ref="N473">_xlfn.LET(
  _xlpm.bs,N470, _xlpm.si,N471, _xlpm.c,N472,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473" s="245" t="str" cm="1">
        <f t="array" ref="O473">_xlfn.LET(
  _xlpm.bs,O470, _xlpm.si,O471, _xlpm.c,O472,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P473" s="245" t="str" cm="1">
        <f t="array" ref="P473">_xlfn.LET(
  _xlpm.bs,P470, _xlpm.si,P471, _xlpm.c,P472,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473" s="255" t="str" cm="1">
        <f t="array" ref="Q473">_xlfn.LET(
  _xlpm.bs,Q470, _xlpm.si,Q471, _xlpm.c,Q472,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R473" s="256" t="str" cm="1">
        <f t="array" ref="R473">_xlfn.LET(
  _xlpm.bs,R470, _xlpm.si,R471, _xlpm.c,R472,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S473" s="256" t="str" cm="1">
        <f t="array" ref="S473">_xlfn.LET(
  _xlpm.bs,S470, _xlpm.si,S471, _xlpm.c,S472,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T473" s="240" cm="1">
        <f t="array" ref="T47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v>
      </c>
      <c r="U473" s="229" t="str" cm="1">
        <f t="array" ref="U47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#N/A</v>
      </c>
      <c r="V473" s="22"/>
    </row>
    <row r="474" spans="10:22" x14ac:dyDescent="0.15">
      <c r="J474" s="190" t="s">
        <v>247</v>
      </c>
      <c r="K474" s="127" t="s">
        <v>39</v>
      </c>
      <c r="L474" s="208">
        <v>0</v>
      </c>
      <c r="M474"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474" s="41"/>
      <c r="O474" s="41">
        <v>2</v>
      </c>
      <c r="P474" s="41"/>
      <c r="Q474" s="207" cm="1">
        <f t="array" ref="Q47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v>
      </c>
      <c r="R474" s="239" cm="1">
        <f t="array" ref="R47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0.44663000000000003</v>
      </c>
      <c r="S474" s="241" cm="1">
        <f t="array" ref="S47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v>
      </c>
      <c r="T474" s="241" cm="1">
        <f t="array" ref="T47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v>
      </c>
      <c r="U474" s="41" t="str" cm="1">
        <f t="array" ref="U47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1.17402 and 0.44663</v>
      </c>
      <c r="V474" s="22"/>
    </row>
    <row r="475" spans="10:22" x14ac:dyDescent="0.15">
      <c r="J475" s="190" t="s">
        <v>247</v>
      </c>
      <c r="K475" s="191" t="s">
        <v>40</v>
      </c>
      <c r="L475" s="208">
        <v>46</v>
      </c>
      <c r="M475" s="237">
        <f>_xlfn.LET(
  _xlpm.analyte, SensorLab[[#This Row],[Analyte]],
  _xlpm.raw, N(SensorLab[[#This Row],[Raw_Value]]),
  _xlpm.scaleF, IFERROR(
    _xlfn.XLOOKUP(_xlpm.analyte, CalibrationCoefficients[Analyte], CalibrationCoefficients[ScaleFactor]),
    1
  ),
  IF(AND(_xlpm.analyte&lt;&gt;"", ISNUMBER(_xlpm.raw)), _xlpm.raw * _xlpm.scaleF, "NA")
)</f>
        <v>46</v>
      </c>
      <c r="N475" s="41"/>
      <c r="O475" s="41">
        <v>3.72</v>
      </c>
      <c r="P475" s="41"/>
      <c r="Q475" s="208" cm="1">
        <f t="array" ref="Q475">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3.72</v>
      </c>
      <c r="R475" s="237" cm="1">
        <f t="array" ref="R47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6.4649700000000001</v>
      </c>
      <c r="S475" s="238" cm="1">
        <f t="array" ref="S47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5.27494</v>
      </c>
      <c r="T475" s="238" cm="1">
        <f t="array" ref="T47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-1.55494</v>
      </c>
      <c r="U475" s="41" t="str" cm="1">
        <f t="array" ref="U47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6.33677 and 5.98963</v>
      </c>
      <c r="V475" s="22"/>
    </row>
    <row r="476" spans="10:22" x14ac:dyDescent="0.15">
      <c r="J476" s="190" t="s">
        <v>247</v>
      </c>
      <c r="K476" s="191" t="s">
        <v>41</v>
      </c>
      <c r="L476" s="208">
        <v>38</v>
      </c>
      <c r="M476" s="237">
        <f>_xlfn.LET(
  _xlpm.analyte, SensorLab[[#This Row],[Analyte]],
  _xlpm.raw, N(SensorLab[[#This Row],[Raw_Value]]),
  _xlpm.scaleF, IFERROR(
    _xlfn.XLOOKUP(_xlpm.analyte, CalibrationCoefficients[Analyte], CalibrationCoefficients[ScaleFactor]),
    1
  ),
  IF(AND(_xlpm.analyte&lt;&gt;"", ISNUMBER(_xlpm.raw)), _xlpm.raw * _xlpm.scaleF, "NA")
)</f>
        <v>38</v>
      </c>
      <c r="N476" s="41"/>
      <c r="O476" s="41">
        <v>109</v>
      </c>
      <c r="P476" s="41"/>
      <c r="Q476" s="208" cm="1">
        <f t="array" ref="Q47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109</v>
      </c>
      <c r="R476" s="237" cm="1">
        <f t="array" ref="R47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123.4432</v>
      </c>
      <c r="S476" s="238" cm="1">
        <f t="array" ref="S47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109.74323</v>
      </c>
      <c r="T476" s="238" cm="1">
        <f t="array" ref="T47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-0.74322999999999995</v>
      </c>
      <c r="U476" s="41" t="str" cm="1">
        <f t="array" ref="U47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120.79635 and 123.77635</v>
      </c>
      <c r="V476" s="22"/>
    </row>
    <row r="477" spans="10:22" x14ac:dyDescent="0.15">
      <c r="J477" s="190" t="s">
        <v>247</v>
      </c>
      <c r="K477" s="127" t="s">
        <v>52</v>
      </c>
      <c r="L477" s="208">
        <v>185</v>
      </c>
      <c r="M477" s="237">
        <f>_xlfn.LET(
  _xlpm.analyte, SensorLab[[#This Row],[Analyte]],
  _xlpm.raw, N(SensorLab[[#This Row],[Raw_Value]]),
  _xlpm.scaleF, IFERROR(
    _xlfn.XLOOKUP(_xlpm.analyte, CalibrationCoefficients[Analyte], CalibrationCoefficients[ScaleFactor]),
    1
  ),
  IF(AND(_xlpm.analyte&lt;&gt;"", ISNUMBER(_xlpm.raw)), _xlpm.raw * _xlpm.scaleF, "NA")
)</f>
        <v>0.185</v>
      </c>
      <c r="N477" s="41"/>
      <c r="O477" s="41">
        <v>0.41</v>
      </c>
      <c r="P477" s="41"/>
      <c r="Q477" s="208" cm="1">
        <f t="array" ref="Q477">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0.41</v>
      </c>
      <c r="R477" s="237" cm="1">
        <f t="array" ref="R47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1.0369699999999999</v>
      </c>
      <c r="S477" s="238" cm="1">
        <f t="array" ref="S47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1.00474</v>
      </c>
      <c r="T477" s="238" cm="1">
        <f t="array" ref="T47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-0.59474000000000005</v>
      </c>
      <c r="U477" s="41" t="str" cm="1">
        <f t="array" ref="U47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1.01304 and 0.50430</v>
      </c>
      <c r="V477" s="22"/>
    </row>
    <row r="478" spans="10:22" x14ac:dyDescent="0.15">
      <c r="J478" s="190" t="s">
        <v>247</v>
      </c>
      <c r="K478" s="127" t="s">
        <v>34</v>
      </c>
      <c r="L478" s="208">
        <v>73</v>
      </c>
      <c r="M478" s="237">
        <f>_xlfn.LET(
  _xlpm.analyte, SensorLab[[#This Row],[Analyte]],
  _xlpm.raw, N(SensorLab[[#This Row],[Raw_Value]]),
  _xlpm.scaleF, IFERROR(
    _xlfn.XLOOKUP(_xlpm.analyte, CalibrationCoefficients[Analyte], CalibrationCoefficients[ScaleFactor]),
    1
  ),
  IF(AND(_xlpm.analyte&lt;&gt;"", ISNUMBER(_xlpm.raw)), _xlpm.raw * _xlpm.scaleF, "NA")
)</f>
        <v>7.3000000000000007</v>
      </c>
      <c r="N478" s="41"/>
      <c r="O478" s="41">
        <v>9.81</v>
      </c>
      <c r="P478" s="41"/>
      <c r="Q478" s="208" cm="1">
        <f t="array" ref="Q47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9.81</v>
      </c>
      <c r="R478" s="237" cm="1">
        <f t="array" ref="R47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7.8900600000000001</v>
      </c>
      <c r="S478" s="238" cm="1">
        <f t="array" ref="S47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7.8571499999999999</v>
      </c>
      <c r="T478" s="238" cm="1">
        <f t="array" ref="T47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1.95285</v>
      </c>
      <c r="U478" s="41" t="str" cm="1">
        <f t="array" ref="U47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9.42992 and 8.00301</v>
      </c>
      <c r="V478" s="22"/>
    </row>
    <row r="479" spans="10:22" x14ac:dyDescent="0.15">
      <c r="J479" s="190" t="s">
        <v>247</v>
      </c>
      <c r="K479" s="127" t="s">
        <v>90</v>
      </c>
      <c r="L479" s="208">
        <v>113</v>
      </c>
      <c r="M479" s="237">
        <f>_xlfn.LET(
  _xlpm.analyte, SensorLab[[#This Row],[Analyte]],
  _xlpm.raw, N(SensorLab[[#This Row],[Raw_Value]]),
  _xlpm.scaleF, IFERROR(
    _xlfn.XLOOKUP(_xlpm.analyte, CalibrationCoefficients[Analyte], CalibrationCoefficients[ScaleFactor]),
    1
  ),
  IF(AND(_xlpm.analyte&lt;&gt;"", ISNUMBER(_xlpm.raw)), _xlpm.raw * _xlpm.scaleF, "NA")
)</f>
        <v>11.3</v>
      </c>
      <c r="N479" s="41"/>
      <c r="O479" s="41">
        <v>11.3</v>
      </c>
      <c r="P479" s="41"/>
      <c r="Q479" s="208" cm="1">
        <f t="array" ref="Q479">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11.3</v>
      </c>
      <c r="R479" s="237" cm="1">
        <f t="array" ref="R47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11.23124</v>
      </c>
      <c r="S479" s="238" cm="1">
        <f t="array" ref="S47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11.194660000000001</v>
      </c>
      <c r="T479" s="238" cm="1">
        <f t="array" ref="T47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-10.805339999999999</v>
      </c>
      <c r="U479" s="41" t="str" cm="1">
        <f t="array" ref="U47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11.26843 and 11.33157</v>
      </c>
      <c r="V479" s="22"/>
    </row>
    <row r="480" spans="10:22" x14ac:dyDescent="0.15">
      <c r="J480" s="190" t="s">
        <v>247</v>
      </c>
      <c r="K480" s="191" t="s">
        <v>43</v>
      </c>
      <c r="L480" s="208">
        <v>281</v>
      </c>
      <c r="M480" s="237">
        <f>_xlfn.LET(
  _xlpm.analyte, SensorLab[[#This Row],[Analyte]],
  _xlpm.raw, N(SensorLab[[#This Row],[Raw_Value]]),
  _xlpm.scaleF, IFERROR(
    _xlfn.XLOOKUP(_xlpm.analyte, CalibrationCoefficients[Analyte], CalibrationCoefficients[ScaleFactor]),
    1
  ),
  IF(AND(_xlpm.analyte&lt;&gt;"", ISNUMBER(_xlpm.raw)), _xlpm.raw * _xlpm.scaleF, "NA")
)</f>
        <v>28.1</v>
      </c>
      <c r="N480" s="41"/>
      <c r="O480" s="41">
        <v>28.1</v>
      </c>
      <c r="P480" s="41"/>
      <c r="Q480" s="208" cm="1">
        <f t="array" ref="Q48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28.1</v>
      </c>
      <c r="R480" s="237" cm="1">
        <f t="array" ref="R48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28.087949999999999</v>
      </c>
      <c r="S480" s="238" cm="1">
        <f t="array" ref="S48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28.10136</v>
      </c>
      <c r="T480" s="238" cm="1">
        <f t="array" ref="T48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8.1013599999999997</v>
      </c>
      <c r="U480" s="41" t="str" cm="1">
        <f t="array" ref="U48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28.10000 and 28.10000</v>
      </c>
      <c r="V480" s="22"/>
    </row>
    <row r="481" spans="10:22" x14ac:dyDescent="0.15">
      <c r="J481" s="190" t="s">
        <v>247</v>
      </c>
      <c r="K481" s="191" t="s">
        <v>45</v>
      </c>
      <c r="L481" s="208">
        <v>5.1999999999999995E-4</v>
      </c>
      <c r="M481" s="237">
        <f>_xlfn.LET(
  _xlpm.analyte, SensorLab[[#This Row],[Analyte]],
  _xlpm.raw, N(SensorLab[[#This Row],[Raw_Value]]),
  _xlpm.scaleF, IFERROR(
    _xlfn.XLOOKUP(_xlpm.analyte, CalibrationCoefficients[Analyte], CalibrationCoefficients[ScaleFactor]),
    1
  ),
  IF(AND(_xlpm.analyte&lt;&gt;"", ISNUMBER(_xlpm.raw)), _xlpm.raw * _xlpm.scaleF, "NA")
)</f>
        <v>5.1999999999999995E-4</v>
      </c>
      <c r="N481" s="41"/>
      <c r="O481" s="41">
        <v>0.34</v>
      </c>
      <c r="P481" s="41"/>
      <c r="Q481" s="208" cm="1">
        <f t="array" ref="Q481">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0.34</v>
      </c>
      <c r="R481" s="237" cm="1">
        <f t="array" ref="R48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0.60409999999999997</v>
      </c>
      <c r="S481" s="238" cm="1">
        <f t="array" ref="S48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0.6</v>
      </c>
      <c r="T481" s="238" cm="1">
        <f t="array" ref="T48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-0.26</v>
      </c>
      <c r="U481" s="41" t="str" cm="1">
        <f t="array" ref="U48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0.19061 and 0.48939</v>
      </c>
      <c r="V481" s="22"/>
    </row>
    <row r="482" spans="10:22" x14ac:dyDescent="0.15">
      <c r="J482" s="190" t="s">
        <v>247</v>
      </c>
      <c r="K482" s="127" t="s">
        <v>0</v>
      </c>
      <c r="L482" s="208">
        <v>34.54</v>
      </c>
      <c r="M482" s="237">
        <f>_xlfn.LET(
  _xlpm.analyte, SensorLab[[#This Row],[Analyte]],
  _xlpm.raw, N(SensorLab[[#This Row],[Raw_Value]]),
  _xlpm.scaleF, IFERROR(
    _xlfn.XLOOKUP(_xlpm.analyte, CalibrationCoefficients[Analyte], CalibrationCoefficients[ScaleFactor]),
    1
  ),
  IF(AND(_xlpm.analyte&lt;&gt;"", ISNUMBER(_xlpm.raw)), _xlpm.raw * _xlpm.scaleF, "NA")
)</f>
        <v>34.54</v>
      </c>
      <c r="N482" s="41"/>
      <c r="O482" s="41">
        <v>70</v>
      </c>
      <c r="P482" s="41"/>
      <c r="Q482" s="208" cm="1">
        <f t="array" ref="Q48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70</v>
      </c>
      <c r="R482" s="237" cm="1">
        <f t="array" ref="R48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70</v>
      </c>
      <c r="S482" s="238" cm="1">
        <f t="array" ref="S48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70</v>
      </c>
      <c r="T482" s="238" cm="1">
        <f t="array" ref="T48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482" s="41" t="str" cm="1">
        <f t="array" ref="U48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70.00000 and 57.04582</v>
      </c>
      <c r="V482" s="22"/>
    </row>
    <row r="483" spans="10:22" x14ac:dyDescent="0.15">
      <c r="J483" s="190" t="s">
        <v>247</v>
      </c>
      <c r="K483" s="127" t="s">
        <v>5</v>
      </c>
      <c r="L483" s="208">
        <v>48.11</v>
      </c>
      <c r="M483" s="237">
        <f>_xlfn.LET(
  _xlpm.analyte, SensorLab[[#This Row],[Analyte]],
  _xlpm.raw, N(SensorLab[[#This Row],[Raw_Value]]),
  _xlpm.scaleF, IFERROR(
    _xlfn.XLOOKUP(_xlpm.analyte, CalibrationCoefficients[Analyte], CalibrationCoefficients[ScaleFactor]),
    1
  ),
  IF(AND(_xlpm.analyte&lt;&gt;"", ISNUMBER(_xlpm.raw)), _xlpm.raw * _xlpm.scaleF, "NA")
)</f>
        <v>48.11</v>
      </c>
      <c r="N483" s="41"/>
      <c r="O483" s="41">
        <v>22.5</v>
      </c>
      <c r="P483" s="41"/>
      <c r="Q483" s="208" cm="1">
        <f t="array" ref="Q483">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22.5</v>
      </c>
      <c r="R483" s="237" cm="1">
        <f t="array" ref="R48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22.5</v>
      </c>
      <c r="S483" s="238" cm="1">
        <f t="array" ref="S48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22.5</v>
      </c>
      <c r="T483" s="238" cm="1">
        <f t="array" ref="T48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483" s="41" t="str" cm="1">
        <f t="array" ref="U48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29.01708 and 22.50000</v>
      </c>
      <c r="V483" s="22"/>
    </row>
    <row r="484" spans="10:22" x14ac:dyDescent="0.15">
      <c r="J484" s="190" t="s">
        <v>247</v>
      </c>
      <c r="K484" s="127" t="s">
        <v>6</v>
      </c>
      <c r="L484" s="208">
        <v>17.350000000000001</v>
      </c>
      <c r="M484" s="237">
        <f>_xlfn.LET(
  _xlpm.analyte, SensorLab[[#This Row],[Analyte]],
  _xlpm.raw, N(SensorLab[[#This Row],[Raw_Value]]),
  _xlpm.scaleF, IFERROR(
    _xlfn.XLOOKUP(_xlpm.analyte, CalibrationCoefficients[Analyte], CalibrationCoefficients[ScaleFactor]),
    1
  ),
  IF(AND(_xlpm.analyte&lt;&gt;"", ISNUMBER(_xlpm.raw)), _xlpm.raw * _xlpm.scaleF, "NA")
)</f>
        <v>17.350000000000001</v>
      </c>
      <c r="N484" s="41"/>
      <c r="O484" s="41">
        <v>7.5</v>
      </c>
      <c r="P484" s="41"/>
      <c r="Q484" s="208" cm="1">
        <f t="array" ref="Q48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7.5</v>
      </c>
      <c r="R484" s="237" cm="1">
        <f t="array" ref="R48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7.5</v>
      </c>
      <c r="S484" s="238" cm="1">
        <f t="array" ref="S48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7.5</v>
      </c>
      <c r="T484" s="238" cm="1">
        <f t="array" ref="T48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484" s="41" t="str" cm="1">
        <f t="array" ref="U48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11.58063 and 7.50000</v>
      </c>
      <c r="V484" s="22"/>
    </row>
    <row r="485" spans="10:22" ht="11.25" thickBot="1" x14ac:dyDescent="0.2">
      <c r="J485" s="192" t="s">
        <v>247</v>
      </c>
      <c r="K485" s="193" t="s">
        <v>69</v>
      </c>
      <c r="L485" s="255" t="str" cm="1">
        <f t="array" ref="L485">_xlfn.LET(
  _xlpm.bs,L482, _xlpm.si,L483, _xlpm.c,L484,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M485" s="256" t="str" cm="1">
        <f t="array" ref="M485">_xlfn.LET(
  _xlpm.bs,M482, _xlpm.si,M483, _xlpm.c,M484,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N485" s="245" t="str" cm="1">
        <f t="array" ref="N485">_xlfn.LET(
  _xlpm.bs,N482, _xlpm.si,N483, _xlpm.c,N484,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485" s="245" t="str" cm="1">
        <f t="array" ref="O485">_xlfn.LET(
  _xlpm.bs,O482, _xlpm.si,O483, _xlpm.c,O484,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Loamy Sand</v>
      </c>
      <c r="P485" s="245" t="str" cm="1">
        <f t="array" ref="P485">_xlfn.LET(
  _xlpm.bs,P482, _xlpm.si,P483, _xlpm.c,P484,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485" s="255" t="str" cm="1">
        <f t="array" ref="Q485">_xlfn.LET(
  _xlpm.bs,Q482, _xlpm.si,Q483, _xlpm.c,Q484,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Loamy Sand</v>
      </c>
      <c r="R485" s="256" t="str" cm="1">
        <f t="array" ref="R485">_xlfn.LET(
  _xlpm.bs,R482, _xlpm.si,R483, _xlpm.c,R484,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Loamy Sand</v>
      </c>
      <c r="S485" s="256" t="str" cm="1">
        <f t="array" ref="S485">_xlfn.LET(
  _xlpm.bs,S482, _xlpm.si,S483, _xlpm.c,S484,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Loamy Sand</v>
      </c>
      <c r="T485" s="240" cm="1">
        <f t="array" ref="T48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485" s="229" t="str" cm="1">
        <f t="array" ref="U48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(Texture match: Loamy Sand)</v>
      </c>
      <c r="V485" s="22"/>
    </row>
    <row r="486" spans="10:22" x14ac:dyDescent="0.15">
      <c r="J486" s="190" t="s">
        <v>248</v>
      </c>
      <c r="K486" s="127" t="s">
        <v>39</v>
      </c>
      <c r="L486" s="208">
        <v>0</v>
      </c>
      <c r="M486"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486" s="41"/>
      <c r="O486" s="41">
        <v>2</v>
      </c>
      <c r="P486" s="41"/>
      <c r="Q486" s="207" cm="1">
        <f t="array" ref="Q48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v>
      </c>
      <c r="R486" s="239" cm="1">
        <f t="array" ref="R48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0.44663000000000003</v>
      </c>
      <c r="S486" s="241" cm="1">
        <f t="array" ref="S48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v>
      </c>
      <c r="T486" s="241" cm="1">
        <f t="array" ref="T48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-8</v>
      </c>
      <c r="U486" s="41" t="str" cm="1">
        <f t="array" ref="U48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1.17402 and 0.44663</v>
      </c>
      <c r="V486" s="22"/>
    </row>
    <row r="487" spans="10:22" x14ac:dyDescent="0.15">
      <c r="J487" s="190" t="s">
        <v>248</v>
      </c>
      <c r="K487" s="191" t="s">
        <v>40</v>
      </c>
      <c r="L487" s="208">
        <v>31</v>
      </c>
      <c r="M487" s="237">
        <f>_xlfn.LET(
  _xlpm.analyte, SensorLab[[#This Row],[Analyte]],
  _xlpm.raw, N(SensorLab[[#This Row],[Raw_Value]]),
  _xlpm.scaleF, IFERROR(
    _xlfn.XLOOKUP(_xlpm.analyte, CalibrationCoefficients[Analyte], CalibrationCoefficients[ScaleFactor]),
    1
  ),
  IF(AND(_xlpm.analyte&lt;&gt;"", ISNUMBER(_xlpm.raw)), _xlpm.raw * _xlpm.scaleF, "NA")
)</f>
        <v>31</v>
      </c>
      <c r="N487" s="41"/>
      <c r="O487" s="41">
        <v>7.06</v>
      </c>
      <c r="P487" s="41"/>
      <c r="Q487" s="208" cm="1">
        <f t="array" ref="Q487">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7.06</v>
      </c>
      <c r="R487" s="237" cm="1">
        <f t="array" ref="R48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6.0896699999999999</v>
      </c>
      <c r="S487" s="238" cm="1">
        <f t="array" ref="S48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4.8996399999999998</v>
      </c>
      <c r="T487" s="238" cm="1">
        <f t="array" ref="T48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-1.1003600000000002</v>
      </c>
      <c r="U487" s="41" t="str" cm="1">
        <f t="array" ref="U48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6.13217 and 7.25217</v>
      </c>
      <c r="V487" s="22"/>
    </row>
    <row r="488" spans="10:22" x14ac:dyDescent="0.15">
      <c r="J488" s="190" t="s">
        <v>248</v>
      </c>
      <c r="K488" s="191" t="s">
        <v>41</v>
      </c>
      <c r="L488" s="208">
        <v>23</v>
      </c>
      <c r="M488" s="237">
        <f>_xlfn.LET(
  _xlpm.analyte, SensorLab[[#This Row],[Analyte]],
  _xlpm.raw, N(SensorLab[[#This Row],[Raw_Value]]),
  _xlpm.scaleF, IFERROR(
    _xlfn.XLOOKUP(_xlpm.analyte, CalibrationCoefficients[Analyte], CalibrationCoefficients[ScaleFactor]),
    1
  ),
  IF(AND(_xlpm.analyte&lt;&gt;"", ISNUMBER(_xlpm.raw)), _xlpm.raw * _xlpm.scaleF, "NA")
)</f>
        <v>23</v>
      </c>
      <c r="N488" s="41"/>
      <c r="O488" s="41">
        <v>103</v>
      </c>
      <c r="P488" s="41"/>
      <c r="Q488" s="208" cm="1">
        <f t="array" ref="Q48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103</v>
      </c>
      <c r="R488" s="237" cm="1">
        <f t="array" ref="R48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118.73033</v>
      </c>
      <c r="S488" s="238" cm="1">
        <f t="array" ref="S48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105.03036</v>
      </c>
      <c r="T488" s="238" cm="1">
        <f t="array" ref="T48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-2.0303599999999999</v>
      </c>
      <c r="U488" s="41" t="str" cm="1">
        <f t="array" ref="U48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115.63090 and 118.61090</v>
      </c>
      <c r="V488" s="22"/>
    </row>
    <row r="489" spans="10:22" x14ac:dyDescent="0.15">
      <c r="J489" s="190" t="s">
        <v>248</v>
      </c>
      <c r="K489" s="127" t="s">
        <v>52</v>
      </c>
      <c r="L489" s="208">
        <v>153</v>
      </c>
      <c r="M489" s="237">
        <f>_xlfn.LET(
  _xlpm.analyte, SensorLab[[#This Row],[Analyte]],
  _xlpm.raw, N(SensorLab[[#This Row],[Raw_Value]]),
  _xlpm.scaleF, IFERROR(
    _xlfn.XLOOKUP(_xlpm.analyte, CalibrationCoefficients[Analyte], CalibrationCoefficients[ScaleFactor]),
    1
  ),
  IF(AND(_xlpm.analyte&lt;&gt;"", ISNUMBER(_xlpm.raw)), _xlpm.raw * _xlpm.scaleF, "NA")
)</f>
        <v>0.153</v>
      </c>
      <c r="N489" s="41"/>
      <c r="O489" s="41">
        <v>0.97</v>
      </c>
      <c r="P489" s="41"/>
      <c r="Q489" s="208" cm="1">
        <f t="array" ref="Q489">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0.97</v>
      </c>
      <c r="R489" s="237" cm="1">
        <f t="array" ref="R48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1.016</v>
      </c>
      <c r="S489" s="238" cm="1">
        <f t="array" ref="S48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0.98377000000000003</v>
      </c>
      <c r="T489" s="238" cm="1">
        <f t="array" ref="T48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-1.3769999999999999E-2</v>
      </c>
      <c r="U489" s="41" t="str" cm="1">
        <f t="array" ref="U48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1.00613 and 1.10613</v>
      </c>
      <c r="V489" s="22"/>
    </row>
    <row r="490" spans="10:22" x14ac:dyDescent="0.15">
      <c r="J490" s="190" t="s">
        <v>248</v>
      </c>
      <c r="K490" s="127" t="s">
        <v>34</v>
      </c>
      <c r="L490" s="208">
        <v>74</v>
      </c>
      <c r="M490" s="237">
        <f>_xlfn.LET(
  _xlpm.analyte, SensorLab[[#This Row],[Analyte]],
  _xlpm.raw, N(SensorLab[[#This Row],[Raw_Value]]),
  _xlpm.scaleF, IFERROR(
    _xlfn.XLOOKUP(_xlpm.analyte, CalibrationCoefficients[Analyte], CalibrationCoefficients[ScaleFactor]),
    1
  ),
  IF(AND(_xlpm.analyte&lt;&gt;"", ISNUMBER(_xlpm.raw)), _xlpm.raw * _xlpm.scaleF, "NA")
)</f>
        <v>7.4</v>
      </c>
      <c r="N490" s="41"/>
      <c r="O490" s="41">
        <v>8.19</v>
      </c>
      <c r="P490" s="41"/>
      <c r="Q490" s="208" cm="1">
        <f t="array" ref="Q49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8.19</v>
      </c>
      <c r="R490" s="237" cm="1">
        <f t="array" ref="R49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7.8854899999999999</v>
      </c>
      <c r="S490" s="238" cm="1">
        <f t="array" ref="S49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7.8525799999999997</v>
      </c>
      <c r="T490" s="238" cm="1">
        <f t="array" ref="T49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0.33742</v>
      </c>
      <c r="U490" s="41" t="str" cm="1">
        <f t="array" ref="U49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7.87268 and 7.99787</v>
      </c>
      <c r="V490" s="22"/>
    </row>
    <row r="491" spans="10:22" x14ac:dyDescent="0.15">
      <c r="J491" s="190" t="s">
        <v>248</v>
      </c>
      <c r="K491" s="127" t="s">
        <v>90</v>
      </c>
      <c r="L491" s="208">
        <v>114</v>
      </c>
      <c r="M491" s="237">
        <f>_xlfn.LET(
  _xlpm.analyte, SensorLab[[#This Row],[Analyte]],
  _xlpm.raw, N(SensorLab[[#This Row],[Raw_Value]]),
  _xlpm.scaleF, IFERROR(
    _xlfn.XLOOKUP(_xlpm.analyte, CalibrationCoefficients[Analyte], CalibrationCoefficients[ScaleFactor]),
    1
  ),
  IF(AND(_xlpm.analyte&lt;&gt;"", ISNUMBER(_xlpm.raw)), _xlpm.raw * _xlpm.scaleF, "NA")
)</f>
        <v>11.4</v>
      </c>
      <c r="N491" s="41"/>
      <c r="O491" s="41">
        <v>11.4</v>
      </c>
      <c r="P491" s="41"/>
      <c r="Q491" s="208" cm="1">
        <f t="array" ref="Q491">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11.4</v>
      </c>
      <c r="R491" s="237" cm="1">
        <f t="array" ref="R49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11.333310000000001</v>
      </c>
      <c r="S491" s="238" cm="1">
        <f t="array" ref="S49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11.29673</v>
      </c>
      <c r="T491" s="238" cm="1">
        <f t="array" ref="T49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-12.70327</v>
      </c>
      <c r="U491" s="41" t="str" cm="1">
        <f t="array" ref="U49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11.36815 and 11.43185</v>
      </c>
      <c r="V491" s="22"/>
    </row>
    <row r="492" spans="10:22" x14ac:dyDescent="0.15">
      <c r="J492" s="190" t="s">
        <v>248</v>
      </c>
      <c r="K492" s="191" t="s">
        <v>43</v>
      </c>
      <c r="L492" s="208">
        <v>281</v>
      </c>
      <c r="M492" s="237">
        <f>_xlfn.LET(
  _xlpm.analyte, SensorLab[[#This Row],[Analyte]],
  _xlpm.raw, N(SensorLab[[#This Row],[Raw_Value]]),
  _xlpm.scaleF, IFERROR(
    _xlfn.XLOOKUP(_xlpm.analyte, CalibrationCoefficients[Analyte], CalibrationCoefficients[ScaleFactor]),
    1
  ),
  IF(AND(_xlpm.analyte&lt;&gt;"", ISNUMBER(_xlpm.raw)), _xlpm.raw * _xlpm.scaleF, "NA")
)</f>
        <v>28.1</v>
      </c>
      <c r="N492" s="41"/>
      <c r="O492" s="41">
        <v>28.1</v>
      </c>
      <c r="P492" s="41"/>
      <c r="Q492" s="208" cm="1">
        <f t="array" ref="Q49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28.1</v>
      </c>
      <c r="R492" s="237" cm="1">
        <f t="array" ref="R49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28.087949999999999</v>
      </c>
      <c r="S492" s="238" cm="1">
        <f t="array" ref="S49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28.10136</v>
      </c>
      <c r="T492" s="238" cm="1">
        <f t="array" ref="T49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-1.3600000000000001E-3</v>
      </c>
      <c r="U492" s="41" t="str" cm="1">
        <f t="array" ref="U49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28.10000 and 28.10000</v>
      </c>
      <c r="V492" s="22"/>
    </row>
    <row r="493" spans="10:22" x14ac:dyDescent="0.15">
      <c r="J493" s="190" t="s">
        <v>248</v>
      </c>
      <c r="K493" s="191" t="s">
        <v>45</v>
      </c>
      <c r="L493" s="208">
        <v>5.1999999999999995E-4</v>
      </c>
      <c r="M493" s="237">
        <f>_xlfn.LET(
  _xlpm.analyte, SensorLab[[#This Row],[Analyte]],
  _xlpm.raw, N(SensorLab[[#This Row],[Raw_Value]]),
  _xlpm.scaleF, IFERROR(
    _xlfn.XLOOKUP(_xlpm.analyte, CalibrationCoefficients[Analyte], CalibrationCoefficients[ScaleFactor]),
    1
  ),
  IF(AND(_xlpm.analyte&lt;&gt;"", ISNUMBER(_xlpm.raw)), _xlpm.raw * _xlpm.scaleF, "NA")
)</f>
        <v>5.1999999999999995E-4</v>
      </c>
      <c r="N493" s="41"/>
      <c r="O493" s="41">
        <v>0.72</v>
      </c>
      <c r="P493" s="41"/>
      <c r="Q493" s="208" cm="1">
        <f t="array" ref="Q493">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0.72</v>
      </c>
      <c r="R493" s="237" cm="1">
        <f t="array" ref="R49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0.60409999999999997</v>
      </c>
      <c r="S493" s="238" cm="1">
        <f t="array" ref="S49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0.6</v>
      </c>
      <c r="T493" s="238" cm="1">
        <f t="array" ref="T49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0.12</v>
      </c>
      <c r="U493" s="41" t="str" cm="1">
        <f t="array" ref="U49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0.12000)</v>
      </c>
      <c r="V493" s="22"/>
    </row>
    <row r="494" spans="10:22" x14ac:dyDescent="0.15">
      <c r="J494" s="190" t="s">
        <v>248</v>
      </c>
      <c r="K494" s="127" t="s">
        <v>0</v>
      </c>
      <c r="L494" s="208">
        <v>34.56</v>
      </c>
      <c r="M494" s="237">
        <f>_xlfn.LET(
  _xlpm.analyte, SensorLab[[#This Row],[Analyte]],
  _xlpm.raw, N(SensorLab[[#This Row],[Raw_Value]]),
  _xlpm.scaleF, IFERROR(
    _xlfn.XLOOKUP(_xlpm.analyte, CalibrationCoefficients[Analyte], CalibrationCoefficients[ScaleFactor]),
    1
  ),
  IF(AND(_xlpm.analyte&lt;&gt;"", ISNUMBER(_xlpm.raw)), _xlpm.raw * _xlpm.scaleF, "NA")
)</f>
        <v>34.56</v>
      </c>
      <c r="N494" s="41"/>
      <c r="O494" s="41">
        <v>30</v>
      </c>
      <c r="P494" s="41"/>
      <c r="Q494" s="208" cm="1">
        <f t="array" ref="Q49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30</v>
      </c>
      <c r="R494" s="237" cm="1">
        <f t="array" ref="R49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30</v>
      </c>
      <c r="S494" s="238" cm="1">
        <f t="array" ref="S49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30</v>
      </c>
      <c r="T494" s="238" cm="1">
        <f t="array" ref="T49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494" s="41" t="str" cm="1">
        <f t="array" ref="U49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494" s="22"/>
    </row>
    <row r="495" spans="10:22" x14ac:dyDescent="0.15">
      <c r="J495" s="190" t="s">
        <v>248</v>
      </c>
      <c r="K495" s="127" t="s">
        <v>5</v>
      </c>
      <c r="L495" s="208">
        <v>48.1</v>
      </c>
      <c r="M495" s="237">
        <f>_xlfn.LET(
  _xlpm.analyte, SensorLab[[#This Row],[Analyte]],
  _xlpm.raw, N(SensorLab[[#This Row],[Raw_Value]]),
  _xlpm.scaleF, IFERROR(
    _xlfn.XLOOKUP(_xlpm.analyte, CalibrationCoefficients[Analyte], CalibrationCoefficients[ScaleFactor]),
    1
  ),
  IF(AND(_xlpm.analyte&lt;&gt;"", ISNUMBER(_xlpm.raw)), _xlpm.raw * _xlpm.scaleF, "NA")
)</f>
        <v>48.1</v>
      </c>
      <c r="N495" s="41"/>
      <c r="O495" s="41">
        <v>55</v>
      </c>
      <c r="P495" s="41"/>
      <c r="Q495" s="208" cm="1">
        <f t="array" ref="Q495">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55</v>
      </c>
      <c r="R495" s="237" cm="1">
        <f t="array" ref="R49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55</v>
      </c>
      <c r="S495" s="238" cm="1">
        <f t="array" ref="S49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55</v>
      </c>
      <c r="T495" s="238" cm="1">
        <f t="array" ref="T49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495" s="41" t="str" cm="1">
        <f t="array" ref="U49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495" s="22"/>
    </row>
    <row r="496" spans="10:22" x14ac:dyDescent="0.15">
      <c r="J496" s="190" t="s">
        <v>248</v>
      </c>
      <c r="K496" s="127" t="s">
        <v>6</v>
      </c>
      <c r="L496" s="208">
        <v>17.34</v>
      </c>
      <c r="M496" s="237">
        <f>_xlfn.LET(
  _xlpm.analyte, SensorLab[[#This Row],[Analyte]],
  _xlpm.raw, N(SensorLab[[#This Row],[Raw_Value]]),
  _xlpm.scaleF, IFERROR(
    _xlfn.XLOOKUP(_xlpm.analyte, CalibrationCoefficients[Analyte], CalibrationCoefficients[ScaleFactor]),
    1
  ),
  IF(AND(_xlpm.analyte&lt;&gt;"", ISNUMBER(_xlpm.raw)), _xlpm.raw * _xlpm.scaleF, "NA")
)</f>
        <v>17.34</v>
      </c>
      <c r="N496" s="41"/>
      <c r="O496" s="41">
        <v>15</v>
      </c>
      <c r="P496" s="41"/>
      <c r="Q496" s="208" cm="1">
        <f t="array" ref="Q49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15</v>
      </c>
      <c r="R496" s="237" cm="1">
        <f t="array" ref="R49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15</v>
      </c>
      <c r="S496" s="238" cm="1">
        <f t="array" ref="S49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15</v>
      </c>
      <c r="T496" s="238" cm="1">
        <f t="array" ref="T49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496" s="41" t="str" cm="1">
        <f t="array" ref="U49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496" s="22"/>
    </row>
    <row r="497" spans="10:22" ht="11.25" thickBot="1" x14ac:dyDescent="0.2">
      <c r="J497" s="192" t="s">
        <v>248</v>
      </c>
      <c r="K497" s="193" t="s">
        <v>69</v>
      </c>
      <c r="L497" s="255" t="str" cm="1">
        <f t="array" ref="L497">_xlfn.LET(
  _xlpm.bs,L494, _xlpm.si,L495, _xlpm.c,L496,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M497" s="256" t="str" cm="1">
        <f t="array" ref="M497">_xlfn.LET(
  _xlpm.bs,M494, _xlpm.si,M495, _xlpm.c,M496,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N497" s="245" t="str" cm="1">
        <f t="array" ref="N497">_xlfn.LET(
  _xlpm.bs,N494, _xlpm.si,N495, _xlpm.c,N496,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497" s="245" t="str" cm="1">
        <f t="array" ref="O497">_xlfn.LET(
  _xlpm.bs,O494, _xlpm.si,O495, _xlpm.c,O496,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P497" s="245" t="str" cm="1">
        <f t="array" ref="P497">_xlfn.LET(
  _xlpm.bs,P494, _xlpm.si,P495, _xlpm.c,P496,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497" s="255" t="str" cm="1">
        <f t="array" ref="Q497">_xlfn.LET(
  _xlpm.bs,Q494, _xlpm.si,Q495, _xlpm.c,Q496,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R497" s="256" t="str" cm="1">
        <f t="array" ref="R497">_xlfn.LET(
  _xlpm.bs,R494, _xlpm.si,R495, _xlpm.c,R496,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S497" s="256" t="str" cm="1">
        <f t="array" ref="S497">_xlfn.LET(
  _xlpm.bs,S494, _xlpm.si,S495, _xlpm.c,S496,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T497" s="240" cm="1">
        <f t="array" ref="T49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497" s="229" t="str" cm="1">
        <f t="array" ref="U49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(Texture match: Silt Loam)</v>
      </c>
      <c r="V497" s="22"/>
    </row>
    <row r="498" spans="10:22" x14ac:dyDescent="0.15">
      <c r="J498" s="190" t="s">
        <v>249</v>
      </c>
      <c r="K498" s="127" t="s">
        <v>39</v>
      </c>
      <c r="L498" s="208">
        <v>1</v>
      </c>
      <c r="M498" s="237">
        <f>_xlfn.LET(
  _xlpm.analyte, SensorLab[[#This Row],[Analyte]],
  _xlpm.raw, N(SensorLab[[#This Row],[Raw_Value]]),
  _xlpm.scaleF, IFERROR(
    _xlfn.XLOOKUP(_xlpm.analyte, CalibrationCoefficients[Analyte], CalibrationCoefficients[ScaleFactor]),
    1
  ),
  IF(AND(_xlpm.analyte&lt;&gt;"", ISNUMBER(_xlpm.raw)), _xlpm.raw * _xlpm.scaleF, "NA")
)</f>
        <v>1</v>
      </c>
      <c r="N498" s="41"/>
      <c r="O498" s="41">
        <v>0.38997999999999999</v>
      </c>
      <c r="P498" s="41"/>
      <c r="Q498" s="207" cm="1">
        <f t="array" ref="Q49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0.38997999999999999</v>
      </c>
      <c r="R498" s="239" cm="1">
        <f t="array" ref="R49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0.58699999999999997</v>
      </c>
      <c r="S498" s="241" cm="1">
        <f t="array" ref="S49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2.1403699999999999</v>
      </c>
      <c r="T498" s="241" cm="1">
        <f t="array" ref="T49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-7.8596300000000001</v>
      </c>
      <c r="U498" s="41" t="str" cm="1">
        <f t="array" ref="U49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0.58700 and 0.58354</v>
      </c>
      <c r="V498" s="22"/>
    </row>
    <row r="499" spans="10:22" x14ac:dyDescent="0.15">
      <c r="J499" s="190" t="s">
        <v>249</v>
      </c>
      <c r="K499" s="191" t="s">
        <v>40</v>
      </c>
      <c r="L499" s="208">
        <v>50</v>
      </c>
      <c r="M499" s="237">
        <f>_xlfn.LET(
  _xlpm.analyte, SensorLab[[#This Row],[Analyte]],
  _xlpm.raw, N(SensorLab[[#This Row],[Raw_Value]]),
  _xlpm.scaleF, IFERROR(
    _xlfn.XLOOKUP(_xlpm.analyte, CalibrationCoefficients[Analyte], CalibrationCoefficients[ScaleFactor]),
    1
  ),
  IF(AND(_xlpm.analyte&lt;&gt;"", ISNUMBER(_xlpm.raw)), _xlpm.raw * _xlpm.scaleF, "NA")
)</f>
        <v>50</v>
      </c>
      <c r="N499" s="41"/>
      <c r="O499" s="41">
        <v>5.0199999999999996</v>
      </c>
      <c r="P499" s="41"/>
      <c r="Q499" s="208" cm="1">
        <f t="array" ref="Q499">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5.0199999999999996</v>
      </c>
      <c r="R499" s="237" cm="1">
        <f t="array" ref="R49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6.5650500000000003</v>
      </c>
      <c r="S499" s="238" cm="1">
        <f t="array" ref="S49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5.3750200000000001</v>
      </c>
      <c r="T499" s="238" cm="1">
        <f t="array" ref="T49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-0.62497999999999987</v>
      </c>
      <c r="U499" s="41" t="str" cm="1">
        <f t="array" ref="U49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6.39133 and 7.51133</v>
      </c>
      <c r="V499" s="22"/>
    </row>
    <row r="500" spans="10:22" x14ac:dyDescent="0.15">
      <c r="J500" s="190" t="s">
        <v>249</v>
      </c>
      <c r="K500" s="191" t="s">
        <v>41</v>
      </c>
      <c r="L500" s="208">
        <v>42</v>
      </c>
      <c r="M500" s="237">
        <f>_xlfn.LET(
  _xlpm.analyte, SensorLab[[#This Row],[Analyte]],
  _xlpm.raw, N(SensorLab[[#This Row],[Raw_Value]]),
  _xlpm.scaleF, IFERROR(
    _xlfn.XLOOKUP(_xlpm.analyte, CalibrationCoefficients[Analyte], CalibrationCoefficients[ScaleFactor]),
    1
  ),
  IF(AND(_xlpm.analyte&lt;&gt;"", ISNUMBER(_xlpm.raw)), _xlpm.raw * _xlpm.scaleF, "NA")
)</f>
        <v>42</v>
      </c>
      <c r="N500" s="41"/>
      <c r="O500" s="41">
        <v>86</v>
      </c>
      <c r="P500" s="41"/>
      <c r="Q500" s="208" cm="1">
        <f t="array" ref="Q50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86</v>
      </c>
      <c r="R500" s="237" cm="1">
        <f t="array" ref="R50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124.69996999999999</v>
      </c>
      <c r="S500" s="238" cm="1">
        <f t="array" ref="S50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111</v>
      </c>
      <c r="T500" s="238" cm="1">
        <f t="array" ref="T50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-25</v>
      </c>
      <c r="U500" s="41" t="str" cm="1">
        <f t="array" ref="U50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122.17380 and 114.71986</v>
      </c>
      <c r="V500" s="22"/>
    </row>
    <row r="501" spans="10:22" x14ac:dyDescent="0.15">
      <c r="J501" s="190" t="s">
        <v>249</v>
      </c>
      <c r="K501" s="127" t="s">
        <v>52</v>
      </c>
      <c r="L501" s="208">
        <v>193</v>
      </c>
      <c r="M501" s="237">
        <f>_xlfn.LET(
  _xlpm.analyte, SensorLab[[#This Row],[Analyte]],
  _xlpm.raw, N(SensorLab[[#This Row],[Raw_Value]]),
  _xlpm.scaleF, IFERROR(
    _xlfn.XLOOKUP(_xlpm.analyte, CalibrationCoefficients[Analyte], CalibrationCoefficients[ScaleFactor]),
    1
  ),
  IF(AND(_xlpm.analyte&lt;&gt;"", ISNUMBER(_xlpm.raw)), _xlpm.raw * _xlpm.scaleF, "NA")
)</f>
        <v>0.193</v>
      </c>
      <c r="N501" s="41"/>
      <c r="O501" s="41">
        <v>0.87</v>
      </c>
      <c r="P501" s="41"/>
      <c r="Q501" s="208" cm="1">
        <f t="array" ref="Q501">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0.87</v>
      </c>
      <c r="R501" s="237" cm="1">
        <f t="array" ref="R50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1.0422100000000001</v>
      </c>
      <c r="S501" s="238" cm="1">
        <f t="array" ref="S50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1.0099800000000001</v>
      </c>
      <c r="T501" s="238" cm="1">
        <f t="array" ref="T50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-0.13997999999999999</v>
      </c>
      <c r="U501" s="41" t="str" cm="1">
        <f t="array" ref="U50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1.01477 and 1.07010</v>
      </c>
      <c r="V501" s="22"/>
    </row>
    <row r="502" spans="10:22" x14ac:dyDescent="0.15">
      <c r="J502" s="190" t="s">
        <v>249</v>
      </c>
      <c r="K502" s="127" t="s">
        <v>34</v>
      </c>
      <c r="L502" s="208">
        <v>72</v>
      </c>
      <c r="M502" s="237">
        <f>_xlfn.LET(
  _xlpm.analyte, SensorLab[[#This Row],[Analyte]],
  _xlpm.raw, N(SensorLab[[#This Row],[Raw_Value]]),
  _xlpm.scaleF, IFERROR(
    _xlfn.XLOOKUP(_xlpm.analyte, CalibrationCoefficients[Analyte], CalibrationCoefficients[ScaleFactor]),
    1
  ),
  IF(AND(_xlpm.analyte&lt;&gt;"", ISNUMBER(_xlpm.raw)), _xlpm.raw * _xlpm.scaleF, "NA")
)</f>
        <v>7.2</v>
      </c>
      <c r="N502" s="41"/>
      <c r="O502" s="41">
        <v>7.74</v>
      </c>
      <c r="P502" s="41"/>
      <c r="Q502" s="208" cm="1">
        <f t="array" ref="Q50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7.74</v>
      </c>
      <c r="R502" s="237" cm="1">
        <f t="array" ref="R50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7.8946300000000003</v>
      </c>
      <c r="S502" s="238" cm="1">
        <f t="array" ref="S50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7.86172</v>
      </c>
      <c r="T502" s="238" cm="1">
        <f t="array" ref="T50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-0.12171999999999999</v>
      </c>
      <c r="U502" s="41" t="str" cm="1">
        <f t="array" ref="U50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-0.12172)</v>
      </c>
      <c r="V502" s="22"/>
    </row>
    <row r="503" spans="10:22" x14ac:dyDescent="0.15">
      <c r="J503" s="190" t="s">
        <v>249</v>
      </c>
      <c r="K503" s="127" t="s">
        <v>90</v>
      </c>
      <c r="L503" s="208">
        <v>130</v>
      </c>
      <c r="M503" s="237">
        <f>_xlfn.LET(
  _xlpm.analyte, SensorLab[[#This Row],[Analyte]],
  _xlpm.raw, N(SensorLab[[#This Row],[Raw_Value]]),
  _xlpm.scaleF, IFERROR(
    _xlfn.XLOOKUP(_xlpm.analyte, CalibrationCoefficients[Analyte], CalibrationCoefficients[ScaleFactor]),
    1
  ),
  IF(AND(_xlpm.analyte&lt;&gt;"", ISNUMBER(_xlpm.raw)), _xlpm.raw * _xlpm.scaleF, "NA")
)</f>
        <v>13</v>
      </c>
      <c r="N503" s="41"/>
      <c r="O503" s="41">
        <v>13</v>
      </c>
      <c r="P503" s="41"/>
      <c r="Q503" s="208" cm="1">
        <f t="array" ref="Q503">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13</v>
      </c>
      <c r="R503" s="237" cm="1">
        <f t="array" ref="R50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12.96635</v>
      </c>
      <c r="S503" s="238" cm="1">
        <f t="array" ref="S50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12.92977</v>
      </c>
      <c r="T503" s="238" cm="1">
        <f t="array" ref="T50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-11.07023</v>
      </c>
      <c r="U503" s="41" t="str" cm="1">
        <f t="array" ref="U50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12.96368 and 13.03632</v>
      </c>
      <c r="V503" s="22"/>
    </row>
    <row r="504" spans="10:22" x14ac:dyDescent="0.15">
      <c r="J504" s="190" t="s">
        <v>249</v>
      </c>
      <c r="K504" s="191" t="s">
        <v>43</v>
      </c>
      <c r="L504" s="208">
        <v>366</v>
      </c>
      <c r="M504" s="237">
        <f>_xlfn.LET(
  _xlpm.analyte, SensorLab[[#This Row],[Analyte]],
  _xlpm.raw, N(SensorLab[[#This Row],[Raw_Value]]),
  _xlpm.scaleF, IFERROR(
    _xlfn.XLOOKUP(_xlpm.analyte, CalibrationCoefficients[Analyte], CalibrationCoefficients[ScaleFactor]),
    1
  ),
  IF(AND(_xlpm.analyte&lt;&gt;"", ISNUMBER(_xlpm.raw)), _xlpm.raw * _xlpm.scaleF, "NA")
)</f>
        <v>36.6</v>
      </c>
      <c r="N504" s="41"/>
      <c r="O504" s="41">
        <v>36.6</v>
      </c>
      <c r="P504" s="41"/>
      <c r="Q504" s="208" cm="1">
        <f t="array" ref="Q50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36.6</v>
      </c>
      <c r="R504" s="237" cm="1">
        <f t="array" ref="R50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36.59008</v>
      </c>
      <c r="S504" s="238" cm="1">
        <f t="array" ref="S50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36.603490000000001</v>
      </c>
      <c r="T504" s="238" cm="1">
        <f t="array" ref="T50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1.6034900000000007</v>
      </c>
      <c r="U504" s="41" t="str" cm="1">
        <f t="array" ref="U50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36.60000 and 36.60000</v>
      </c>
      <c r="V504" s="22"/>
    </row>
    <row r="505" spans="10:22" x14ac:dyDescent="0.15">
      <c r="J505" s="190" t="s">
        <v>249</v>
      </c>
      <c r="K505" s="191" t="s">
        <v>45</v>
      </c>
      <c r="L505" s="208">
        <v>6.0340000000000003E-4</v>
      </c>
      <c r="M505" s="237">
        <f>_xlfn.LET(
  _xlpm.analyte, SensorLab[[#This Row],[Analyte]],
  _xlpm.raw, N(SensorLab[[#This Row],[Raw_Value]]),
  _xlpm.scaleF, IFERROR(
    _xlfn.XLOOKUP(_xlpm.analyte, CalibrationCoefficients[Analyte], CalibrationCoefficients[ScaleFactor]),
    1
  ),
  IF(AND(_xlpm.analyte&lt;&gt;"", ISNUMBER(_xlpm.raw)), _xlpm.raw * _xlpm.scaleF, "NA")
)</f>
        <v>6.0340000000000003E-4</v>
      </c>
      <c r="N505" s="41"/>
      <c r="O505" s="41">
        <v>0.46</v>
      </c>
      <c r="P505" s="41"/>
      <c r="Q505" s="208" cm="1">
        <f t="array" ref="Q505">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0.46</v>
      </c>
      <c r="R505" s="237" cm="1">
        <f t="array" ref="R50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0.61068999999999996</v>
      </c>
      <c r="S505" s="238" cm="1">
        <f t="array" ref="S50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0.60658999999999996</v>
      </c>
      <c r="T505" s="238" cm="1">
        <f t="array" ref="T50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-0.14659</v>
      </c>
      <c r="U505" s="41" t="str" cm="1">
        <f t="array" ref="U50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-0.14659)</v>
      </c>
      <c r="V505" s="22"/>
    </row>
    <row r="506" spans="10:22" x14ac:dyDescent="0.15">
      <c r="J506" s="190" t="s">
        <v>249</v>
      </c>
      <c r="K506" s="127" t="s">
        <v>0</v>
      </c>
      <c r="L506" s="208">
        <v>21.732985256572441</v>
      </c>
      <c r="M506" s="237">
        <f>_xlfn.LET(
  _xlpm.analyte, SensorLab[[#This Row],[Analyte]],
  _xlpm.raw, N(SensorLab[[#This Row],[Raw_Value]]),
  _xlpm.scaleF, IFERROR(
    _xlfn.XLOOKUP(_xlpm.analyte, CalibrationCoefficients[Analyte], CalibrationCoefficients[ScaleFactor]),
    1
  ),
  IF(AND(_xlpm.analyte&lt;&gt;"", ISNUMBER(_xlpm.raw)), _xlpm.raw * _xlpm.scaleF, "NA")
)</f>
        <v>21.732985256572441</v>
      </c>
      <c r="N506" s="41"/>
      <c r="O506" s="41">
        <v>15</v>
      </c>
      <c r="P506" s="41"/>
      <c r="Q506" s="208" cm="1">
        <f t="array" ref="Q50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15</v>
      </c>
      <c r="R506" s="237" cm="1">
        <f t="array" ref="R50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15</v>
      </c>
      <c r="S506" s="238" cm="1">
        <f t="array" ref="S50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15</v>
      </c>
      <c r="T506" s="238" cm="1">
        <f t="array" ref="T50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506" s="41" t="str" cm="1">
        <f t="array" ref="U50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20.40479 and 15.00000</v>
      </c>
      <c r="V506" s="22"/>
    </row>
    <row r="507" spans="10:22" x14ac:dyDescent="0.15">
      <c r="J507" s="190" t="s">
        <v>249</v>
      </c>
      <c r="K507" s="127" t="s">
        <v>5</v>
      </c>
      <c r="L507" s="208">
        <v>58.489527029617193</v>
      </c>
      <c r="M507" s="237">
        <f>_xlfn.LET(
  _xlpm.analyte, SensorLab[[#This Row],[Analyte]],
  _xlpm.raw, N(SensorLab[[#This Row],[Raw_Value]]),
  _xlpm.scaleF, IFERROR(
    _xlfn.XLOOKUP(_xlpm.analyte, CalibrationCoefficients[Analyte], CalibrationCoefficients[ScaleFactor]),
    1
  ),
  IF(AND(_xlpm.analyte&lt;&gt;"", ISNUMBER(_xlpm.raw)), _xlpm.raw * _xlpm.scaleF, "NA")
)</f>
        <v>58.489527029617193</v>
      </c>
      <c r="N507" s="41"/>
      <c r="O507" s="41">
        <v>70</v>
      </c>
      <c r="P507" s="41"/>
      <c r="Q507" s="208" cm="1">
        <f t="array" ref="Q507">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70</v>
      </c>
      <c r="R507" s="237" cm="1">
        <f t="array" ref="R50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70</v>
      </c>
      <c r="S507" s="238" cm="1">
        <f t="array" ref="S50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70</v>
      </c>
      <c r="T507" s="238" cm="1">
        <f t="array" ref="T50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507" s="41" t="str" cm="1">
        <f t="array" ref="U50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70.00000 and 61.54817</v>
      </c>
      <c r="V507" s="22"/>
    </row>
    <row r="508" spans="10:22" x14ac:dyDescent="0.15">
      <c r="J508" s="190" t="s">
        <v>249</v>
      </c>
      <c r="K508" s="127" t="s">
        <v>6</v>
      </c>
      <c r="L508" s="208">
        <v>19.777487713810366</v>
      </c>
      <c r="M508" s="237">
        <f>_xlfn.LET(
  _xlpm.analyte, SensorLab[[#This Row],[Analyte]],
  _xlpm.raw, N(SensorLab[[#This Row],[Raw_Value]]),
  _xlpm.scaleF, IFERROR(
    _xlfn.XLOOKUP(_xlpm.analyte, CalibrationCoefficients[Analyte], CalibrationCoefficients[ScaleFactor]),
    1
  ),
  IF(AND(_xlpm.analyte&lt;&gt;"", ISNUMBER(_xlpm.raw)), _xlpm.raw * _xlpm.scaleF, "NA")
)</f>
        <v>19.777487713810366</v>
      </c>
      <c r="N508" s="41"/>
      <c r="O508" s="41">
        <v>15</v>
      </c>
      <c r="P508" s="41"/>
      <c r="Q508" s="208" cm="1">
        <f t="array" ref="Q50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15</v>
      </c>
      <c r="R508" s="237" cm="1">
        <f t="array" ref="R50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15</v>
      </c>
      <c r="S508" s="238" cm="1">
        <f t="array" ref="S50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15</v>
      </c>
      <c r="T508" s="238" cm="1">
        <f t="array" ref="T50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508" s="41" t="str" cm="1">
        <f t="array" ref="U50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508" s="22"/>
    </row>
    <row r="509" spans="10:22" ht="11.25" thickBot="1" x14ac:dyDescent="0.2">
      <c r="J509" s="192" t="s">
        <v>249</v>
      </c>
      <c r="K509" s="193" t="s">
        <v>69</v>
      </c>
      <c r="L509" s="255" t="str" cm="1">
        <f t="array" ref="L509">_xlfn.LET(
  _xlpm.bs,L506, _xlpm.si,L507, _xlpm.c,L508,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M509" s="256" t="str" cm="1">
        <f t="array" ref="M509">_xlfn.LET(
  _xlpm.bs,M506, _xlpm.si,M507, _xlpm.c,M508,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N509" s="245" t="str" cm="1">
        <f t="array" ref="N509">_xlfn.LET(
  _xlpm.bs,N506, _xlpm.si,N507, _xlpm.c,N508,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509" s="245" t="str" cm="1">
        <f t="array" ref="O509">_xlfn.LET(
  _xlpm.bs,O506, _xlpm.si,O507, _xlpm.c,O508,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P509" s="245" t="str" cm="1">
        <f t="array" ref="P509">_xlfn.LET(
  _xlpm.bs,P506, _xlpm.si,P507, _xlpm.c,P508,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509" s="255" t="str" cm="1">
        <f t="array" ref="Q509">_xlfn.LET(
  _xlpm.bs,Q506, _xlpm.si,Q507, _xlpm.c,Q508,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R509" s="256" t="str" cm="1">
        <f t="array" ref="R509">_xlfn.LET(
  _xlpm.bs,R506, _xlpm.si,R507, _xlpm.c,R508,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S509" s="256" t="str" cm="1">
        <f t="array" ref="S509">_xlfn.LET(
  _xlpm.bs,S506, _xlpm.si,S507, _xlpm.c,S508,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T509" s="240" cm="1">
        <f t="array" ref="T50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509" s="229" t="str" cm="1">
        <f t="array" ref="U50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(Texture match: Silt Loam)</v>
      </c>
      <c r="V509" s="22"/>
    </row>
    <row r="510" spans="10:22" x14ac:dyDescent="0.15">
      <c r="J510" s="190" t="s">
        <v>250</v>
      </c>
      <c r="K510" s="127" t="s">
        <v>39</v>
      </c>
      <c r="L510" s="208">
        <v>0</v>
      </c>
      <c r="M510"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510" s="41"/>
      <c r="O510" s="41"/>
      <c r="P510" s="41"/>
      <c r="Q510" s="208" t="str">
        <f>_xlfn.LET(
  _xlpm.tRaw, SensorLab[[#This Row],[Tarnab_Lab]],
  _xlpm.bRaw, SensorLab[[#This Row],[Bari_Lab]],
  _xlpm.mRaw, SensorLab[[#This Row],[ManuChar_Lab]],
  _xlpm.tIsNum, ISNUMBER(_xlpm.tRaw),
  _xlpm.bIsNum, ISNUMBER(_xlpm.bRaw),
  _xlpm.mIsNum, ISNUMBER(_xlpm.mRaw),
  _xlpm.t, IF(_xlpm.tIsNum, _xlpm.tRaw, ""),
  _xlpm.b, IF(_xlpm.bIsNum, _xlpm.bRaw, ""),
  _xlpm.m, IF(_xlpm.mIsNum, _xlpm.mRaw, ""),
  _xlpm.c, (--_xlpm.tIsNum) + (--_xlpm.bIsNum) + (--_xlpm.mIsNum),
  _xlpm.sumVals, IF(_xlpm.tIsNum, _xlpm.tRaw, 0) + IF(_xlpm.bIsNum, _xlpm.bRaw, 0) + IF(_xlpm.mIsNum, _xlpm.mRaw, 0),
  _xlpm.result,
    IF(_xlpm.c = 0, "",
      IF(_xlpm.c = 1,
         IF(_xlpm.tIsNum, _xlpm.t, IF(_xlpm.bIsNum, _xlpm.b, _xlpm.m)),
      IF(_xlpm.c = 2,
         _xlpm.sumVals / 2,
         MEDIAN(_xlpm.t, _xlpm.b, _xlpm.m)
      ))),
  _xlpm.result
)</f>
        <v/>
      </c>
      <c r="R510" s="239" cm="1">
        <f t="array" ref="R51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0.44663000000000003</v>
      </c>
      <c r="S510" s="241" cm="1">
        <f t="array" ref="S51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v>
      </c>
      <c r="T510" s="241" cm="1">
        <f t="array" ref="T51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-6</v>
      </c>
      <c r="U510" s="41" t="str" cm="1">
        <f t="array" ref="U51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0.44663 and 0.00000</v>
      </c>
      <c r="V510" s="22"/>
    </row>
    <row r="511" spans="10:22" x14ac:dyDescent="0.15">
      <c r="J511" s="190" t="s">
        <v>250</v>
      </c>
      <c r="K511" s="191" t="s">
        <v>40</v>
      </c>
      <c r="L511" s="208">
        <v>31</v>
      </c>
      <c r="M511" s="237">
        <f>_xlfn.LET(
  _xlpm.analyte, SensorLab[[#This Row],[Analyte]],
  _xlpm.raw, N(SensorLab[[#This Row],[Raw_Value]]),
  _xlpm.scaleF, IFERROR(
    _xlfn.XLOOKUP(_xlpm.analyte, CalibrationCoefficients[Analyte], CalibrationCoefficients[ScaleFactor]),
    1
  ),
  IF(AND(_xlpm.analyte&lt;&gt;"", ISNUMBER(_xlpm.raw)), _xlpm.raw * _xlpm.scaleF, "NA")
)</f>
        <v>31</v>
      </c>
      <c r="N511" s="41"/>
      <c r="O511" s="41"/>
      <c r="P511" s="41"/>
      <c r="Q511" s="208" t="str">
        <f>_xlfn.LET(
  _xlpm.tRaw, SensorLab[[#This Row],[Tarnab_Lab]],
  _xlpm.bRaw, SensorLab[[#This Row],[Bari_Lab]],
  _xlpm.mRaw, SensorLab[[#This Row],[ManuChar_Lab]],
  _xlpm.tIsNum, ISNUMBER(_xlpm.tRaw),
  _xlpm.bIsNum, ISNUMBER(_xlpm.bRaw),
  _xlpm.mIsNum, ISNUMBER(_xlpm.mRaw),
  _xlpm.t, IF(_xlpm.tIsNum, _xlpm.tRaw, ""),
  _xlpm.b, IF(_xlpm.bIsNum, _xlpm.bRaw, ""),
  _xlpm.m, IF(_xlpm.mIsNum, _xlpm.mRaw, ""),
  _xlpm.c, (--_xlpm.tIsNum) + (--_xlpm.bIsNum) + (--_xlpm.mIsNum),
  _xlpm.sumVals, IF(_xlpm.tIsNum, _xlpm.tRaw, 0) + IF(_xlpm.bIsNum, _xlpm.bRaw, 0) + IF(_xlpm.mIsNum, _xlpm.mRaw, 0),
  _xlpm.result,
    IF(_xlpm.c = 0, "",
      IF(_xlpm.c = 1,
         IF(_xlpm.tIsNum, _xlpm.t, IF(_xlpm.bIsNum, _xlpm.b, _xlpm.m)),
      IF(_xlpm.c = 2,
         _xlpm.sumVals / 2,
         MEDIAN(_xlpm.t, _xlpm.b, _xlpm.m)
      ))),
  _xlpm.result
)</f>
        <v/>
      </c>
      <c r="R511" s="237" cm="1">
        <f t="array" ref="R51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6.0896699999999999</v>
      </c>
      <c r="S511" s="238" cm="1">
        <f t="array" ref="S51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4.8996399999999998</v>
      </c>
      <c r="T511" s="238" cm="1">
        <f t="array" ref="T51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-0.10036000000000023</v>
      </c>
      <c r="U511" s="41" t="str" cm="1">
        <f t="array" ref="U51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6.13217 and 0.00000</v>
      </c>
      <c r="V511" s="22"/>
    </row>
    <row r="512" spans="10:22" x14ac:dyDescent="0.15">
      <c r="J512" s="190" t="s">
        <v>250</v>
      </c>
      <c r="K512" s="191" t="s">
        <v>41</v>
      </c>
      <c r="L512" s="208">
        <v>23</v>
      </c>
      <c r="M512" s="237">
        <f>_xlfn.LET(
  _xlpm.analyte, SensorLab[[#This Row],[Analyte]],
  _xlpm.raw, N(SensorLab[[#This Row],[Raw_Value]]),
  _xlpm.scaleF, IFERROR(
    _xlfn.XLOOKUP(_xlpm.analyte, CalibrationCoefficients[Analyte], CalibrationCoefficients[ScaleFactor]),
    1
  ),
  IF(AND(_xlpm.analyte&lt;&gt;"", ISNUMBER(_xlpm.raw)), _xlpm.raw * _xlpm.scaleF, "NA")
)</f>
        <v>23</v>
      </c>
      <c r="N512" s="41"/>
      <c r="O512" s="41"/>
      <c r="P512" s="41"/>
      <c r="Q512" s="208" t="str">
        <f>_xlfn.LET(
  _xlpm.tRaw, SensorLab[[#This Row],[Tarnab_Lab]],
  _xlpm.bRaw, SensorLab[[#This Row],[Bari_Lab]],
  _xlpm.mRaw, SensorLab[[#This Row],[ManuChar_Lab]],
  _xlpm.tIsNum, ISNUMBER(_xlpm.tRaw),
  _xlpm.bIsNum, ISNUMBER(_xlpm.bRaw),
  _xlpm.mIsNum, ISNUMBER(_xlpm.mRaw),
  _xlpm.t, IF(_xlpm.tIsNum, _xlpm.tRaw, ""),
  _xlpm.b, IF(_xlpm.bIsNum, _xlpm.bRaw, ""),
  _xlpm.m, IF(_xlpm.mIsNum, _xlpm.mRaw, ""),
  _xlpm.c, (--_xlpm.tIsNum) + (--_xlpm.bIsNum) + (--_xlpm.mIsNum),
  _xlpm.sumVals, IF(_xlpm.tIsNum, _xlpm.tRaw, 0) + IF(_xlpm.bIsNum, _xlpm.bRaw, 0) + IF(_xlpm.mIsNum, _xlpm.mRaw, 0),
  _xlpm.result,
    IF(_xlpm.c = 0, "",
      IF(_xlpm.c = 1,
         IF(_xlpm.tIsNum, _xlpm.t, IF(_xlpm.bIsNum, _xlpm.b, _xlpm.m)),
      IF(_xlpm.c = 2,
         _xlpm.sumVals / 2,
         MEDIAN(_xlpm.t, _xlpm.b, _xlpm.m)
      ))),
  _xlpm.result
)</f>
        <v/>
      </c>
      <c r="R512" s="237" cm="1">
        <f t="array" ref="R51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118.73033</v>
      </c>
      <c r="S512" s="238" cm="1">
        <f t="array" ref="S51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105.03036</v>
      </c>
      <c r="T512" s="238" cm="1">
        <f t="array" ref="T51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-105.03036</v>
      </c>
      <c r="U512" s="41" t="str" cm="1">
        <f t="array" ref="U51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115.63090 and 0.00000</v>
      </c>
      <c r="V512" s="22"/>
    </row>
    <row r="513" spans="10:22" x14ac:dyDescent="0.15">
      <c r="J513" s="190" t="s">
        <v>250</v>
      </c>
      <c r="K513" s="127" t="s">
        <v>52</v>
      </c>
      <c r="L513" s="208">
        <v>153</v>
      </c>
      <c r="M513" s="237">
        <f>_xlfn.LET(
  _xlpm.analyte, SensorLab[[#This Row],[Analyte]],
  _xlpm.raw, N(SensorLab[[#This Row],[Raw_Value]]),
  _xlpm.scaleF, IFERROR(
    _xlfn.XLOOKUP(_xlpm.analyte, CalibrationCoefficients[Analyte], CalibrationCoefficients[ScaleFactor]),
    1
  ),
  IF(AND(_xlpm.analyte&lt;&gt;"", ISNUMBER(_xlpm.raw)), _xlpm.raw * _xlpm.scaleF, "NA")
)</f>
        <v>0.153</v>
      </c>
      <c r="N513" s="41"/>
      <c r="O513" s="41"/>
      <c r="P513" s="41"/>
      <c r="Q513" s="208"/>
      <c r="R513" s="237" cm="1">
        <f t="array" ref="R51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1.016</v>
      </c>
      <c r="S513" s="238" cm="1">
        <f t="array" ref="S51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0.98377000000000003</v>
      </c>
      <c r="T513" s="238" cm="1">
        <f t="array" ref="T51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-0.98377000000000003</v>
      </c>
      <c r="U513" s="41" t="str" cm="1">
        <f t="array" ref="U51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1.00613 and 0.00000</v>
      </c>
      <c r="V513" s="22"/>
    </row>
    <row r="514" spans="10:22" x14ac:dyDescent="0.15">
      <c r="J514" s="190" t="s">
        <v>250</v>
      </c>
      <c r="K514" s="127" t="s">
        <v>34</v>
      </c>
      <c r="L514" s="208">
        <v>72</v>
      </c>
      <c r="M514" s="237">
        <f>_xlfn.LET(
  _xlpm.analyte, SensorLab[[#This Row],[Analyte]],
  _xlpm.raw, N(SensorLab[[#This Row],[Raw_Value]]),
  _xlpm.scaleF, IFERROR(
    _xlfn.XLOOKUP(_xlpm.analyte, CalibrationCoefficients[Analyte], CalibrationCoefficients[ScaleFactor]),
    1
  ),
  IF(AND(_xlpm.analyte&lt;&gt;"", ISNUMBER(_xlpm.raw)), _xlpm.raw * _xlpm.scaleF, "NA")
)</f>
        <v>7.2</v>
      </c>
      <c r="N514" s="41"/>
      <c r="O514" s="41"/>
      <c r="P514" s="41"/>
      <c r="Q514" s="208"/>
      <c r="R514" s="237" cm="1">
        <f t="array" ref="R51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7.8946300000000003</v>
      </c>
      <c r="S514" s="238" cm="1">
        <f t="array" ref="S51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7.86172</v>
      </c>
      <c r="T514" s="238" cm="1">
        <f t="array" ref="T51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-7.86172</v>
      </c>
      <c r="U514" s="41" t="str" cm="1">
        <f t="array" ref="U51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7.80816 and 0.00000</v>
      </c>
      <c r="V514" s="22"/>
    </row>
    <row r="515" spans="10:22" x14ac:dyDescent="0.15">
      <c r="J515" s="190" t="s">
        <v>250</v>
      </c>
      <c r="K515" s="127" t="s">
        <v>90</v>
      </c>
      <c r="L515" s="208">
        <v>114</v>
      </c>
      <c r="M515" s="237">
        <f>_xlfn.LET(
  _xlpm.analyte, SensorLab[[#This Row],[Analyte]],
  _xlpm.raw, N(SensorLab[[#This Row],[Raw_Value]]),
  _xlpm.scaleF, IFERROR(
    _xlfn.XLOOKUP(_xlpm.analyte, CalibrationCoefficients[Analyte], CalibrationCoefficients[ScaleFactor]),
    1
  ),
  IF(AND(_xlpm.analyte&lt;&gt;"", ISNUMBER(_xlpm.raw)), _xlpm.raw * _xlpm.scaleF, "NA")
)</f>
        <v>11.4</v>
      </c>
      <c r="N515" s="41"/>
      <c r="O515" s="41"/>
      <c r="P515" s="41"/>
      <c r="Q515" s="208"/>
      <c r="R515" s="237" cm="1">
        <f t="array" ref="R51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11.333310000000001</v>
      </c>
      <c r="S515" s="238" cm="1">
        <f t="array" ref="S51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11.29673</v>
      </c>
      <c r="T515" s="238" cm="1">
        <f t="array" ref="T51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-12.70327</v>
      </c>
      <c r="U515" s="41" t="str" cm="1">
        <f t="array" ref="U51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11.33000 and 0.00000</v>
      </c>
      <c r="V515" s="22"/>
    </row>
    <row r="516" spans="10:22" x14ac:dyDescent="0.15">
      <c r="J516" s="190" t="s">
        <v>250</v>
      </c>
      <c r="K516" s="191" t="s">
        <v>43</v>
      </c>
      <c r="L516" s="208">
        <v>281</v>
      </c>
      <c r="M516" s="237">
        <f>_xlfn.LET(
  _xlpm.analyte, SensorLab[[#This Row],[Analyte]],
  _xlpm.raw, N(SensorLab[[#This Row],[Raw_Value]]),
  _xlpm.scaleF, IFERROR(
    _xlfn.XLOOKUP(_xlpm.analyte, CalibrationCoefficients[Analyte], CalibrationCoefficients[ScaleFactor]),
    1
  ),
  IF(AND(_xlpm.analyte&lt;&gt;"", ISNUMBER(_xlpm.raw)), _xlpm.raw * _xlpm.scaleF, "NA")
)</f>
        <v>28.1</v>
      </c>
      <c r="N516" s="41"/>
      <c r="O516" s="41"/>
      <c r="P516" s="41"/>
      <c r="Q516" s="208"/>
      <c r="R516" s="237" cm="1">
        <f t="array" ref="R51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28.087949999999999</v>
      </c>
      <c r="S516" s="238" cm="1">
        <f t="array" ref="S51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28.10136</v>
      </c>
      <c r="T516" s="238" cm="1">
        <f t="array" ref="T51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-28.10136</v>
      </c>
      <c r="U516" s="41" t="str" cm="1">
        <f t="array" ref="U51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28.10000 and 0.00000</v>
      </c>
      <c r="V516" s="22"/>
    </row>
    <row r="517" spans="10:22" x14ac:dyDescent="0.15">
      <c r="J517" s="190" t="s">
        <v>250</v>
      </c>
      <c r="K517" s="191" t="s">
        <v>45</v>
      </c>
      <c r="L517" s="208">
        <v>5.1999999999999995E-4</v>
      </c>
      <c r="M517" s="237">
        <f>_xlfn.LET(
  _xlpm.analyte, SensorLab[[#This Row],[Analyte]],
  _xlpm.raw, N(SensorLab[[#This Row],[Raw_Value]]),
  _xlpm.scaleF, IFERROR(
    _xlfn.XLOOKUP(_xlpm.analyte, CalibrationCoefficients[Analyte], CalibrationCoefficients[ScaleFactor]),
    1
  ),
  IF(AND(_xlpm.analyte&lt;&gt;"", ISNUMBER(_xlpm.raw)), _xlpm.raw * _xlpm.scaleF, "NA")
)</f>
        <v>5.1999999999999995E-4</v>
      </c>
      <c r="N517" s="41"/>
      <c r="O517" s="41"/>
      <c r="P517" s="41"/>
      <c r="Q517" s="208"/>
      <c r="R517" s="237" cm="1">
        <f t="array" ref="R51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0.60409999999999997</v>
      </c>
      <c r="S517" s="238" cm="1">
        <f t="array" ref="S51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0.6</v>
      </c>
      <c r="T517" s="238" cm="1">
        <f t="array" ref="T51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-0.6</v>
      </c>
      <c r="U517" s="41" t="str" cm="1">
        <f t="array" ref="U51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0.00000 and 0.00000</v>
      </c>
      <c r="V517" s="22"/>
    </row>
    <row r="518" spans="10:22" x14ac:dyDescent="0.15">
      <c r="J518" s="190" t="s">
        <v>250</v>
      </c>
      <c r="K518" s="127" t="s">
        <v>0</v>
      </c>
      <c r="L518" s="208">
        <v>34.56</v>
      </c>
      <c r="M518" s="237">
        <f>_xlfn.LET(
  _xlpm.analyte, SensorLab[[#This Row],[Analyte]],
  _xlpm.raw, N(SensorLab[[#This Row],[Raw_Value]]),
  _xlpm.scaleF, IFERROR(
    _xlfn.XLOOKUP(_xlpm.analyte, CalibrationCoefficients[Analyte], CalibrationCoefficients[ScaleFactor]),
    1
  ),
  IF(AND(_xlpm.analyte&lt;&gt;"", ISNUMBER(_xlpm.raw)), _xlpm.raw * _xlpm.scaleF, "NA")
)</f>
        <v>34.56</v>
      </c>
      <c r="N518" s="41"/>
      <c r="O518" s="41"/>
      <c r="P518" s="41"/>
      <c r="Q518" s="208"/>
      <c r="R518" s="237" cm="1">
        <f t="array" ref="R51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518" s="238" cm="1">
        <f t="array" ref="S51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518" s="238" cm="1">
        <f t="array" ref="T51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-23</v>
      </c>
      <c r="U518" s="41" t="str" cm="1">
        <f t="array" ref="U51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17.94198 and 0.00000</v>
      </c>
      <c r="V518" s="22"/>
    </row>
    <row r="519" spans="10:22" x14ac:dyDescent="0.15">
      <c r="J519" s="190" t="s">
        <v>250</v>
      </c>
      <c r="K519" s="127" t="s">
        <v>5</v>
      </c>
      <c r="L519" s="208">
        <v>48.1</v>
      </c>
      <c r="M519" s="237">
        <f>_xlfn.LET(
  _xlpm.analyte, SensorLab[[#This Row],[Analyte]],
  _xlpm.raw, N(SensorLab[[#This Row],[Raw_Value]]),
  _xlpm.scaleF, IFERROR(
    _xlfn.XLOOKUP(_xlpm.analyte, CalibrationCoefficients[Analyte], CalibrationCoefficients[ScaleFactor]),
    1
  ),
  IF(AND(_xlpm.analyte&lt;&gt;"", ISNUMBER(_xlpm.raw)), _xlpm.raw * _xlpm.scaleF, "NA")
)</f>
        <v>48.1</v>
      </c>
      <c r="N519" s="41"/>
      <c r="O519" s="41"/>
      <c r="P519" s="41"/>
      <c r="Q519" s="208"/>
      <c r="R519" s="237" cm="1">
        <f t="array" ref="R51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519" s="238" cm="1">
        <f t="array" ref="S51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519" s="238" cm="1">
        <f t="array" ref="T51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-28</v>
      </c>
      <c r="U519" s="41" t="str" cm="1">
        <f t="array" ref="U51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29.01907 and 0.00000</v>
      </c>
      <c r="V519" s="22"/>
    </row>
    <row r="520" spans="10:22" x14ac:dyDescent="0.15">
      <c r="J520" s="190" t="s">
        <v>250</v>
      </c>
      <c r="K520" s="127" t="s">
        <v>6</v>
      </c>
      <c r="L520" s="208">
        <v>17.34</v>
      </c>
      <c r="M520" s="237">
        <f>_xlfn.LET(
  _xlpm.analyte, SensorLab[[#This Row],[Analyte]],
  _xlpm.raw, N(SensorLab[[#This Row],[Raw_Value]]),
  _xlpm.scaleF, IFERROR(
    _xlfn.XLOOKUP(_xlpm.analyte, CalibrationCoefficients[Analyte], CalibrationCoefficients[ScaleFactor]),
    1
  ),
  IF(AND(_xlpm.analyte&lt;&gt;"", ISNUMBER(_xlpm.raw)), _xlpm.raw * _xlpm.scaleF, "NA")
)</f>
        <v>17.34</v>
      </c>
      <c r="N520" s="41"/>
      <c r="O520" s="41"/>
      <c r="P520" s="41"/>
      <c r="Q520" s="208"/>
      <c r="R520" s="237" cm="1">
        <f t="array" ref="R52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520" s="238" cm="1">
        <f t="array" ref="S52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520" s="238" cm="1">
        <f t="array" ref="T52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v>
      </c>
      <c r="U520" s="41" t="str" cm="1">
        <f t="array" ref="U52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11.58299 and 0.00000</v>
      </c>
      <c r="V520" s="22"/>
    </row>
    <row r="521" spans="10:22" ht="11.25" thickBot="1" x14ac:dyDescent="0.2">
      <c r="J521" s="192" t="s">
        <v>250</v>
      </c>
      <c r="K521" s="193" t="s">
        <v>69</v>
      </c>
      <c r="L521" s="255" t="str" cm="1">
        <f t="array" ref="L521">_xlfn.LET(
  _xlpm.bs,L518, _xlpm.si,L519, _xlpm.c,L520,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M521" s="256" t="str" cm="1">
        <f t="array" ref="M521">_xlfn.LET(
  _xlpm.bs,M518, _xlpm.si,M519, _xlpm.c,M520,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N521" s="245" t="str" cm="1">
        <f t="array" ref="N521">_xlfn.LET(
  _xlpm.bs,N518, _xlpm.si,N519, _xlpm.c,N520,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521" s="245" t="str" cm="1">
        <f t="array" ref="O521">_xlfn.LET(
  _xlpm.bs,O518, _xlpm.si,O519, _xlpm.c,O520,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P521" s="245" t="str" cm="1">
        <f t="array" ref="P521">_xlfn.LET(
  _xlpm.bs,P518, _xlpm.si,P519, _xlpm.c,P520,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521" s="255" t="str" cm="1">
        <f t="array" ref="Q521">_xlfn.LET(
  _xlpm.bs,Q518, _xlpm.si,Q519, _xlpm.c,Q520,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R521" s="256" t="str" cm="1">
        <f t="array" ref="R521">_xlfn.LET(
  _xlpm.bs,R518, _xlpm.si,R519, _xlpm.c,R520,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S521" s="256" t="str" cm="1">
        <f t="array" ref="S521">_xlfn.LET(
  _xlpm.bs,S518, _xlpm.si,S519, _xlpm.c,S520,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T521" s="240" cm="1">
        <f t="array" ref="T52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v>
      </c>
      <c r="U521" s="229" t="str" cm="1">
        <f t="array" ref="U52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#N/A</v>
      </c>
      <c r="V521" s="22"/>
    </row>
    <row r="522" spans="10:22" x14ac:dyDescent="0.15">
      <c r="J522" s="190" t="s">
        <v>251</v>
      </c>
      <c r="K522" s="127" t="s">
        <v>39</v>
      </c>
      <c r="L522" s="208">
        <v>1</v>
      </c>
      <c r="M522" s="237">
        <f>_xlfn.LET(
  _xlpm.analyte, SensorLab[[#This Row],[Analyte]],
  _xlpm.raw, N(SensorLab[[#This Row],[Raw_Value]]),
  _xlpm.scaleF, IFERROR(
    _xlfn.XLOOKUP(_xlpm.analyte, CalibrationCoefficients[Analyte], CalibrationCoefficients[ScaleFactor]),
    1
  ),
  IF(AND(_xlpm.analyte&lt;&gt;"", ISNUMBER(_xlpm.raw)), _xlpm.raw * _xlpm.scaleF, "NA")
)</f>
        <v>1</v>
      </c>
      <c r="N522" s="41"/>
      <c r="O522" s="41">
        <v>0.38997999999999999</v>
      </c>
      <c r="P522" s="41"/>
      <c r="Q522" s="207" cm="1">
        <f t="array" ref="Q52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0.38997999999999999</v>
      </c>
      <c r="R522" s="239" cm="1">
        <f t="array" ref="R52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0.58699999999999997</v>
      </c>
      <c r="S522" s="241" cm="1">
        <f t="array" ref="S52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2.1403699999999999</v>
      </c>
      <c r="T522" s="241" cm="1">
        <f t="array" ref="T52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-7.8596300000000001</v>
      </c>
      <c r="U522" s="41" t="str" cm="1">
        <f t="array" ref="U52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0.58700 and 0.58354</v>
      </c>
      <c r="V522" s="22"/>
    </row>
    <row r="523" spans="10:22" x14ac:dyDescent="0.15">
      <c r="J523" s="190" t="s">
        <v>251</v>
      </c>
      <c r="K523" s="191" t="s">
        <v>40</v>
      </c>
      <c r="L523" s="208">
        <v>49</v>
      </c>
      <c r="M523" s="237">
        <f>_xlfn.LET(
  _xlpm.analyte, SensorLab[[#This Row],[Analyte]],
  _xlpm.raw, N(SensorLab[[#This Row],[Raw_Value]]),
  _xlpm.scaleF, IFERROR(
    _xlfn.XLOOKUP(_xlpm.analyte, CalibrationCoefficients[Analyte], CalibrationCoefficients[ScaleFactor]),
    1
  ),
  IF(AND(_xlpm.analyte&lt;&gt;"", ISNUMBER(_xlpm.raw)), _xlpm.raw * _xlpm.scaleF, "NA")
)</f>
        <v>49</v>
      </c>
      <c r="N523" s="41"/>
      <c r="O523" s="41">
        <v>5.35</v>
      </c>
      <c r="P523" s="41"/>
      <c r="Q523" s="208" cm="1">
        <f t="array" ref="Q523">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5.35</v>
      </c>
      <c r="R523" s="237" cm="1">
        <f t="array" ref="R52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6.5400299999999998</v>
      </c>
      <c r="S523" s="238" cm="1">
        <f t="array" ref="S52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5.35</v>
      </c>
      <c r="T523" s="238" cm="1">
        <f t="array" ref="T52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-0.65000000000000036</v>
      </c>
      <c r="U523" s="41" t="str" cm="1">
        <f t="array" ref="U52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6.37769 and 7.49769</v>
      </c>
      <c r="V523" s="22"/>
    </row>
    <row r="524" spans="10:22" x14ac:dyDescent="0.15">
      <c r="J524" s="190" t="s">
        <v>251</v>
      </c>
      <c r="K524" s="191" t="s">
        <v>41</v>
      </c>
      <c r="L524" s="208">
        <v>42</v>
      </c>
      <c r="M524" s="237">
        <f>_xlfn.LET(
  _xlpm.analyte, SensorLab[[#This Row],[Analyte]],
  _xlpm.raw, N(SensorLab[[#This Row],[Raw_Value]]),
  _xlpm.scaleF, IFERROR(
    _xlfn.XLOOKUP(_xlpm.analyte, CalibrationCoefficients[Analyte], CalibrationCoefficients[ScaleFactor]),
    1
  ),
  IF(AND(_xlpm.analyte&lt;&gt;"", ISNUMBER(_xlpm.raw)), _xlpm.raw * _xlpm.scaleF, "NA")
)</f>
        <v>42</v>
      </c>
      <c r="N524" s="41"/>
      <c r="O524" s="41">
        <v>111</v>
      </c>
      <c r="P524" s="41"/>
      <c r="Q524" s="208" cm="1">
        <f t="array" ref="Q52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111</v>
      </c>
      <c r="R524" s="237" cm="1">
        <f t="array" ref="R52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124.69996999999999</v>
      </c>
      <c r="S524" s="238" cm="1">
        <f t="array" ref="S52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111</v>
      </c>
      <c r="T524" s="238" cm="1">
        <f t="array" ref="T52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524" s="41" t="str" cm="1">
        <f t="array" ref="U52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122.17380 and 125.15380</v>
      </c>
      <c r="V524" s="22"/>
    </row>
    <row r="525" spans="10:22" x14ac:dyDescent="0.15">
      <c r="J525" s="190" t="s">
        <v>251</v>
      </c>
      <c r="K525" s="127" t="s">
        <v>52</v>
      </c>
      <c r="L525" s="208">
        <v>192</v>
      </c>
      <c r="M525" s="237">
        <f>_xlfn.LET(
  _xlpm.analyte, SensorLab[[#This Row],[Analyte]],
  _xlpm.raw, N(SensorLab[[#This Row],[Raw_Value]]),
  _xlpm.scaleF, IFERROR(
    _xlfn.XLOOKUP(_xlpm.analyte, CalibrationCoefficients[Analyte], CalibrationCoefficients[ScaleFactor]),
    1
  ),
  IF(AND(_xlpm.analyte&lt;&gt;"", ISNUMBER(_xlpm.raw)), _xlpm.raw * _xlpm.scaleF, "NA")
)</f>
        <v>0.192</v>
      </c>
      <c r="N525" s="41"/>
      <c r="O525" s="41">
        <v>1.45</v>
      </c>
      <c r="P525" s="41"/>
      <c r="Q525" s="208" cm="1">
        <f t="array" ref="Q525">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1.45</v>
      </c>
      <c r="R525" s="237" cm="1">
        <f t="array" ref="R52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1.04155</v>
      </c>
      <c r="S525" s="238" cm="1">
        <f t="array" ref="S52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1.00932</v>
      </c>
      <c r="T525" s="238" cm="1">
        <f t="array" ref="T52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0.44068000000000002</v>
      </c>
      <c r="U525" s="41" t="str" cm="1">
        <f t="array" ref="U52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1.17886 and 1.11455</v>
      </c>
      <c r="V525" s="22"/>
    </row>
    <row r="526" spans="10:22" x14ac:dyDescent="0.15">
      <c r="J526" s="190" t="s">
        <v>251</v>
      </c>
      <c r="K526" s="127" t="s">
        <v>34</v>
      </c>
      <c r="L526" s="208">
        <v>73</v>
      </c>
      <c r="M526" s="237">
        <f>_xlfn.LET(
  _xlpm.analyte, SensorLab[[#This Row],[Analyte]],
  _xlpm.raw, N(SensorLab[[#This Row],[Raw_Value]]),
  _xlpm.scaleF, IFERROR(
    _xlfn.XLOOKUP(_xlpm.analyte, CalibrationCoefficients[Analyte], CalibrationCoefficients[ScaleFactor]),
    1
  ),
  IF(AND(_xlpm.analyte&lt;&gt;"", ISNUMBER(_xlpm.raw)), _xlpm.raw * _xlpm.scaleF, "NA")
)</f>
        <v>7.3000000000000007</v>
      </c>
      <c r="N526" s="41"/>
      <c r="O526" s="41">
        <v>7.73</v>
      </c>
      <c r="P526" s="41"/>
      <c r="Q526" s="208" cm="1">
        <f t="array" ref="Q52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7.73</v>
      </c>
      <c r="R526" s="237" cm="1">
        <f t="array" ref="R52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7.8900600000000001</v>
      </c>
      <c r="S526" s="238" cm="1">
        <f t="array" ref="S52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7.8571499999999999</v>
      </c>
      <c r="T526" s="238" cm="1">
        <f t="array" ref="T52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-0.12715000000000001</v>
      </c>
      <c r="U526" s="41" t="str" cm="1">
        <f t="array" ref="U52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-0.12715)</v>
      </c>
      <c r="V526" s="22"/>
    </row>
    <row r="527" spans="10:22" x14ac:dyDescent="0.15">
      <c r="J527" s="190" t="s">
        <v>251</v>
      </c>
      <c r="K527" s="127" t="s">
        <v>90</v>
      </c>
      <c r="L527" s="208">
        <v>143</v>
      </c>
      <c r="M527" s="237">
        <f>_xlfn.LET(
  _xlpm.analyte, SensorLab[[#This Row],[Analyte]],
  _xlpm.raw, N(SensorLab[[#This Row],[Raw_Value]]),
  _xlpm.scaleF, IFERROR(
    _xlfn.XLOOKUP(_xlpm.analyte, CalibrationCoefficients[Analyte], CalibrationCoefficients[ScaleFactor]),
    1
  ),
  IF(AND(_xlpm.analyte&lt;&gt;"", ISNUMBER(_xlpm.raw)), _xlpm.raw * _xlpm.scaleF, "NA")
)</f>
        <v>14.3</v>
      </c>
      <c r="N527" s="41"/>
      <c r="O527" s="41">
        <v>14.3</v>
      </c>
      <c r="P527" s="41"/>
      <c r="Q527" s="208" cm="1">
        <f t="array" ref="Q527">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14.3</v>
      </c>
      <c r="R527" s="237" cm="1">
        <f t="array" ref="R52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14.293200000000001</v>
      </c>
      <c r="S527" s="238" cm="1">
        <f t="array" ref="S52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14.25662</v>
      </c>
      <c r="T527" s="238" cm="1">
        <f t="array" ref="T52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-9.7433800000000002</v>
      </c>
      <c r="U527" s="41" t="str" cm="1">
        <f t="array" ref="U52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14.26005 and 14.33995</v>
      </c>
      <c r="V527" s="22"/>
    </row>
    <row r="528" spans="10:22" x14ac:dyDescent="0.15">
      <c r="J528" s="190" t="s">
        <v>251</v>
      </c>
      <c r="K528" s="191" t="s">
        <v>43</v>
      </c>
      <c r="L528" s="208">
        <v>311</v>
      </c>
      <c r="M528" s="237">
        <f>_xlfn.LET(
  _xlpm.analyte, SensorLab[[#This Row],[Analyte]],
  _xlpm.raw, N(SensorLab[[#This Row],[Raw_Value]]),
  _xlpm.scaleF, IFERROR(
    _xlfn.XLOOKUP(_xlpm.analyte, CalibrationCoefficients[Analyte], CalibrationCoefficients[ScaleFactor]),
    1
  ),
  IF(AND(_xlpm.analyte&lt;&gt;"", ISNUMBER(_xlpm.raw)), _xlpm.raw * _xlpm.scaleF, "NA")
)</f>
        <v>31.1</v>
      </c>
      <c r="N528" s="41"/>
      <c r="O528" s="41">
        <v>31.1</v>
      </c>
      <c r="P528" s="41"/>
      <c r="Q528" s="208" cm="1">
        <f t="array" ref="Q52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31.1</v>
      </c>
      <c r="R528" s="237" cm="1">
        <f t="array" ref="R52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31.088699999999999</v>
      </c>
      <c r="S528" s="238" cm="1">
        <f t="array" ref="S52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31.10211</v>
      </c>
      <c r="T528" s="238" cm="1">
        <f t="array" ref="T52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-2.1099999999999999E-3</v>
      </c>
      <c r="U528" s="41" t="str" cm="1">
        <f t="array" ref="U52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31.10000 and 31.10000</v>
      </c>
      <c r="V528" s="22"/>
    </row>
    <row r="529" spans="10:22" x14ac:dyDescent="0.15">
      <c r="J529" s="190" t="s">
        <v>251</v>
      </c>
      <c r="K529" s="191" t="s">
        <v>45</v>
      </c>
      <c r="L529" s="208">
        <v>6.0340000000000003E-4</v>
      </c>
      <c r="M529" s="237">
        <f>_xlfn.LET(
  _xlpm.analyte, SensorLab[[#This Row],[Analyte]],
  _xlpm.raw, N(SensorLab[[#This Row],[Raw_Value]]),
  _xlpm.scaleF, IFERROR(
    _xlfn.XLOOKUP(_xlpm.analyte, CalibrationCoefficients[Analyte], CalibrationCoefficients[ScaleFactor]),
    1
  ),
  IF(AND(_xlpm.analyte&lt;&gt;"", ISNUMBER(_xlpm.raw)), _xlpm.raw * _xlpm.scaleF, "NA")
)</f>
        <v>6.0340000000000003E-4</v>
      </c>
      <c r="N529" s="41"/>
      <c r="O529" s="41">
        <v>0.53</v>
      </c>
      <c r="P529" s="41"/>
      <c r="Q529" s="208" cm="1">
        <f t="array" ref="Q529">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0.53</v>
      </c>
      <c r="R529" s="237" cm="1">
        <f t="array" ref="R52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0.61068999999999996</v>
      </c>
      <c r="S529" s="238" cm="1">
        <f t="array" ref="S52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0.60658999999999996</v>
      </c>
      <c r="T529" s="238" cm="1">
        <f t="array" ref="T52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-7.6590000000000005E-2</v>
      </c>
      <c r="U529" s="41" t="str" cm="1">
        <f t="array" ref="U52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-0.07659)</v>
      </c>
      <c r="V529" s="22"/>
    </row>
    <row r="530" spans="10:22" x14ac:dyDescent="0.15">
      <c r="J530" s="190" t="s">
        <v>251</v>
      </c>
      <c r="K530" s="127" t="s">
        <v>0</v>
      </c>
      <c r="L530" s="208">
        <v>21.72733199868069</v>
      </c>
      <c r="M530" s="237">
        <f>_xlfn.LET(
  _xlpm.analyte, SensorLab[[#This Row],[Analyte]],
  _xlpm.raw, N(SensorLab[[#This Row],[Raw_Value]]),
  _xlpm.scaleF, IFERROR(
    _xlfn.XLOOKUP(_xlpm.analyte, CalibrationCoefficients[Analyte], CalibrationCoefficients[ScaleFactor]),
    1
  ),
  IF(AND(_xlpm.analyte&lt;&gt;"", ISNUMBER(_xlpm.raw)), _xlpm.raw * _xlpm.scaleF, "NA")
)</f>
        <v>21.72733199868069</v>
      </c>
      <c r="N530" s="41"/>
      <c r="O530" s="41">
        <v>10</v>
      </c>
      <c r="P530" s="41"/>
      <c r="Q530" s="208" cm="1">
        <f t="array" ref="Q53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10</v>
      </c>
      <c r="R530" s="237" cm="1">
        <f t="array" ref="R53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10</v>
      </c>
      <c r="S530" s="238" cm="1">
        <f t="array" ref="S53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10</v>
      </c>
      <c r="T530" s="238" cm="1">
        <f t="array" ref="T53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530" s="41" t="str" cm="1">
        <f t="array" ref="U53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20.40588 and 10.00000</v>
      </c>
      <c r="V530" s="22"/>
    </row>
    <row r="531" spans="10:22" x14ac:dyDescent="0.15">
      <c r="J531" s="190" t="s">
        <v>251</v>
      </c>
      <c r="K531" s="127" t="s">
        <v>5</v>
      </c>
      <c r="L531" s="208">
        <v>58.499891335752082</v>
      </c>
      <c r="M531" s="237">
        <f>_xlfn.LET(
  _xlpm.analyte, SensorLab[[#This Row],[Analyte]],
  _xlpm.raw, N(SensorLab[[#This Row],[Raw_Value]]),
  _xlpm.scaleF, IFERROR(
    _xlfn.XLOOKUP(_xlpm.analyte, CalibrationCoefficients[Analyte], CalibrationCoefficients[ScaleFactor]),
    1
  ),
  IF(AND(_xlpm.analyte&lt;&gt;"", ISNUMBER(_xlpm.raw)), _xlpm.raw * _xlpm.scaleF, "NA")
)</f>
        <v>58.499891335752082</v>
      </c>
      <c r="N531" s="41"/>
      <c r="O531" s="41">
        <v>65</v>
      </c>
      <c r="P531" s="41"/>
      <c r="Q531" s="208" cm="1">
        <f t="array" ref="Q531">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65</v>
      </c>
      <c r="R531" s="237" cm="1">
        <f t="array" ref="R53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65</v>
      </c>
      <c r="S531" s="238" cm="1">
        <f t="array" ref="S53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65</v>
      </c>
      <c r="T531" s="238" cm="1">
        <f t="array" ref="T53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531" s="41" t="str" cm="1">
        <f t="array" ref="U53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65.00000 and 61.54611</v>
      </c>
      <c r="V531" s="22"/>
    </row>
    <row r="532" spans="10:22" x14ac:dyDescent="0.15">
      <c r="J532" s="190" t="s">
        <v>251</v>
      </c>
      <c r="K532" s="127" t="s">
        <v>6</v>
      </c>
      <c r="L532" s="208">
        <v>19.772776665567243</v>
      </c>
      <c r="M532" s="237">
        <f>_xlfn.LET(
  _xlpm.analyte, SensorLab[[#This Row],[Analyte]],
  _xlpm.raw, N(SensorLab[[#This Row],[Raw_Value]]),
  _xlpm.scaleF, IFERROR(
    _xlfn.XLOOKUP(_xlpm.analyte, CalibrationCoefficients[Analyte], CalibrationCoefficients[ScaleFactor]),
    1
  ),
  IF(AND(_xlpm.analyte&lt;&gt;"", ISNUMBER(_xlpm.raw)), _xlpm.raw * _xlpm.scaleF, "NA")
)</f>
        <v>19.772776665567243</v>
      </c>
      <c r="N532" s="41"/>
      <c r="O532" s="41">
        <v>25</v>
      </c>
      <c r="P532" s="41"/>
      <c r="Q532" s="208" cm="1">
        <f t="array" ref="Q53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25</v>
      </c>
      <c r="R532" s="237" cm="1">
        <f t="array" ref="R53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25</v>
      </c>
      <c r="S532" s="238" cm="1">
        <f t="array" ref="S53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25</v>
      </c>
      <c r="T532" s="238" cm="1">
        <f t="array" ref="T53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532" s="41" t="str" cm="1">
        <f t="array" ref="U53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25.00000 and 20.30777</v>
      </c>
      <c r="V532" s="22"/>
    </row>
    <row r="533" spans="10:22" ht="11.25" thickBot="1" x14ac:dyDescent="0.2">
      <c r="J533" s="192" t="s">
        <v>251</v>
      </c>
      <c r="K533" s="193" t="s">
        <v>69</v>
      </c>
      <c r="L533" s="255" t="str" cm="1">
        <f t="array" ref="L533">_xlfn.LET(
  _xlpm.bs,L530, _xlpm.si,L531, _xlpm.c,L532,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M533" s="256" t="str" cm="1">
        <f t="array" ref="M533">_xlfn.LET(
  _xlpm.bs,M530, _xlpm.si,M531, _xlpm.c,M532,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N533" s="245" t="str" cm="1">
        <f t="array" ref="N533">_xlfn.LET(
  _xlpm.bs,N530, _xlpm.si,N531, _xlpm.c,N532,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533" s="245" t="str" cm="1">
        <f t="array" ref="O533">_xlfn.LET(
  _xlpm.bs,O530, _xlpm.si,O531, _xlpm.c,O532,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P533" s="245" t="str" cm="1">
        <f t="array" ref="P533">_xlfn.LET(
  _xlpm.bs,P530, _xlpm.si,P531, _xlpm.c,P532,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533" s="255" t="str" cm="1">
        <f t="array" ref="Q533">_xlfn.LET(
  _xlpm.bs,Q530, _xlpm.si,Q531, _xlpm.c,Q532,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R533" s="256" t="str" cm="1">
        <f t="array" ref="R533">_xlfn.LET(
  _xlpm.bs,R530, _xlpm.si,R531, _xlpm.c,R532,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S533" s="256" t="str" cm="1">
        <f t="array" ref="S533">_xlfn.LET(
  _xlpm.bs,S530, _xlpm.si,S531, _xlpm.c,S532,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T533" s="240" cm="1">
        <f t="array" ref="T53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533" s="229" t="str" cm="1">
        <f t="array" ref="U53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(Texture match: Silt Loam)</v>
      </c>
      <c r="V533" s="22"/>
    </row>
    <row r="534" spans="10:22" x14ac:dyDescent="0.15">
      <c r="J534" s="190" t="s">
        <v>252</v>
      </c>
      <c r="K534" s="127" t="s">
        <v>39</v>
      </c>
      <c r="L534" s="208">
        <v>0</v>
      </c>
      <c r="M534"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534" s="41"/>
      <c r="O534" s="41">
        <v>2</v>
      </c>
      <c r="P534" s="41"/>
      <c r="Q534" s="207" cm="1">
        <f t="array" ref="Q53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v>
      </c>
      <c r="R534" s="239" cm="1">
        <f t="array" ref="R53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0.44663000000000003</v>
      </c>
      <c r="S534" s="241" cm="1">
        <f t="array" ref="S53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v>
      </c>
      <c r="T534" s="241" cm="1">
        <f t="array" ref="T53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-4</v>
      </c>
      <c r="U534" s="41" t="str" cm="1">
        <f t="array" ref="U53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1.17402 and 0.44663</v>
      </c>
      <c r="V534" s="22"/>
    </row>
    <row r="535" spans="10:22" x14ac:dyDescent="0.15">
      <c r="J535" s="190" t="s">
        <v>252</v>
      </c>
      <c r="K535" s="191" t="s">
        <v>40</v>
      </c>
      <c r="L535" s="208">
        <v>6</v>
      </c>
      <c r="M535" s="237">
        <f>_xlfn.LET(
  _xlpm.analyte, SensorLab[[#This Row],[Analyte]],
  _xlpm.raw, N(SensorLab[[#This Row],[Raw_Value]]),
  _xlpm.scaleF, IFERROR(
    _xlfn.XLOOKUP(_xlpm.analyte, CalibrationCoefficients[Analyte], CalibrationCoefficients[ScaleFactor]),
    1
  ),
  IF(AND(_xlpm.analyte&lt;&gt;"", ISNUMBER(_xlpm.raw)), _xlpm.raw * _xlpm.scaleF, "NA")
)</f>
        <v>6</v>
      </c>
      <c r="N535" s="41"/>
      <c r="O535" s="41">
        <v>8.17</v>
      </c>
      <c r="P535" s="41"/>
      <c r="Q535" s="208" cm="1">
        <f t="array" ref="Q535">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8.17</v>
      </c>
      <c r="R535" s="237" cm="1">
        <f t="array" ref="R53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5.4641700000000002</v>
      </c>
      <c r="S535" s="238" cm="1">
        <f t="array" ref="S53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4.2741400000000001</v>
      </c>
      <c r="T535" s="238" cm="1">
        <f t="array" ref="T53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3.8958599999999999</v>
      </c>
      <c r="U535" s="41" t="str" cm="1">
        <f t="array" ref="U53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5.79118 and 6.91118</v>
      </c>
      <c r="V535" s="22"/>
    </row>
    <row r="536" spans="10:22" x14ac:dyDescent="0.15">
      <c r="J536" s="190" t="s">
        <v>252</v>
      </c>
      <c r="K536" s="191" t="s">
        <v>41</v>
      </c>
      <c r="L536" s="208">
        <v>0</v>
      </c>
      <c r="M536"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536" s="41"/>
      <c r="O536" s="41">
        <v>97</v>
      </c>
      <c r="P536" s="41"/>
      <c r="Q536" s="208" cm="1">
        <f t="array" ref="Q53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97</v>
      </c>
      <c r="R536" s="237" cm="1">
        <f t="array" ref="R53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111.50391999999999</v>
      </c>
      <c r="S536" s="238" cm="1">
        <f t="array" ref="S53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97.80395</v>
      </c>
      <c r="T536" s="238" cm="1">
        <f t="array" ref="T53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-0.80395000000000005</v>
      </c>
      <c r="U536" s="41" t="str" cm="1">
        <f t="array" ref="U53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107.71054 and 110.69054</v>
      </c>
      <c r="V536" s="22"/>
    </row>
    <row r="537" spans="10:22" x14ac:dyDescent="0.15">
      <c r="J537" s="190" t="s">
        <v>252</v>
      </c>
      <c r="K537" s="127" t="s">
        <v>52</v>
      </c>
      <c r="L537" s="208">
        <v>103</v>
      </c>
      <c r="M537" s="237">
        <f>_xlfn.LET(
  _xlpm.analyte, SensorLab[[#This Row],[Analyte]],
  _xlpm.raw, N(SensorLab[[#This Row],[Raw_Value]]),
  _xlpm.scaleF, IFERROR(
    _xlfn.XLOOKUP(_xlpm.analyte, CalibrationCoefficients[Analyte], CalibrationCoefficients[ScaleFactor]),
    1
  ),
  IF(AND(_xlpm.analyte&lt;&gt;"", ISNUMBER(_xlpm.raw)), _xlpm.raw * _xlpm.scaleF, "NA")
)</f>
        <v>0.10300000000000001</v>
      </c>
      <c r="N537" s="41"/>
      <c r="O537" s="41">
        <v>1.4</v>
      </c>
      <c r="P537" s="41"/>
      <c r="Q537" s="208" cm="1">
        <f t="array" ref="Q537">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1.4</v>
      </c>
      <c r="R537" s="237" cm="1">
        <f t="array" ref="R53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0.98323000000000005</v>
      </c>
      <c r="S537" s="238" cm="1">
        <f t="array" ref="S53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0.95099999999999996</v>
      </c>
      <c r="T537" s="238" cm="1">
        <f t="array" ref="T53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0.44900000000000001</v>
      </c>
      <c r="U537" s="41" t="str" cm="1">
        <f t="array" ref="U53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1.12886 and 1.09533</v>
      </c>
      <c r="V537" s="22"/>
    </row>
    <row r="538" spans="10:22" x14ac:dyDescent="0.15">
      <c r="J538" s="190" t="s">
        <v>252</v>
      </c>
      <c r="K538" s="127" t="s">
        <v>34</v>
      </c>
      <c r="L538" s="208">
        <v>72</v>
      </c>
      <c r="M538" s="237">
        <f>_xlfn.LET(
  _xlpm.analyte, SensorLab[[#This Row],[Analyte]],
  _xlpm.raw, N(SensorLab[[#This Row],[Raw_Value]]),
  _xlpm.scaleF, IFERROR(
    _xlfn.XLOOKUP(_xlpm.analyte, CalibrationCoefficients[Analyte], CalibrationCoefficients[ScaleFactor]),
    1
  ),
  IF(AND(_xlpm.analyte&lt;&gt;"", ISNUMBER(_xlpm.raw)), _xlpm.raw * _xlpm.scaleF, "NA")
)</f>
        <v>7.2</v>
      </c>
      <c r="N538" s="41"/>
      <c r="O538" s="41">
        <v>7.85</v>
      </c>
      <c r="P538" s="41"/>
      <c r="Q538" s="208" cm="1">
        <f t="array" ref="Q53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7.85</v>
      </c>
      <c r="R538" s="237" cm="1">
        <f t="array" ref="R53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7.8946300000000003</v>
      </c>
      <c r="S538" s="238" cm="1">
        <f t="array" ref="S53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7.86172</v>
      </c>
      <c r="T538" s="238" cm="1">
        <f t="array" ref="T53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-1.172E-2</v>
      </c>
      <c r="U538" s="41" t="str" cm="1">
        <f t="array" ref="U53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-0.01172)</v>
      </c>
      <c r="V538" s="22"/>
    </row>
    <row r="539" spans="10:22" x14ac:dyDescent="0.15">
      <c r="J539" s="190" t="s">
        <v>252</v>
      </c>
      <c r="K539" s="127" t="s">
        <v>90</v>
      </c>
      <c r="L539" s="208">
        <v>184</v>
      </c>
      <c r="M539" s="237">
        <f>_xlfn.LET(
  _xlpm.analyte, SensorLab[[#This Row],[Analyte]],
  _xlpm.raw, N(SensorLab[[#This Row],[Raw_Value]]),
  _xlpm.scaleF, IFERROR(
    _xlfn.XLOOKUP(_xlpm.analyte, CalibrationCoefficients[Analyte], CalibrationCoefficients[ScaleFactor]),
    1
  ),
  IF(AND(_xlpm.analyte&lt;&gt;"", ISNUMBER(_xlpm.raw)), _xlpm.raw * _xlpm.scaleF, "NA")
)</f>
        <v>18.400000000000002</v>
      </c>
      <c r="N539" s="41"/>
      <c r="O539" s="41">
        <v>18.899999999999999</v>
      </c>
      <c r="P539" s="41"/>
      <c r="Q539" s="208" cm="1">
        <f t="array" ref="Q539">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18.899999999999999</v>
      </c>
      <c r="R539" s="237" cm="1">
        <f t="array" ref="R53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18.477889999999999</v>
      </c>
      <c r="S539" s="238" cm="1">
        <f t="array" ref="S53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18.441310000000001</v>
      </c>
      <c r="T539" s="238" cm="1">
        <f t="array" ref="T53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-5.5586899999999986</v>
      </c>
      <c r="U539" s="41" t="str" cm="1">
        <f t="array" ref="U53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18.85269 and 18.47000</v>
      </c>
      <c r="V539" s="22"/>
    </row>
    <row r="540" spans="10:22" x14ac:dyDescent="0.15">
      <c r="J540" s="190" t="s">
        <v>252</v>
      </c>
      <c r="K540" s="191" t="s">
        <v>43</v>
      </c>
      <c r="L540" s="208">
        <v>158</v>
      </c>
      <c r="M540" s="237">
        <f>_xlfn.LET(
  _xlpm.analyte, SensorLab[[#This Row],[Analyte]],
  _xlpm.raw, N(SensorLab[[#This Row],[Raw_Value]]),
  _xlpm.scaleF, IFERROR(
    _xlfn.XLOOKUP(_xlpm.analyte, CalibrationCoefficients[Analyte], CalibrationCoefficients[ScaleFactor]),
    1
  ),
  IF(AND(_xlpm.analyte&lt;&gt;"", ISNUMBER(_xlpm.raw)), _xlpm.raw * _xlpm.scaleF, "NA")
)</f>
        <v>15.8</v>
      </c>
      <c r="N540" s="41"/>
      <c r="O540" s="41">
        <v>16.399999999999999</v>
      </c>
      <c r="P540" s="41"/>
      <c r="Q540" s="208" cm="1">
        <f t="array" ref="Q54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16.399999999999999</v>
      </c>
      <c r="R540" s="237" cm="1">
        <f t="array" ref="R54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15.78487</v>
      </c>
      <c r="S540" s="238" cm="1">
        <f t="array" ref="S54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15.79828</v>
      </c>
      <c r="T540" s="238" cm="1">
        <f t="array" ref="T54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0.60172000000000003</v>
      </c>
      <c r="U540" s="41" t="str" cm="1">
        <f t="array" ref="U54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16.39890 and 15.80000</v>
      </c>
      <c r="V540" s="22"/>
    </row>
    <row r="541" spans="10:22" x14ac:dyDescent="0.15">
      <c r="J541" s="190" t="s">
        <v>252</v>
      </c>
      <c r="K541" s="191" t="s">
        <v>45</v>
      </c>
      <c r="L541" s="208">
        <v>5.1999999999999995E-4</v>
      </c>
      <c r="M541" s="237">
        <f>_xlfn.LET(
  _xlpm.analyte, SensorLab[[#This Row],[Analyte]],
  _xlpm.raw, N(SensorLab[[#This Row],[Raw_Value]]),
  _xlpm.scaleF, IFERROR(
    _xlfn.XLOOKUP(_xlpm.analyte, CalibrationCoefficients[Analyte], CalibrationCoefficients[ScaleFactor]),
    1
  ),
  IF(AND(_xlpm.analyte&lt;&gt;"", ISNUMBER(_xlpm.raw)), _xlpm.raw * _xlpm.scaleF, "NA")
)</f>
        <v>5.1999999999999995E-4</v>
      </c>
      <c r="N541" s="41"/>
      <c r="O541" s="41">
        <v>0.97</v>
      </c>
      <c r="P541" s="41"/>
      <c r="Q541" s="208" cm="1">
        <f t="array" ref="Q541">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0.97</v>
      </c>
      <c r="R541" s="237" cm="1">
        <f t="array" ref="R54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0.60409999999999997</v>
      </c>
      <c r="S541" s="238" cm="1">
        <f t="array" ref="S54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0.6</v>
      </c>
      <c r="T541" s="238" cm="1">
        <f t="array" ref="T54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0.37</v>
      </c>
      <c r="U541" s="41" t="str" cm="1">
        <f t="array" ref="U54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0.70838 and 1.23162</v>
      </c>
      <c r="V541" s="22"/>
    </row>
    <row r="542" spans="10:22" x14ac:dyDescent="0.15">
      <c r="J542" s="190" t="s">
        <v>252</v>
      </c>
      <c r="K542" s="127" t="s">
        <v>0</v>
      </c>
      <c r="L542" s="208">
        <v>50.78</v>
      </c>
      <c r="M542" s="237">
        <f>_xlfn.LET(
  _xlpm.analyte, SensorLab[[#This Row],[Analyte]],
  _xlpm.raw, N(SensorLab[[#This Row],[Raw_Value]]),
  _xlpm.scaleF, IFERROR(
    _xlfn.XLOOKUP(_xlpm.analyte, CalibrationCoefficients[Analyte], CalibrationCoefficients[ScaleFactor]),
    1
  ),
  IF(AND(_xlpm.analyte&lt;&gt;"", ISNUMBER(_xlpm.raw)), _xlpm.raw * _xlpm.scaleF, "NA")
)</f>
        <v>50.78</v>
      </c>
      <c r="N542" s="41"/>
      <c r="O542" s="41">
        <v>52.5</v>
      </c>
      <c r="P542" s="41"/>
      <c r="Q542" s="208" cm="1">
        <f t="array" ref="Q54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52.5</v>
      </c>
      <c r="R542" s="237" cm="1">
        <f t="array" ref="R54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52.5</v>
      </c>
      <c r="S542" s="238" cm="1">
        <f t="array" ref="S54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52.5</v>
      </c>
      <c r="T542" s="238" cm="1">
        <f t="array" ref="T54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542" s="41" t="str" cm="1">
        <f t="array" ref="U54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542" s="22"/>
    </row>
    <row r="543" spans="10:22" x14ac:dyDescent="0.15">
      <c r="J543" s="190" t="s">
        <v>252</v>
      </c>
      <c r="K543" s="127" t="s">
        <v>5</v>
      </c>
      <c r="L543" s="208">
        <v>34.090000000000003</v>
      </c>
      <c r="M543" s="237">
        <f>_xlfn.LET(
  _xlpm.analyte, SensorLab[[#This Row],[Analyte]],
  _xlpm.raw, N(SensorLab[[#This Row],[Raw_Value]]),
  _xlpm.scaleF, IFERROR(
    _xlfn.XLOOKUP(_xlpm.analyte, CalibrationCoefficients[Analyte], CalibrationCoefficients[ScaleFactor]),
    1
  ),
  IF(AND(_xlpm.analyte&lt;&gt;"", ISNUMBER(_xlpm.raw)), _xlpm.raw * _xlpm.scaleF, "NA")
)</f>
        <v>34.090000000000003</v>
      </c>
      <c r="N543" s="41"/>
      <c r="O543" s="41">
        <v>35</v>
      </c>
      <c r="P543" s="41"/>
      <c r="Q543" s="208" cm="1">
        <f t="array" ref="Q543">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35</v>
      </c>
      <c r="R543" s="237" cm="1">
        <f t="array" ref="R54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35</v>
      </c>
      <c r="S543" s="238" cm="1">
        <f t="array" ref="S54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35</v>
      </c>
      <c r="T543" s="238" cm="1">
        <f t="array" ref="T54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543" s="41" t="str" cm="1">
        <f t="array" ref="U54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543" s="22"/>
    </row>
    <row r="544" spans="10:22" x14ac:dyDescent="0.15">
      <c r="J544" s="190" t="s">
        <v>252</v>
      </c>
      <c r="K544" s="127" t="s">
        <v>6</v>
      </c>
      <c r="L544" s="208">
        <v>15.13</v>
      </c>
      <c r="M544" s="237">
        <f>_xlfn.LET(
  _xlpm.analyte, SensorLab[[#This Row],[Analyte]],
  _xlpm.raw, N(SensorLab[[#This Row],[Raw_Value]]),
  _xlpm.scaleF, IFERROR(
    _xlfn.XLOOKUP(_xlpm.analyte, CalibrationCoefficients[Analyte], CalibrationCoefficients[ScaleFactor]),
    1
  ),
  IF(AND(_xlpm.analyte&lt;&gt;"", ISNUMBER(_xlpm.raw)), _xlpm.raw * _xlpm.scaleF, "NA")
)</f>
        <v>15.13</v>
      </c>
      <c r="N544" s="41"/>
      <c r="O544" s="41">
        <v>12.5</v>
      </c>
      <c r="P544" s="41"/>
      <c r="Q544" s="208" cm="1">
        <f t="array" ref="Q54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12.5</v>
      </c>
      <c r="R544" s="237" cm="1">
        <f t="array" ref="R54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12.5</v>
      </c>
      <c r="S544" s="238" cm="1">
        <f t="array" ref="S54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12.5</v>
      </c>
      <c r="T544" s="238" cm="1">
        <f t="array" ref="T54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544" s="41" t="str" cm="1">
        <f t="array" ref="U54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544" s="22"/>
    </row>
    <row r="545" spans="10:22" ht="11.25" thickBot="1" x14ac:dyDescent="0.2">
      <c r="J545" s="192" t="s">
        <v>252</v>
      </c>
      <c r="K545" s="193" t="s">
        <v>69</v>
      </c>
      <c r="L545" s="255" t="str" cm="1">
        <f t="array" ref="L545">_xlfn.LET(
  _xlpm.bs,L542, _xlpm.si,L543, _xlpm.c,L544,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M545" s="256" t="str" cm="1">
        <f t="array" ref="M545">_xlfn.LET(
  _xlpm.bs,M542, _xlpm.si,M543, _xlpm.c,M544,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N545" s="245" t="str" cm="1">
        <f t="array" ref="N545">_xlfn.LET(
  _xlpm.bs,N542, _xlpm.si,N543, _xlpm.c,N544,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545" s="245" t="str" cm="1">
        <f t="array" ref="O545">_xlfn.LET(
  _xlpm.bs,O542, _xlpm.si,O543, _xlpm.c,O544,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P545" s="245" t="str" cm="1">
        <f t="array" ref="P545">_xlfn.LET(
  _xlpm.bs,P542, _xlpm.si,P543, _xlpm.c,P544,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545" s="255" t="str" cm="1">
        <f t="array" ref="Q545">_xlfn.LET(
  _xlpm.bs,Q542, _xlpm.si,Q543, _xlpm.c,Q544,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R545" s="256" t="str" cm="1">
        <f t="array" ref="R545">_xlfn.LET(
  _xlpm.bs,R542, _xlpm.si,R543, _xlpm.c,R544,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S545" s="256" t="str" cm="1">
        <f t="array" ref="S545">_xlfn.LET(
  _xlpm.bs,S542, _xlpm.si,S543, _xlpm.c,S544,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T545" s="240" cm="1">
        <f t="array" ref="T54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545" s="229" t="str" cm="1">
        <f t="array" ref="U54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(Texture match: Sandy Loam)</v>
      </c>
      <c r="V545" s="22"/>
    </row>
    <row r="546" spans="10:22" x14ac:dyDescent="0.15">
      <c r="J546" s="190" t="s">
        <v>253</v>
      </c>
      <c r="K546" s="127" t="s">
        <v>39</v>
      </c>
      <c r="L546" s="208">
        <v>0</v>
      </c>
      <c r="M546"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546" s="41"/>
      <c r="O546" s="41"/>
      <c r="P546" s="41"/>
      <c r="Q546" s="208" t="str">
        <f>_xlfn.LET(
  _xlpm.tRaw, SensorLab[[#This Row],[Tarnab_Lab]],
  _xlpm.bRaw, SensorLab[[#This Row],[Bari_Lab]],
  _xlpm.mRaw, SensorLab[[#This Row],[ManuChar_Lab]],
  _xlpm.tIsNum, ISNUMBER(_xlpm.tRaw),
  _xlpm.bIsNum, ISNUMBER(_xlpm.bRaw),
  _xlpm.mIsNum, ISNUMBER(_xlpm.mRaw),
  _xlpm.t, IF(_xlpm.tIsNum, _xlpm.tRaw, ""),
  _xlpm.b, IF(_xlpm.bIsNum, _xlpm.bRaw, ""),
  _xlpm.m, IF(_xlpm.mIsNum, _xlpm.mRaw, ""),
  _xlpm.c, (--_xlpm.tIsNum) + (--_xlpm.bIsNum) + (--_xlpm.mIsNum),
  _xlpm.sumVals, IF(_xlpm.tIsNum, _xlpm.tRaw, 0) + IF(_xlpm.bIsNum, _xlpm.bRaw, 0) + IF(_xlpm.mIsNum, _xlpm.mRaw, 0),
  _xlpm.result,
    IF(_xlpm.c = 0, "",
      IF(_xlpm.c = 1,
         IF(_xlpm.tIsNum, _xlpm.t, IF(_xlpm.bIsNum, _xlpm.b, _xlpm.m)),
      IF(_xlpm.c = 2,
         _xlpm.sumVals / 2,
         MEDIAN(_xlpm.t, _xlpm.b, _xlpm.m)
      ))),
  _xlpm.result
)</f>
        <v/>
      </c>
      <c r="R546" s="239" cm="1">
        <f t="array" ref="R54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0.44663000000000003</v>
      </c>
      <c r="S546" s="241" cm="1">
        <f t="array" ref="S54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v>
      </c>
      <c r="T546" s="241" cm="1">
        <f t="array" ref="T54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-6</v>
      </c>
      <c r="U546" s="41" t="str" cm="1">
        <f t="array" ref="U54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0.44663 and 0.00000</v>
      </c>
      <c r="V546" s="22"/>
    </row>
    <row r="547" spans="10:22" x14ac:dyDescent="0.15">
      <c r="J547" s="190" t="s">
        <v>253</v>
      </c>
      <c r="K547" s="191" t="s">
        <v>40</v>
      </c>
      <c r="L547" s="208">
        <v>0</v>
      </c>
      <c r="M547"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547" s="41"/>
      <c r="O547" s="41"/>
      <c r="P547" s="41"/>
      <c r="Q547" s="208" t="str">
        <f>_xlfn.LET(
  _xlpm.tRaw, SensorLab[[#This Row],[Tarnab_Lab]],
  _xlpm.bRaw, SensorLab[[#This Row],[Bari_Lab]],
  _xlpm.mRaw, SensorLab[[#This Row],[ManuChar_Lab]],
  _xlpm.tIsNum, ISNUMBER(_xlpm.tRaw),
  _xlpm.bIsNum, ISNUMBER(_xlpm.bRaw),
  _xlpm.mIsNum, ISNUMBER(_xlpm.mRaw),
  _xlpm.t, IF(_xlpm.tIsNum, _xlpm.tRaw, ""),
  _xlpm.b, IF(_xlpm.bIsNum, _xlpm.bRaw, ""),
  _xlpm.m, IF(_xlpm.mIsNum, _xlpm.mRaw, ""),
  _xlpm.c, (--_xlpm.tIsNum) + (--_xlpm.bIsNum) + (--_xlpm.mIsNum),
  _xlpm.sumVals, IF(_xlpm.tIsNum, _xlpm.tRaw, 0) + IF(_xlpm.bIsNum, _xlpm.bRaw, 0) + IF(_xlpm.mIsNum, _xlpm.mRaw, 0),
  _xlpm.result,
    IF(_xlpm.c = 0, "",
      IF(_xlpm.c = 1,
         IF(_xlpm.tIsNum, _xlpm.t, IF(_xlpm.bIsNum, _xlpm.b, _xlpm.m)),
      IF(_xlpm.c = 2,
         _xlpm.sumVals / 2,
         MEDIAN(_xlpm.t, _xlpm.b, _xlpm.m)
      ))),
  _xlpm.result
)</f>
        <v/>
      </c>
      <c r="R547" s="237" cm="1">
        <f t="array" ref="R54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5.3140400000000003</v>
      </c>
      <c r="S547" s="238" cm="1">
        <f t="array" ref="S54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4.1240100000000002</v>
      </c>
      <c r="T547" s="238" cm="1">
        <f t="array" ref="T54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-0.87598999999999982</v>
      </c>
      <c r="U547" s="41" t="str" cm="1">
        <f t="array" ref="U54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5.70934 and 0.00000</v>
      </c>
      <c r="V547" s="22"/>
    </row>
    <row r="548" spans="10:22" x14ac:dyDescent="0.15">
      <c r="J548" s="190" t="s">
        <v>253</v>
      </c>
      <c r="K548" s="191" t="s">
        <v>41</v>
      </c>
      <c r="L548" s="208">
        <v>0</v>
      </c>
      <c r="M548"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548" s="41"/>
      <c r="O548" s="41"/>
      <c r="P548" s="41"/>
      <c r="Q548" s="208"/>
      <c r="R548" s="237" cm="1">
        <f t="array" ref="R54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111.50391999999999</v>
      </c>
      <c r="S548" s="238" cm="1">
        <f t="array" ref="S54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97.80395</v>
      </c>
      <c r="T548" s="238" cm="1">
        <f t="array" ref="T54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-97.80395</v>
      </c>
      <c r="U548" s="41" t="str" cm="1">
        <f t="array" ref="U54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107.71054 and 0.00000</v>
      </c>
      <c r="V548" s="22"/>
    </row>
    <row r="549" spans="10:22" x14ac:dyDescent="0.15">
      <c r="J549" s="190" t="s">
        <v>253</v>
      </c>
      <c r="K549" s="127" t="s">
        <v>52</v>
      </c>
      <c r="L549" s="208">
        <v>9</v>
      </c>
      <c r="M549" s="237">
        <f>_xlfn.LET(
  _xlpm.analyte, SensorLab[[#This Row],[Analyte]],
  _xlpm.raw, N(SensorLab[[#This Row],[Raw_Value]]),
  _xlpm.scaleF, IFERROR(
    _xlfn.XLOOKUP(_xlpm.analyte, CalibrationCoefficients[Analyte], CalibrationCoefficients[ScaleFactor]),
    1
  ),
  IF(AND(_xlpm.analyte&lt;&gt;"", ISNUMBER(_xlpm.raw)), _xlpm.raw * _xlpm.scaleF, "NA")
)</f>
        <v>9.0000000000000011E-3</v>
      </c>
      <c r="N549" s="41"/>
      <c r="O549" s="41"/>
      <c r="P549" s="41"/>
      <c r="Q549" s="208"/>
      <c r="R549" s="237" cm="1">
        <f t="array" ref="R54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0.92162999999999995</v>
      </c>
      <c r="S549" s="238" cm="1">
        <f t="array" ref="S54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0.88939999999999997</v>
      </c>
      <c r="T549" s="238" cm="1">
        <f t="array" ref="T54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-0.88939999999999997</v>
      </c>
      <c r="U549" s="41" t="str" cm="1">
        <f t="array" ref="U54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0.97502 and 0.00000</v>
      </c>
      <c r="V549" s="22"/>
    </row>
    <row r="550" spans="10:22" x14ac:dyDescent="0.15">
      <c r="J550" s="190" t="s">
        <v>253</v>
      </c>
      <c r="K550" s="127" t="s">
        <v>34</v>
      </c>
      <c r="L550" s="208">
        <v>69</v>
      </c>
      <c r="M550" s="237">
        <f>_xlfn.LET(
  _xlpm.analyte, SensorLab[[#This Row],[Analyte]],
  _xlpm.raw, N(SensorLab[[#This Row],[Raw_Value]]),
  _xlpm.scaleF, IFERROR(
    _xlfn.XLOOKUP(_xlpm.analyte, CalibrationCoefficients[Analyte], CalibrationCoefficients[ScaleFactor]),
    1
  ),
  IF(AND(_xlpm.analyte&lt;&gt;"", ISNUMBER(_xlpm.raw)), _xlpm.raw * _xlpm.scaleF, "NA")
)</f>
        <v>6.9</v>
      </c>
      <c r="N550" s="41"/>
      <c r="O550" s="41"/>
      <c r="P550" s="41"/>
      <c r="Q550" s="208"/>
      <c r="R550" s="237" cm="1">
        <f t="array" ref="R55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7.9083399999999999</v>
      </c>
      <c r="S550" s="238" cm="1">
        <f t="array" ref="S55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7.8754299999999997</v>
      </c>
      <c r="T550" s="238" cm="1">
        <f t="array" ref="T55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-7.8754299999999997</v>
      </c>
      <c r="U550" s="41" t="str" cm="1">
        <f t="array" ref="U55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7.82360 and 0.00000</v>
      </c>
      <c r="V550" s="22"/>
    </row>
    <row r="551" spans="10:22" x14ac:dyDescent="0.15">
      <c r="J551" s="190" t="s">
        <v>253</v>
      </c>
      <c r="K551" s="127" t="s">
        <v>90</v>
      </c>
      <c r="L551" s="208">
        <v>189</v>
      </c>
      <c r="M551" s="237">
        <f>_xlfn.LET(
  _xlpm.analyte, SensorLab[[#This Row],[Analyte]],
  _xlpm.raw, N(SensorLab[[#This Row],[Raw_Value]]),
  _xlpm.scaleF, IFERROR(
    _xlfn.XLOOKUP(_xlpm.analyte, CalibrationCoefficients[Analyte], CalibrationCoefficients[ScaleFactor]),
    1
  ),
  IF(AND(_xlpm.analyte&lt;&gt;"", ISNUMBER(_xlpm.raw)), _xlpm.raw * _xlpm.scaleF, "NA")
)</f>
        <v>18.900000000000002</v>
      </c>
      <c r="N551" s="41"/>
      <c r="O551" s="41"/>
      <c r="P551" s="41"/>
      <c r="Q551" s="208"/>
      <c r="R551" s="237" cm="1">
        <f t="array" ref="R55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18.988209999999999</v>
      </c>
      <c r="S551" s="238" cm="1">
        <f t="array" ref="S55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18.951630000000002</v>
      </c>
      <c r="T551" s="238" cm="1">
        <f t="array" ref="T55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-5.0483699999999985</v>
      </c>
      <c r="U551" s="41" t="str" cm="1">
        <f t="array" ref="U55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18.83000 and 0.00000</v>
      </c>
      <c r="V551" s="22"/>
    </row>
    <row r="552" spans="10:22" x14ac:dyDescent="0.15">
      <c r="J552" s="190" t="s">
        <v>253</v>
      </c>
      <c r="K552" s="191" t="s">
        <v>43</v>
      </c>
      <c r="L552" s="208">
        <v>164</v>
      </c>
      <c r="M552" s="237">
        <f>_xlfn.LET(
  _xlpm.analyte, SensorLab[[#This Row],[Analyte]],
  _xlpm.raw, N(SensorLab[[#This Row],[Raw_Value]]),
  _xlpm.scaleF, IFERROR(
    _xlfn.XLOOKUP(_xlpm.analyte, CalibrationCoefficients[Analyte], CalibrationCoefficients[ScaleFactor]),
    1
  ),
  IF(AND(_xlpm.analyte&lt;&gt;"", ISNUMBER(_xlpm.raw)), _xlpm.raw * _xlpm.scaleF, "NA")
)</f>
        <v>16.400000000000002</v>
      </c>
      <c r="N552" s="41"/>
      <c r="O552" s="41"/>
      <c r="P552" s="41"/>
      <c r="Q552" s="208"/>
      <c r="R552" s="237" cm="1">
        <f t="array" ref="R55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16.385020000000001</v>
      </c>
      <c r="S552" s="238" cm="1">
        <f t="array" ref="S55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16.398430000000001</v>
      </c>
      <c r="T552" s="238" cm="1">
        <f t="array" ref="T55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-16.398430000000001</v>
      </c>
      <c r="U552" s="41" t="str" cm="1">
        <f t="array" ref="U55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16.40000 and 0.00000</v>
      </c>
      <c r="V552" s="22"/>
    </row>
    <row r="553" spans="10:22" x14ac:dyDescent="0.15">
      <c r="J553" s="190" t="s">
        <v>253</v>
      </c>
      <c r="K553" s="191" t="s">
        <v>45</v>
      </c>
      <c r="L553" s="208">
        <v>5.1999999999999995E-4</v>
      </c>
      <c r="M553" s="237">
        <f>_xlfn.LET(
  _xlpm.analyte, SensorLab[[#This Row],[Analyte]],
  _xlpm.raw, N(SensorLab[[#This Row],[Raw_Value]]),
  _xlpm.scaleF, IFERROR(
    _xlfn.XLOOKUP(_xlpm.analyte, CalibrationCoefficients[Analyte], CalibrationCoefficients[ScaleFactor]),
    1
  ),
  IF(AND(_xlpm.analyte&lt;&gt;"", ISNUMBER(_xlpm.raw)), _xlpm.raw * _xlpm.scaleF, "NA")
)</f>
        <v>5.1999999999999995E-4</v>
      </c>
      <c r="N553" s="41"/>
      <c r="O553" s="41"/>
      <c r="P553" s="41"/>
      <c r="Q553" s="208"/>
      <c r="R553" s="237" cm="1">
        <f t="array" ref="R55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0.60409999999999997</v>
      </c>
      <c r="S553" s="238" cm="1">
        <f t="array" ref="S55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0.6</v>
      </c>
      <c r="T553" s="238" cm="1">
        <f t="array" ref="T55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-0.6</v>
      </c>
      <c r="U553" s="41" t="str" cm="1">
        <f t="array" ref="U55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0.00000 and 0.00000</v>
      </c>
      <c r="V553" s="22"/>
    </row>
    <row r="554" spans="10:22" x14ac:dyDescent="0.15">
      <c r="J554" s="190" t="s">
        <v>253</v>
      </c>
      <c r="K554" s="127" t="s">
        <v>0</v>
      </c>
      <c r="L554" s="208">
        <v>50.87</v>
      </c>
      <c r="M554" s="237">
        <f>_xlfn.LET(
  _xlpm.analyte, SensorLab[[#This Row],[Analyte]],
  _xlpm.raw, N(SensorLab[[#This Row],[Raw_Value]]),
  _xlpm.scaleF, IFERROR(
    _xlfn.XLOOKUP(_xlpm.analyte, CalibrationCoefficients[Analyte], CalibrationCoefficients[ScaleFactor]),
    1
  ),
  IF(AND(_xlpm.analyte&lt;&gt;"", ISNUMBER(_xlpm.raw)), _xlpm.raw * _xlpm.scaleF, "NA")
)</f>
        <v>50.87</v>
      </c>
      <c r="N554" s="41"/>
      <c r="O554" s="41"/>
      <c r="P554" s="41"/>
      <c r="Q554" s="208"/>
      <c r="R554" s="237" cm="1">
        <f t="array" ref="R55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554" s="238" cm="1">
        <f t="array" ref="S55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554" s="238" cm="1">
        <f t="array" ref="T55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-23</v>
      </c>
      <c r="U554" s="41" t="str" cm="1">
        <f t="array" ref="U55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14.81044 and 0.00000</v>
      </c>
      <c r="V554" s="22"/>
    </row>
    <row r="555" spans="10:22" x14ac:dyDescent="0.15">
      <c r="J555" s="190" t="s">
        <v>253</v>
      </c>
      <c r="K555" s="127" t="s">
        <v>5</v>
      </c>
      <c r="L555" s="208">
        <v>34.04</v>
      </c>
      <c r="M555" s="237">
        <f>_xlfn.LET(
  _xlpm.analyte, SensorLab[[#This Row],[Analyte]],
  _xlpm.raw, N(SensorLab[[#This Row],[Raw_Value]]),
  _xlpm.scaleF, IFERROR(
    _xlfn.XLOOKUP(_xlpm.analyte, CalibrationCoefficients[Analyte], CalibrationCoefficients[ScaleFactor]),
    1
  ),
  IF(AND(_xlpm.analyte&lt;&gt;"", ISNUMBER(_xlpm.raw)), _xlpm.raw * _xlpm.scaleF, "NA")
)</f>
        <v>34.04</v>
      </c>
      <c r="N555" s="41"/>
      <c r="O555" s="41"/>
      <c r="P555" s="41"/>
      <c r="Q555" s="208"/>
      <c r="R555" s="237" cm="1">
        <f t="array" ref="R55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555" s="238" cm="1">
        <f t="array" ref="S55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555" s="238" cm="1">
        <f t="array" ref="T55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-28</v>
      </c>
      <c r="U555" s="41" t="str" cm="1">
        <f t="array" ref="U55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31.82159 and 0.00000</v>
      </c>
      <c r="V555" s="22"/>
    </row>
    <row r="556" spans="10:22" x14ac:dyDescent="0.15">
      <c r="J556" s="190" t="s">
        <v>253</v>
      </c>
      <c r="K556" s="127" t="s">
        <v>6</v>
      </c>
      <c r="L556" s="208">
        <v>15.09</v>
      </c>
      <c r="M556" s="237">
        <f>_xlfn.LET(
  _xlpm.analyte, SensorLab[[#This Row],[Analyte]],
  _xlpm.raw, N(SensorLab[[#This Row],[Raw_Value]]),
  _xlpm.scaleF, IFERROR(
    _xlfn.XLOOKUP(_xlpm.analyte, CalibrationCoefficients[Analyte], CalibrationCoefficients[ScaleFactor]),
    1
  ),
  IF(AND(_xlpm.analyte&lt;&gt;"", ISNUMBER(_xlpm.raw)), _xlpm.raw * _xlpm.scaleF, "NA")
)</f>
        <v>15.09</v>
      </c>
      <c r="N556" s="41"/>
      <c r="O556" s="41"/>
      <c r="P556" s="41"/>
      <c r="Q556" s="208"/>
      <c r="R556" s="237" cm="1">
        <f t="array" ref="R55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556" s="238" cm="1">
        <f t="array" ref="S55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556" s="238" cm="1">
        <f t="array" ref="T55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v>
      </c>
      <c r="U556" s="41" t="str" cm="1">
        <f t="array" ref="U55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12.11500 and 0.00000</v>
      </c>
      <c r="V556" s="22"/>
    </row>
    <row r="557" spans="10:22" ht="11.25" thickBot="1" x14ac:dyDescent="0.2">
      <c r="J557" s="192" t="s">
        <v>253</v>
      </c>
      <c r="K557" s="193" t="s">
        <v>69</v>
      </c>
      <c r="L557" s="255" t="str" cm="1">
        <f t="array" ref="L557">_xlfn.LET(
  _xlpm.bs,L554, _xlpm.si,L555, _xlpm.c,L556,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M557" s="256" t="str" cm="1">
        <f t="array" ref="M557">_xlfn.LET(
  _xlpm.bs,M554, _xlpm.si,M555, _xlpm.c,M556,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N557" s="245" t="str" cm="1">
        <f t="array" ref="N557">_xlfn.LET(
  _xlpm.bs,N554, _xlpm.si,N555, _xlpm.c,N556,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557" s="245" t="str" cm="1">
        <f t="array" ref="O557">_xlfn.LET(
  _xlpm.bs,O554, _xlpm.si,O555, _xlpm.c,O556,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P557" s="245" t="str" cm="1">
        <f t="array" ref="P557">_xlfn.LET(
  _xlpm.bs,P554, _xlpm.si,P555, _xlpm.c,P556,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557" s="255" t="str" cm="1">
        <f t="array" ref="Q557">_xlfn.LET(
  _xlpm.bs,Q554, _xlpm.si,Q555, _xlpm.c,Q556,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R557" s="256" t="str" cm="1">
        <f t="array" ref="R557">_xlfn.LET(
  _xlpm.bs,R554, _xlpm.si,R555, _xlpm.c,R556,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S557" s="256" t="str" cm="1">
        <f t="array" ref="S557">_xlfn.LET(
  _xlpm.bs,S554, _xlpm.si,S555, _xlpm.c,S556,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T557" s="240" cm="1">
        <f t="array" ref="T55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v>
      </c>
      <c r="U557" s="229" t="str" cm="1">
        <f t="array" ref="U55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#N/A</v>
      </c>
      <c r="V557" s="22"/>
    </row>
    <row r="558" spans="10:22" x14ac:dyDescent="0.15">
      <c r="J558" s="190" t="s">
        <v>254</v>
      </c>
      <c r="K558" s="127" t="s">
        <v>39</v>
      </c>
      <c r="L558" s="208">
        <v>0</v>
      </c>
      <c r="M558"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558" s="41"/>
      <c r="O558" s="41">
        <v>2</v>
      </c>
      <c r="P558" s="41"/>
      <c r="Q558" s="207" cm="1">
        <f t="array" ref="Q55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v>
      </c>
      <c r="R558" s="239" cm="1">
        <f t="array" ref="R55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0.44663000000000003</v>
      </c>
      <c r="S558" s="241" cm="1">
        <f t="array" ref="S55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v>
      </c>
      <c r="T558" s="241" cm="1">
        <f t="array" ref="T55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-4</v>
      </c>
      <c r="U558" s="41" t="str" cm="1">
        <f t="array" ref="U55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1.17402 and 0.44663</v>
      </c>
      <c r="V558" s="22"/>
    </row>
    <row r="559" spans="10:22" x14ac:dyDescent="0.15">
      <c r="J559" s="190" t="s">
        <v>254</v>
      </c>
      <c r="K559" s="191" t="s">
        <v>40</v>
      </c>
      <c r="L559" s="208">
        <v>0</v>
      </c>
      <c r="M559"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559" s="41"/>
      <c r="O559" s="41">
        <v>4.13</v>
      </c>
      <c r="P559" s="41"/>
      <c r="Q559" s="208" cm="1">
        <f t="array" ref="Q559">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4.13</v>
      </c>
      <c r="R559" s="237" cm="1">
        <f t="array" ref="R55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5.3140400000000003</v>
      </c>
      <c r="S559" s="238" cm="1">
        <f t="array" ref="S55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4.1240100000000002</v>
      </c>
      <c r="T559" s="238" cm="1">
        <f t="array" ref="T55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5.9899999999999997E-3</v>
      </c>
      <c r="U559" s="41" t="str" cm="1">
        <f t="array" ref="U55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5.70934 and 6.64977</v>
      </c>
      <c r="V559" s="22"/>
    </row>
    <row r="560" spans="10:22" x14ac:dyDescent="0.15">
      <c r="J560" s="190" t="s">
        <v>254</v>
      </c>
      <c r="K560" s="191" t="s">
        <v>41</v>
      </c>
      <c r="L560" s="208">
        <v>0</v>
      </c>
      <c r="M560"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560" s="41"/>
      <c r="O560" s="41">
        <v>137</v>
      </c>
      <c r="P560" s="41"/>
      <c r="Q560" s="208" cm="1">
        <f t="array" ref="Q56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137</v>
      </c>
      <c r="R560" s="237" cm="1">
        <f t="array" ref="R56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111.50391999999999</v>
      </c>
      <c r="S560" s="238" cm="1">
        <f t="array" ref="S56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97.80395</v>
      </c>
      <c r="T560" s="238" cm="1">
        <f t="array" ref="T56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39.19605</v>
      </c>
      <c r="U560" s="41" t="str" cm="1">
        <f t="array" ref="U56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107.71054 and 110.69054</v>
      </c>
      <c r="V560" s="22"/>
    </row>
    <row r="561" spans="10:22" x14ac:dyDescent="0.15">
      <c r="J561" s="190" t="s">
        <v>254</v>
      </c>
      <c r="K561" s="127" t="s">
        <v>52</v>
      </c>
      <c r="L561" s="208">
        <v>49</v>
      </c>
      <c r="M561" s="237">
        <f>_xlfn.LET(
  _xlpm.analyte, SensorLab[[#This Row],[Analyte]],
  _xlpm.raw, N(SensorLab[[#This Row],[Raw_Value]]),
  _xlpm.scaleF, IFERROR(
    _xlfn.XLOOKUP(_xlpm.analyte, CalibrationCoefficients[Analyte], CalibrationCoefficients[ScaleFactor]),
    1
  ),
  IF(AND(_xlpm.analyte&lt;&gt;"", ISNUMBER(_xlpm.raw)), _xlpm.raw * _xlpm.scaleF, "NA")
)</f>
        <v>4.9000000000000002E-2</v>
      </c>
      <c r="N561" s="41"/>
      <c r="O561" s="41">
        <v>0.82</v>
      </c>
      <c r="P561" s="41"/>
      <c r="Q561" s="208" cm="1">
        <f t="array" ref="Q561">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0.82</v>
      </c>
      <c r="R561" s="237" cm="1">
        <f t="array" ref="R56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0.94784000000000002</v>
      </c>
      <c r="S561" s="238" cm="1">
        <f t="array" ref="S56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0.91561000000000003</v>
      </c>
      <c r="T561" s="238" cm="1">
        <f t="array" ref="T56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-9.5610000000000001E-2</v>
      </c>
      <c r="U561" s="41" t="str" cm="1">
        <f t="array" ref="U56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0.98366 and 1.00860</v>
      </c>
      <c r="V561" s="22"/>
    </row>
    <row r="562" spans="10:22" x14ac:dyDescent="0.15">
      <c r="J562" s="190" t="s">
        <v>254</v>
      </c>
      <c r="K562" s="127" t="s">
        <v>34</v>
      </c>
      <c r="L562" s="208">
        <v>70</v>
      </c>
      <c r="M562" s="237">
        <f>_xlfn.LET(
  _xlpm.analyte, SensorLab[[#This Row],[Analyte]],
  _xlpm.raw, N(SensorLab[[#This Row],[Raw_Value]]),
  _xlpm.scaleF, IFERROR(
    _xlfn.XLOOKUP(_xlpm.analyte, CalibrationCoefficients[Analyte], CalibrationCoefficients[ScaleFactor]),
    1
  ),
  IF(AND(_xlpm.analyte&lt;&gt;"", ISNUMBER(_xlpm.raw)), _xlpm.raw * _xlpm.scaleF, "NA")
)</f>
        <v>7</v>
      </c>
      <c r="N562" s="41"/>
      <c r="O562" s="41">
        <v>7.97</v>
      </c>
      <c r="P562" s="41"/>
      <c r="Q562" s="208" cm="1">
        <f t="array" ref="Q56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7.97</v>
      </c>
      <c r="R562" s="237" cm="1">
        <f t="array" ref="R56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7.9037699999999997</v>
      </c>
      <c r="S562" s="238" cm="1">
        <f t="array" ref="S56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7.8708600000000004</v>
      </c>
      <c r="T562" s="238" cm="1">
        <f t="array" ref="T56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9.9140000000000006E-2</v>
      </c>
      <c r="U562" s="41" t="str" cm="1">
        <f t="array" ref="U56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0.09914)</v>
      </c>
      <c r="V562" s="22"/>
    </row>
    <row r="563" spans="10:22" x14ac:dyDescent="0.15">
      <c r="J563" s="190" t="s">
        <v>254</v>
      </c>
      <c r="K563" s="127" t="s">
        <v>90</v>
      </c>
      <c r="L563" s="208">
        <v>168</v>
      </c>
      <c r="M563" s="237">
        <f>_xlfn.LET(
  _xlpm.analyte, SensorLab[[#This Row],[Analyte]],
  _xlpm.raw, N(SensorLab[[#This Row],[Raw_Value]]),
  _xlpm.scaleF, IFERROR(
    _xlfn.XLOOKUP(_xlpm.analyte, CalibrationCoefficients[Analyte], CalibrationCoefficients[ScaleFactor]),
    1
  ),
  IF(AND(_xlpm.analyte&lt;&gt;"", ISNUMBER(_xlpm.raw)), _xlpm.raw * _xlpm.scaleF, "NA")
)</f>
        <v>16.8</v>
      </c>
      <c r="N563" s="41"/>
      <c r="O563" s="41">
        <v>16.8</v>
      </c>
      <c r="P563" s="41"/>
      <c r="Q563" s="208" cm="1">
        <f t="array" ref="Q563">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16.8</v>
      </c>
      <c r="R563" s="237" cm="1">
        <f t="array" ref="R56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16.844840000000001</v>
      </c>
      <c r="S563" s="238" cm="1">
        <f t="array" ref="S56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16.808260000000001</v>
      </c>
      <c r="T563" s="238" cm="1">
        <f t="array" ref="T56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-7.1917399999999994</v>
      </c>
      <c r="U563" s="41" t="str" cm="1">
        <f t="array" ref="U56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-0.00826)</v>
      </c>
      <c r="V563" s="22"/>
    </row>
    <row r="564" spans="10:22" x14ac:dyDescent="0.15">
      <c r="J564" s="190" t="s">
        <v>254</v>
      </c>
      <c r="K564" s="191" t="s">
        <v>43</v>
      </c>
      <c r="L564" s="208">
        <v>173</v>
      </c>
      <c r="M564" s="237">
        <f>_xlfn.LET(
  _xlpm.analyte, SensorLab[[#This Row],[Analyte]],
  _xlpm.raw, N(SensorLab[[#This Row],[Raw_Value]]),
  _xlpm.scaleF, IFERROR(
    _xlfn.XLOOKUP(_xlpm.analyte, CalibrationCoefficients[Analyte], CalibrationCoefficients[ScaleFactor]),
    1
  ),
  IF(AND(_xlpm.analyte&lt;&gt;"", ISNUMBER(_xlpm.raw)), _xlpm.raw * _xlpm.scaleF, "NA")
)</f>
        <v>17.3</v>
      </c>
      <c r="N564" s="41"/>
      <c r="O564" s="41">
        <v>17.3</v>
      </c>
      <c r="P564" s="41"/>
      <c r="Q564" s="208" cm="1">
        <f t="array" ref="Q56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17.3</v>
      </c>
      <c r="R564" s="237" cm="1">
        <f t="array" ref="R56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17.285240000000002</v>
      </c>
      <c r="S564" s="238" cm="1">
        <f t="array" ref="S56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17.298649999999999</v>
      </c>
      <c r="T564" s="238" cm="1">
        <f t="array" ref="T56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1.3500000000000001E-3</v>
      </c>
      <c r="U564" s="41" t="str" cm="1">
        <f t="array" ref="U56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17.30000 and 17.30000</v>
      </c>
      <c r="V564" s="22"/>
    </row>
    <row r="565" spans="10:22" x14ac:dyDescent="0.15">
      <c r="J565" s="190" t="s">
        <v>254</v>
      </c>
      <c r="K565" s="191" t="s">
        <v>45</v>
      </c>
      <c r="L565" s="208">
        <v>5.1999999999999995E-4</v>
      </c>
      <c r="M565" s="237">
        <f>_xlfn.LET(
  _xlpm.analyte, SensorLab[[#This Row],[Analyte]],
  _xlpm.raw, N(SensorLab[[#This Row],[Raw_Value]]),
  _xlpm.scaleF, IFERROR(
    _xlfn.XLOOKUP(_xlpm.analyte, CalibrationCoefficients[Analyte], CalibrationCoefficients[ScaleFactor]),
    1
  ),
  IF(AND(_xlpm.analyte&lt;&gt;"", ISNUMBER(_xlpm.raw)), _xlpm.raw * _xlpm.scaleF, "NA")
)</f>
        <v>5.1999999999999995E-4</v>
      </c>
      <c r="N565" s="41"/>
      <c r="O565" s="41">
        <v>0.51</v>
      </c>
      <c r="P565" s="41"/>
      <c r="Q565" s="208" cm="1">
        <f t="array" ref="Q565">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0.51</v>
      </c>
      <c r="R565" s="237" cm="1">
        <f t="array" ref="R56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0.60409999999999997</v>
      </c>
      <c r="S565" s="238" cm="1">
        <f t="array" ref="S56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0.6</v>
      </c>
      <c r="T565" s="238" cm="1">
        <f t="array" ref="T56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-0.09</v>
      </c>
      <c r="U565" s="41" t="str" cm="1">
        <f t="array" ref="U56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-0.09000)</v>
      </c>
      <c r="V565" s="22"/>
    </row>
    <row r="566" spans="10:22" x14ac:dyDescent="0.15">
      <c r="J566" s="190" t="s">
        <v>254</v>
      </c>
      <c r="K566" s="127" t="s">
        <v>0</v>
      </c>
      <c r="L566" s="208">
        <v>50.76</v>
      </c>
      <c r="M566" s="237">
        <f>_xlfn.LET(
  _xlpm.analyte, SensorLab[[#This Row],[Analyte]],
  _xlpm.raw, N(SensorLab[[#This Row],[Raw_Value]]),
  _xlpm.scaleF, IFERROR(
    _xlfn.XLOOKUP(_xlpm.analyte, CalibrationCoefficients[Analyte], CalibrationCoefficients[ScaleFactor]),
    1
  ),
  IF(AND(_xlpm.analyte&lt;&gt;"", ISNUMBER(_xlpm.raw)), _xlpm.raw * _xlpm.scaleF, "NA")
)</f>
        <v>50.76</v>
      </c>
      <c r="N566" s="41"/>
      <c r="O566" s="41">
        <v>57.5</v>
      </c>
      <c r="P566" s="41"/>
      <c r="Q566" s="208" cm="1">
        <f t="array" ref="Q56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57.5</v>
      </c>
      <c r="R566" s="237" cm="1">
        <f t="array" ref="R56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57.5</v>
      </c>
      <c r="S566" s="238" cm="1">
        <f t="array" ref="S56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57.5</v>
      </c>
      <c r="T566" s="238" cm="1">
        <f t="array" ref="T56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566" s="41" t="str" cm="1">
        <f t="array" ref="U56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57.50000 and 53.93156</v>
      </c>
      <c r="V566" s="22"/>
    </row>
    <row r="567" spans="10:22" x14ac:dyDescent="0.15">
      <c r="J567" s="190" t="s">
        <v>254</v>
      </c>
      <c r="K567" s="127" t="s">
        <v>5</v>
      </c>
      <c r="L567" s="208">
        <v>34.1</v>
      </c>
      <c r="M567" s="237">
        <f>_xlfn.LET(
  _xlpm.analyte, SensorLab[[#This Row],[Analyte]],
  _xlpm.raw, N(SensorLab[[#This Row],[Raw_Value]]),
  _xlpm.scaleF, IFERROR(
    _xlfn.XLOOKUP(_xlpm.analyte, CalibrationCoefficients[Analyte], CalibrationCoefficients[ScaleFactor]),
    1
  ),
  IF(AND(_xlpm.analyte&lt;&gt;"", ISNUMBER(_xlpm.raw)), _xlpm.raw * _xlpm.scaleF, "NA")
)</f>
        <v>34.1</v>
      </c>
      <c r="N567" s="41"/>
      <c r="O567" s="41">
        <v>35</v>
      </c>
      <c r="P567" s="41"/>
      <c r="Q567" s="208" cm="1">
        <f t="array" ref="Q567">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35</v>
      </c>
      <c r="R567" s="237" cm="1">
        <f t="array" ref="R56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35</v>
      </c>
      <c r="S567" s="238" cm="1">
        <f t="array" ref="S56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35</v>
      </c>
      <c r="T567" s="238" cm="1">
        <f t="array" ref="T56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567" s="41" t="str" cm="1">
        <f t="array" ref="U56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567" s="22"/>
    </row>
    <row r="568" spans="10:22" x14ac:dyDescent="0.15">
      <c r="J568" s="190" t="s">
        <v>254</v>
      </c>
      <c r="K568" s="127" t="s">
        <v>6</v>
      </c>
      <c r="L568" s="208">
        <v>15.14</v>
      </c>
      <c r="M568" s="237">
        <f>_xlfn.LET(
  _xlpm.analyte, SensorLab[[#This Row],[Analyte]],
  _xlpm.raw, N(SensorLab[[#This Row],[Raw_Value]]),
  _xlpm.scaleF, IFERROR(
    _xlfn.XLOOKUP(_xlpm.analyte, CalibrationCoefficients[Analyte], CalibrationCoefficients[ScaleFactor]),
    1
  ),
  IF(AND(_xlpm.analyte&lt;&gt;"", ISNUMBER(_xlpm.raw)), _xlpm.raw * _xlpm.scaleF, "NA")
)</f>
        <v>15.14</v>
      </c>
      <c r="N568" s="41"/>
      <c r="O568" s="41">
        <v>7.5</v>
      </c>
      <c r="P568" s="41"/>
      <c r="Q568" s="208" cm="1">
        <f t="array" ref="Q56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7.5</v>
      </c>
      <c r="R568" s="237" cm="1">
        <f t="array" ref="R56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7.5</v>
      </c>
      <c r="S568" s="238" cm="1">
        <f t="array" ref="S56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7.5</v>
      </c>
      <c r="T568" s="238" cm="1">
        <f t="array" ref="T56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568" s="41" t="str" cm="1">
        <f t="array" ref="U56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12.10317 and 7.50000</v>
      </c>
      <c r="V568" s="22"/>
    </row>
    <row r="569" spans="10:22" ht="11.25" thickBot="1" x14ac:dyDescent="0.2">
      <c r="J569" s="192" t="s">
        <v>254</v>
      </c>
      <c r="K569" s="193" t="s">
        <v>69</v>
      </c>
      <c r="L569" s="255" t="str" cm="1">
        <f t="array" ref="L569">_xlfn.LET(
  _xlpm.bs,L566, _xlpm.si,L567, _xlpm.c,L568,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M569" s="256" t="str" cm="1">
        <f t="array" ref="M569">_xlfn.LET(
  _xlpm.bs,M566, _xlpm.si,M567, _xlpm.c,M568,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N569" s="245" t="str" cm="1">
        <f t="array" ref="N569">_xlfn.LET(
  _xlpm.bs,N566, _xlpm.si,N567, _xlpm.c,N568,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569" s="245" t="str" cm="1">
        <f t="array" ref="O569">_xlfn.LET(
  _xlpm.bs,O566, _xlpm.si,O567, _xlpm.c,O568,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P569" s="245" t="str" cm="1">
        <f t="array" ref="P569">_xlfn.LET(
  _xlpm.bs,P566, _xlpm.si,P567, _xlpm.c,P568,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569" s="255" t="str" cm="1">
        <f t="array" ref="Q569">_xlfn.LET(
  _xlpm.bs,Q566, _xlpm.si,Q567, _xlpm.c,Q568,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R569" s="256" t="str" cm="1">
        <f t="array" ref="R569">_xlfn.LET(
  _xlpm.bs,R566, _xlpm.si,R567, _xlpm.c,R568,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S569" s="256" t="str" cm="1">
        <f t="array" ref="S569">_xlfn.LET(
  _xlpm.bs,S566, _xlpm.si,S567, _xlpm.c,S568,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T569" s="240" cm="1">
        <f t="array" ref="T56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569" s="229" t="str" cm="1">
        <f t="array" ref="U56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(Texture match: Sandy Loam)</v>
      </c>
      <c r="V569" s="22"/>
    </row>
    <row r="570" spans="10:22" x14ac:dyDescent="0.15">
      <c r="J570" s="190" t="s">
        <v>255</v>
      </c>
      <c r="K570" s="127" t="s">
        <v>39</v>
      </c>
      <c r="L570" s="208">
        <v>0</v>
      </c>
      <c r="M570"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570" s="41"/>
      <c r="O570" s="41"/>
      <c r="P570" s="41"/>
      <c r="Q570" s="208" t="str">
        <f>_xlfn.LET(
  _xlpm.tRaw, SensorLab[[#This Row],[Tarnab_Lab]],
  _xlpm.bRaw, SensorLab[[#This Row],[Bari_Lab]],
  _xlpm.mRaw, SensorLab[[#This Row],[ManuChar_Lab]],
  _xlpm.tIsNum, ISNUMBER(_xlpm.tRaw),
  _xlpm.bIsNum, ISNUMBER(_xlpm.bRaw),
  _xlpm.mIsNum, ISNUMBER(_xlpm.mRaw),
  _xlpm.t, IF(_xlpm.tIsNum, _xlpm.tRaw, ""),
  _xlpm.b, IF(_xlpm.bIsNum, _xlpm.bRaw, ""),
  _xlpm.m, IF(_xlpm.mIsNum, _xlpm.mRaw, ""),
  _xlpm.c, (--_xlpm.tIsNum) + (--_xlpm.bIsNum) + (--_xlpm.mIsNum),
  _xlpm.sumVals, IF(_xlpm.tIsNum, _xlpm.tRaw, 0) + IF(_xlpm.bIsNum, _xlpm.bRaw, 0) + IF(_xlpm.mIsNum, _xlpm.mRaw, 0),
  _xlpm.result,
    IF(_xlpm.c = 0, "",
      IF(_xlpm.c = 1,
         IF(_xlpm.tIsNum, _xlpm.t, IF(_xlpm.bIsNum, _xlpm.b, _xlpm.m)),
      IF(_xlpm.c = 2,
         _xlpm.sumVals / 2,
         MEDIAN(_xlpm.t, _xlpm.b, _xlpm.m)
      ))),
  _xlpm.result
)</f>
        <v/>
      </c>
      <c r="R570" s="239" cm="1">
        <f t="array" ref="R57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0.44663000000000003</v>
      </c>
      <c r="S570" s="241" cm="1">
        <f t="array" ref="S57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v>
      </c>
      <c r="T570" s="241" cm="1">
        <f t="array" ref="T57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-6</v>
      </c>
      <c r="U570" s="41" t="str" cm="1">
        <f t="array" ref="U57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0.44663 and 0.00000</v>
      </c>
      <c r="V570" s="22"/>
    </row>
    <row r="571" spans="10:22" x14ac:dyDescent="0.15">
      <c r="J571" s="190" t="s">
        <v>255</v>
      </c>
      <c r="K571" s="191" t="s">
        <v>40</v>
      </c>
      <c r="L571" s="208">
        <v>0</v>
      </c>
      <c r="M571"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571" s="41"/>
      <c r="O571" s="41"/>
      <c r="P571" s="41"/>
      <c r="Q571" s="208" t="str">
        <f>_xlfn.LET(
  _xlpm.tRaw, SensorLab[[#This Row],[Tarnab_Lab]],
  _xlpm.bRaw, SensorLab[[#This Row],[Bari_Lab]],
  _xlpm.mRaw, SensorLab[[#This Row],[ManuChar_Lab]],
  _xlpm.tIsNum, ISNUMBER(_xlpm.tRaw),
  _xlpm.bIsNum, ISNUMBER(_xlpm.bRaw),
  _xlpm.mIsNum, ISNUMBER(_xlpm.mRaw),
  _xlpm.t, IF(_xlpm.tIsNum, _xlpm.tRaw, ""),
  _xlpm.b, IF(_xlpm.bIsNum, _xlpm.bRaw, ""),
  _xlpm.m, IF(_xlpm.mIsNum, _xlpm.mRaw, ""),
  _xlpm.c, (--_xlpm.tIsNum) + (--_xlpm.bIsNum) + (--_xlpm.mIsNum),
  _xlpm.sumVals, IF(_xlpm.tIsNum, _xlpm.tRaw, 0) + IF(_xlpm.bIsNum, _xlpm.bRaw, 0) + IF(_xlpm.mIsNum, _xlpm.mRaw, 0),
  _xlpm.result,
    IF(_xlpm.c = 0, "",
      IF(_xlpm.c = 1,
         IF(_xlpm.tIsNum, _xlpm.t, IF(_xlpm.bIsNum, _xlpm.b, _xlpm.m)),
      IF(_xlpm.c = 2,
         _xlpm.sumVals / 2,
         MEDIAN(_xlpm.t, _xlpm.b, _xlpm.m)
      ))),
  _xlpm.result
)</f>
        <v/>
      </c>
      <c r="R571" s="237" cm="1">
        <f t="array" ref="R57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5.3140400000000003</v>
      </c>
      <c r="S571" s="238" cm="1">
        <f t="array" ref="S57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4.1240100000000002</v>
      </c>
      <c r="T571" s="238" cm="1">
        <f t="array" ref="T57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-0.87598999999999982</v>
      </c>
      <c r="U571" s="41" t="str" cm="1">
        <f t="array" ref="U57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5.70934 and 0.00000</v>
      </c>
      <c r="V571" s="22"/>
    </row>
    <row r="572" spans="10:22" x14ac:dyDescent="0.15">
      <c r="J572" s="190" t="s">
        <v>255</v>
      </c>
      <c r="K572" s="191" t="s">
        <v>41</v>
      </c>
      <c r="L572" s="208">
        <v>0</v>
      </c>
      <c r="M572"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572" s="41"/>
      <c r="O572" s="41"/>
      <c r="P572" s="41"/>
      <c r="Q572" s="208" t="str">
        <f>_xlfn.LET(
  _xlpm.tRaw, SensorLab[[#This Row],[Tarnab_Lab]],
  _xlpm.bRaw, SensorLab[[#This Row],[Bari_Lab]],
  _xlpm.mRaw, SensorLab[[#This Row],[ManuChar_Lab]],
  _xlpm.tIsNum, ISNUMBER(_xlpm.tRaw),
  _xlpm.bIsNum, ISNUMBER(_xlpm.bRaw),
  _xlpm.mIsNum, ISNUMBER(_xlpm.mRaw),
  _xlpm.t, IF(_xlpm.tIsNum, _xlpm.tRaw, ""),
  _xlpm.b, IF(_xlpm.bIsNum, _xlpm.bRaw, ""),
  _xlpm.m, IF(_xlpm.mIsNum, _xlpm.mRaw, ""),
  _xlpm.c, (--_xlpm.tIsNum) + (--_xlpm.bIsNum) + (--_xlpm.mIsNum),
  _xlpm.sumVals, IF(_xlpm.tIsNum, _xlpm.tRaw, 0) + IF(_xlpm.bIsNum, _xlpm.bRaw, 0) + IF(_xlpm.mIsNum, _xlpm.mRaw, 0),
  _xlpm.result,
    IF(_xlpm.c = 0, "",
      IF(_xlpm.c = 1,
         IF(_xlpm.tIsNum, _xlpm.t, IF(_xlpm.bIsNum, _xlpm.b, _xlpm.m)),
      IF(_xlpm.c = 2,
         _xlpm.sumVals / 2,
         MEDIAN(_xlpm.t, _xlpm.b, _xlpm.m)
      ))),
  _xlpm.result
)</f>
        <v/>
      </c>
      <c r="R572" s="237" cm="1">
        <f t="array" ref="R57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111.50391999999999</v>
      </c>
      <c r="S572" s="238" cm="1">
        <f t="array" ref="S57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97.80395</v>
      </c>
      <c r="T572" s="238" cm="1">
        <f t="array" ref="T57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-97.80395</v>
      </c>
      <c r="U572" s="41" t="str" cm="1">
        <f t="array" ref="U57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107.71054 and 0.00000</v>
      </c>
      <c r="V572" s="22"/>
    </row>
    <row r="573" spans="10:22" x14ac:dyDescent="0.15">
      <c r="J573" s="190" t="s">
        <v>255</v>
      </c>
      <c r="K573" s="127" t="s">
        <v>52</v>
      </c>
      <c r="L573" s="208">
        <v>0</v>
      </c>
      <c r="M573"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573" s="41"/>
      <c r="O573" s="41"/>
      <c r="P573" s="41"/>
      <c r="Q573" s="208"/>
      <c r="R573" s="237" cm="1">
        <f t="array" ref="R57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0.91573000000000004</v>
      </c>
      <c r="S573" s="238" cm="1">
        <f t="array" ref="S57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0.88349999999999995</v>
      </c>
      <c r="T573" s="238" cm="1">
        <f t="array" ref="T57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-0.88349999999999995</v>
      </c>
      <c r="U573" s="41" t="str" cm="1">
        <f t="array" ref="U57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0.97307 and 0.00000</v>
      </c>
      <c r="V573" s="22"/>
    </row>
    <row r="574" spans="10:22" x14ac:dyDescent="0.15">
      <c r="J574" s="190" t="s">
        <v>255</v>
      </c>
      <c r="K574" s="127" t="s">
        <v>34</v>
      </c>
      <c r="L574" s="208">
        <v>73</v>
      </c>
      <c r="M574" s="237">
        <f>_xlfn.LET(
  _xlpm.analyte, SensorLab[[#This Row],[Analyte]],
  _xlpm.raw, N(SensorLab[[#This Row],[Raw_Value]]),
  _xlpm.scaleF, IFERROR(
    _xlfn.XLOOKUP(_xlpm.analyte, CalibrationCoefficients[Analyte], CalibrationCoefficients[ScaleFactor]),
    1
  ),
  IF(AND(_xlpm.analyte&lt;&gt;"", ISNUMBER(_xlpm.raw)), _xlpm.raw * _xlpm.scaleF, "NA")
)</f>
        <v>7.3000000000000007</v>
      </c>
      <c r="N574" s="41"/>
      <c r="O574" s="41"/>
      <c r="P574" s="41"/>
      <c r="Q574" s="208"/>
      <c r="R574" s="237" cm="1">
        <f t="array" ref="R57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7.8900600000000001</v>
      </c>
      <c r="S574" s="238" cm="1">
        <f t="array" ref="S57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7.8571499999999999</v>
      </c>
      <c r="T574" s="238" cm="1">
        <f t="array" ref="T57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-7.8571499999999999</v>
      </c>
      <c r="U574" s="41" t="str" cm="1">
        <f t="array" ref="U57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7.80301 and 0.00000</v>
      </c>
      <c r="V574" s="22"/>
    </row>
    <row r="575" spans="10:22" x14ac:dyDescent="0.15">
      <c r="J575" s="190" t="s">
        <v>255</v>
      </c>
      <c r="K575" s="127" t="s">
        <v>90</v>
      </c>
      <c r="L575" s="208">
        <v>169</v>
      </c>
      <c r="M575" s="237">
        <f>_xlfn.LET(
  _xlpm.analyte, SensorLab[[#This Row],[Analyte]],
  _xlpm.raw, N(SensorLab[[#This Row],[Raw_Value]]),
  _xlpm.scaleF, IFERROR(
    _xlfn.XLOOKUP(_xlpm.analyte, CalibrationCoefficients[Analyte], CalibrationCoefficients[ScaleFactor]),
    1
  ),
  IF(AND(_xlpm.analyte&lt;&gt;"", ISNUMBER(_xlpm.raw)), _xlpm.raw * _xlpm.scaleF, "NA")
)</f>
        <v>16.900000000000002</v>
      </c>
      <c r="N575" s="41"/>
      <c r="O575" s="41"/>
      <c r="P575" s="41"/>
      <c r="Q575" s="208"/>
      <c r="R575" s="237" cm="1">
        <f t="array" ref="R57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16.946899999999999</v>
      </c>
      <c r="S575" s="238" cm="1">
        <f t="array" ref="S57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16.910319999999999</v>
      </c>
      <c r="T575" s="238" cm="1">
        <f t="array" ref="T57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-7.0896800000000013</v>
      </c>
      <c r="U575" s="41" t="str" cm="1">
        <f t="array" ref="U57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16.83000 and 0.00000</v>
      </c>
      <c r="V575" s="22"/>
    </row>
    <row r="576" spans="10:22" x14ac:dyDescent="0.15">
      <c r="J576" s="190" t="s">
        <v>255</v>
      </c>
      <c r="K576" s="191" t="s">
        <v>43</v>
      </c>
      <c r="L576" s="208">
        <v>145</v>
      </c>
      <c r="M576" s="237">
        <f>_xlfn.LET(
  _xlpm.analyte, SensorLab[[#This Row],[Analyte]],
  _xlpm.raw, N(SensorLab[[#This Row],[Raw_Value]]),
  _xlpm.scaleF, IFERROR(
    _xlfn.XLOOKUP(_xlpm.analyte, CalibrationCoefficients[Analyte], CalibrationCoefficients[ScaleFactor]),
    1
  ),
  IF(AND(_xlpm.analyte&lt;&gt;"", ISNUMBER(_xlpm.raw)), _xlpm.raw * _xlpm.scaleF, "NA")
)</f>
        <v>14.5</v>
      </c>
      <c r="N576" s="41"/>
      <c r="O576" s="41"/>
      <c r="P576" s="41"/>
      <c r="Q576" s="208"/>
      <c r="R576" s="237" cm="1">
        <f t="array" ref="R57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14.484540000000001</v>
      </c>
      <c r="S576" s="238" cm="1">
        <f t="array" ref="S57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14.497949999999999</v>
      </c>
      <c r="T576" s="238" cm="1">
        <f t="array" ref="T57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-0.50205000000000055</v>
      </c>
      <c r="U576" s="41" t="str" cm="1">
        <f t="array" ref="U57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14.50000 and 0.00000</v>
      </c>
      <c r="V576" s="22"/>
    </row>
    <row r="577" spans="10:23" x14ac:dyDescent="0.15">
      <c r="J577" s="190" t="s">
        <v>255</v>
      </c>
      <c r="K577" s="191" t="s">
        <v>45</v>
      </c>
      <c r="L577" s="208">
        <v>5.1999999999999995E-4</v>
      </c>
      <c r="M577" s="237">
        <f>_xlfn.LET(
  _xlpm.analyte, SensorLab[[#This Row],[Analyte]],
  _xlpm.raw, N(SensorLab[[#This Row],[Raw_Value]]),
  _xlpm.scaleF, IFERROR(
    _xlfn.XLOOKUP(_xlpm.analyte, CalibrationCoefficients[Analyte], CalibrationCoefficients[ScaleFactor]),
    1
  ),
  IF(AND(_xlpm.analyte&lt;&gt;"", ISNUMBER(_xlpm.raw)), _xlpm.raw * _xlpm.scaleF, "NA")
)</f>
        <v>5.1999999999999995E-4</v>
      </c>
      <c r="N577" s="41"/>
      <c r="O577" s="41"/>
      <c r="P577" s="41"/>
      <c r="Q577" s="208"/>
      <c r="R577" s="237" cm="1">
        <f t="array" ref="R57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0.60409999999999997</v>
      </c>
      <c r="S577" s="238" cm="1">
        <f t="array" ref="S57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0.6</v>
      </c>
      <c r="T577" s="238" cm="1">
        <f t="array" ref="T57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-0.6</v>
      </c>
      <c r="U577" s="41" t="str" cm="1">
        <f t="array" ref="U57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0.00000 and 0.00000</v>
      </c>
      <c r="V577" s="22"/>
    </row>
    <row r="578" spans="10:23" x14ac:dyDescent="0.15">
      <c r="J578" s="190" t="s">
        <v>255</v>
      </c>
      <c r="K578" s="127" t="s">
        <v>0</v>
      </c>
      <c r="L578" s="208">
        <v>50.78</v>
      </c>
      <c r="M578" s="237">
        <f>_xlfn.LET(
  _xlpm.analyte, SensorLab[[#This Row],[Analyte]],
  _xlpm.raw, N(SensorLab[[#This Row],[Raw_Value]]),
  _xlpm.scaleF, IFERROR(
    _xlfn.XLOOKUP(_xlpm.analyte, CalibrationCoefficients[Analyte], CalibrationCoefficients[ScaleFactor]),
    1
  ),
  IF(AND(_xlpm.analyte&lt;&gt;"", ISNUMBER(_xlpm.raw)), _xlpm.raw * _xlpm.scaleF, "NA")
)</f>
        <v>50.78</v>
      </c>
      <c r="N578" s="41"/>
      <c r="O578" s="41"/>
      <c r="P578" s="41"/>
      <c r="Q578" s="208"/>
      <c r="R578" s="237" cm="1">
        <f t="array" ref="R57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578" s="238" cm="1">
        <f t="array" ref="S57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578" s="238" cm="1">
        <f t="array" ref="T57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-23</v>
      </c>
      <c r="U578" s="41" t="str" cm="1">
        <f t="array" ref="U57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14.82772 and 0.00000</v>
      </c>
      <c r="V578" s="22"/>
    </row>
    <row r="579" spans="10:23" x14ac:dyDescent="0.15">
      <c r="J579" s="190" t="s">
        <v>255</v>
      </c>
      <c r="K579" s="127" t="s">
        <v>5</v>
      </c>
      <c r="L579" s="208">
        <v>34.090000000000003</v>
      </c>
      <c r="M579" s="237">
        <f>_xlfn.LET(
  _xlpm.analyte, SensorLab[[#This Row],[Analyte]],
  _xlpm.raw, N(SensorLab[[#This Row],[Raw_Value]]),
  _xlpm.scaleF, IFERROR(
    _xlfn.XLOOKUP(_xlpm.analyte, CalibrationCoefficients[Analyte], CalibrationCoefficients[ScaleFactor]),
    1
  ),
  IF(AND(_xlpm.analyte&lt;&gt;"", ISNUMBER(_xlpm.raw)), _xlpm.raw * _xlpm.scaleF, "NA")
)</f>
        <v>34.090000000000003</v>
      </c>
      <c r="N579" s="41"/>
      <c r="O579" s="41"/>
      <c r="P579" s="41"/>
      <c r="Q579" s="208"/>
      <c r="R579" s="237" cm="1">
        <f t="array" ref="R57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579" s="238" cm="1">
        <f t="array" ref="S57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579" s="238" cm="1">
        <f t="array" ref="T57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-28</v>
      </c>
      <c r="U579" s="41" t="str" cm="1">
        <f t="array" ref="U57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31.81163 and 0.00000</v>
      </c>
      <c r="V579" s="22"/>
    </row>
    <row r="580" spans="10:23" x14ac:dyDescent="0.15">
      <c r="J580" s="190" t="s">
        <v>255</v>
      </c>
      <c r="K580" s="127" t="s">
        <v>6</v>
      </c>
      <c r="L580" s="208">
        <v>15.13</v>
      </c>
      <c r="M580" s="237">
        <f>_xlfn.LET(
  _xlpm.analyte, SensorLab[[#This Row],[Analyte]],
  _xlpm.raw, N(SensorLab[[#This Row],[Raw_Value]]),
  _xlpm.scaleF, IFERROR(
    _xlfn.XLOOKUP(_xlpm.analyte, CalibrationCoefficients[Analyte], CalibrationCoefficients[ScaleFactor]),
    1
  ),
  IF(AND(_xlpm.analyte&lt;&gt;"", ISNUMBER(_xlpm.raw)), _xlpm.raw * _xlpm.scaleF, "NA")
)</f>
        <v>15.13</v>
      </c>
      <c r="N580" s="41"/>
      <c r="O580" s="41"/>
      <c r="P580" s="41"/>
      <c r="Q580" s="208"/>
      <c r="R580" s="237" cm="1">
        <f t="array" ref="R58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580" s="238" cm="1">
        <f t="array" ref="S58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580" s="238" cm="1">
        <f t="array" ref="T58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v>
      </c>
      <c r="U580" s="41" t="str" cm="1">
        <f t="array" ref="U58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12.10554 and 0.00000</v>
      </c>
      <c r="V580" s="22"/>
    </row>
    <row r="581" spans="10:23" ht="11.25" thickBot="1" x14ac:dyDescent="0.2">
      <c r="J581" s="192" t="s">
        <v>255</v>
      </c>
      <c r="K581" s="193" t="s">
        <v>69</v>
      </c>
      <c r="L581" s="255" t="str" cm="1">
        <f t="array" ref="L581">_xlfn.LET(
  _xlpm.bs,L578, _xlpm.si,L579, _xlpm.c,L580,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M581" s="256" t="str" cm="1">
        <f t="array" ref="M581">_xlfn.LET(
  _xlpm.bs,M578, _xlpm.si,M579, _xlpm.c,M580,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N581" s="245" t="str" cm="1">
        <f t="array" ref="N581">_xlfn.LET(
  _xlpm.bs,N578, _xlpm.si,N579, _xlpm.c,N580,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581" s="245" t="str" cm="1">
        <f t="array" ref="O581">_xlfn.LET(
  _xlpm.bs,O578, _xlpm.si,O579, _xlpm.c,O580,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P581" s="245" t="str" cm="1">
        <f t="array" ref="P581">_xlfn.LET(
  _xlpm.bs,P578, _xlpm.si,P579, _xlpm.c,P580,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581" s="255" t="str" cm="1">
        <f t="array" ref="Q581">_xlfn.LET(
  _xlpm.bs,Q578, _xlpm.si,Q579, _xlpm.c,Q580,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R581" s="256" t="str" cm="1">
        <f t="array" ref="R581">_xlfn.LET(
  _xlpm.bs,R578, _xlpm.si,R579, _xlpm.c,R580,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S581" s="256" t="str" cm="1">
        <f t="array" ref="S581">_xlfn.LET(
  _xlpm.bs,S578, _xlpm.si,S579, _xlpm.c,S580,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T581" s="240" cm="1">
        <f t="array" ref="T58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v>
      </c>
      <c r="U581" s="229" t="str" cm="1">
        <f t="array" ref="U58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#N/A</v>
      </c>
      <c r="V581" s="22"/>
    </row>
    <row r="582" spans="10:23" x14ac:dyDescent="0.15">
      <c r="J582" s="190" t="s">
        <v>256</v>
      </c>
      <c r="K582" s="127" t="s">
        <v>39</v>
      </c>
      <c r="L582" s="208">
        <v>0</v>
      </c>
      <c r="M582"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582" s="41"/>
      <c r="O582" s="41">
        <v>2</v>
      </c>
      <c r="P582" s="41"/>
      <c r="Q582" s="207" cm="1">
        <f t="array" ref="Q58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v>
      </c>
      <c r="R582" s="239" cm="1">
        <f t="array" ref="R58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0.44663000000000003</v>
      </c>
      <c r="S582" s="241" cm="1">
        <f t="array" ref="S58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v>
      </c>
      <c r="T582" s="241" cm="1">
        <f t="array" ref="T58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-8</v>
      </c>
      <c r="U582" s="41" t="str" cm="1">
        <f t="array" ref="U58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1.17402 and 0.44663</v>
      </c>
      <c r="V582" s="22"/>
    </row>
    <row r="583" spans="10:23" x14ac:dyDescent="0.15">
      <c r="J583" s="190" t="s">
        <v>256</v>
      </c>
      <c r="K583" s="191" t="s">
        <v>40</v>
      </c>
      <c r="L583" s="208">
        <v>0</v>
      </c>
      <c r="M583"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583" s="41"/>
      <c r="O583" s="41">
        <v>7.93</v>
      </c>
      <c r="P583" s="41"/>
      <c r="Q583" s="208" cm="1">
        <f t="array" ref="Q583">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7.93</v>
      </c>
      <c r="R583" s="237" cm="1">
        <f t="array" ref="R58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5.3140400000000003</v>
      </c>
      <c r="S583" s="238" cm="1">
        <f t="array" ref="S58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4.1240100000000002</v>
      </c>
      <c r="T583" s="238" cm="1">
        <f t="array" ref="T58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-1.8759899999999998</v>
      </c>
      <c r="U583" s="41" t="str" cm="1">
        <f t="array" ref="U58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5.70934 and 6.82934</v>
      </c>
      <c r="V583" s="22"/>
    </row>
    <row r="584" spans="10:23" x14ac:dyDescent="0.15">
      <c r="J584" s="190" t="s">
        <v>256</v>
      </c>
      <c r="K584" s="191" t="s">
        <v>41</v>
      </c>
      <c r="L584" s="208">
        <v>0</v>
      </c>
      <c r="M584"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584" s="41"/>
      <c r="O584" s="41">
        <v>82</v>
      </c>
      <c r="P584" s="41"/>
      <c r="Q584" s="208" cm="1">
        <f t="array" ref="Q58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82</v>
      </c>
      <c r="R584" s="237" cm="1">
        <f t="array" ref="R58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111.50391999999999</v>
      </c>
      <c r="S584" s="238" cm="1">
        <f t="array" ref="S58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97.80395</v>
      </c>
      <c r="T584" s="238" cm="1">
        <f t="array" ref="T58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-15.80395</v>
      </c>
      <c r="U584" s="41" t="str" cm="1">
        <f t="array" ref="U58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107.71054 and 109.38405</v>
      </c>
      <c r="V584" s="22"/>
    </row>
    <row r="585" spans="10:23" x14ac:dyDescent="0.15">
      <c r="J585" s="190" t="s">
        <v>256</v>
      </c>
      <c r="K585" s="127" t="s">
        <v>52</v>
      </c>
      <c r="L585" s="208">
        <v>31</v>
      </c>
      <c r="M585" s="237">
        <f>_xlfn.LET(
  _xlpm.analyte, SensorLab[[#This Row],[Analyte]],
  _xlpm.raw, N(SensorLab[[#This Row],[Raw_Value]]),
  _xlpm.scaleF, IFERROR(
    _xlfn.XLOOKUP(_xlpm.analyte, CalibrationCoefficients[Analyte], CalibrationCoefficients[ScaleFactor]),
    1
  ),
  IF(AND(_xlpm.analyte&lt;&gt;"", ISNUMBER(_xlpm.raw)), _xlpm.raw * _xlpm.scaleF, "NA")
)</f>
        <v>3.1E-2</v>
      </c>
      <c r="N585" s="41"/>
      <c r="O585" s="41">
        <v>0.79</v>
      </c>
      <c r="P585" s="41"/>
      <c r="Q585" s="208" cm="1">
        <f t="array" ref="Q585">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0.79</v>
      </c>
      <c r="R585" s="237" cm="1">
        <f t="array" ref="R58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0.93603999999999998</v>
      </c>
      <c r="S585" s="238" cm="1">
        <f t="array" ref="S58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0.90381</v>
      </c>
      <c r="T585" s="238" cm="1">
        <f t="array" ref="T58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-0.11380999999999999</v>
      </c>
      <c r="U585" s="41" t="str" cm="1">
        <f t="array" ref="U58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0.97977 and 0.97170</v>
      </c>
      <c r="V585" s="22"/>
    </row>
    <row r="586" spans="10:23" x14ac:dyDescent="0.15">
      <c r="J586" s="190" t="s">
        <v>256</v>
      </c>
      <c r="K586" s="127" t="s">
        <v>34</v>
      </c>
      <c r="L586" s="208">
        <v>70</v>
      </c>
      <c r="M586" s="237">
        <f>_xlfn.LET(
  _xlpm.analyte, SensorLab[[#This Row],[Analyte]],
  _xlpm.raw, N(SensorLab[[#This Row],[Raw_Value]]),
  _xlpm.scaleF, IFERROR(
    _xlfn.XLOOKUP(_xlpm.analyte, CalibrationCoefficients[Analyte], CalibrationCoefficients[ScaleFactor]),
    1
  ),
  IF(AND(_xlpm.analyte&lt;&gt;"", ISNUMBER(_xlpm.raw)), _xlpm.raw * _xlpm.scaleF, "NA")
)</f>
        <v>7</v>
      </c>
      <c r="N586" s="41"/>
      <c r="O586" s="41">
        <v>8.26</v>
      </c>
      <c r="P586" s="41"/>
      <c r="Q586" s="208" cm="1">
        <f t="array" ref="Q58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8.26</v>
      </c>
      <c r="R586" s="237" cm="1">
        <f t="array" ref="R58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7.9037699999999997</v>
      </c>
      <c r="S586" s="238" cm="1">
        <f t="array" ref="S58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7.8708600000000004</v>
      </c>
      <c r="T586" s="238" cm="1">
        <f t="array" ref="T58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0.38913999999999999</v>
      </c>
      <c r="U586" s="41" t="str" cm="1">
        <f t="array" ref="U58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7.93997 and 8.01845</v>
      </c>
      <c r="V586" s="22"/>
    </row>
    <row r="587" spans="10:23" x14ac:dyDescent="0.15">
      <c r="J587" s="190" t="s">
        <v>256</v>
      </c>
      <c r="K587" s="127" t="s">
        <v>90</v>
      </c>
      <c r="L587" s="208">
        <v>179</v>
      </c>
      <c r="M587" s="237">
        <f>_xlfn.LET(
  _xlpm.analyte, SensorLab[[#This Row],[Analyte]],
  _xlpm.raw, N(SensorLab[[#This Row],[Raw_Value]]),
  _xlpm.scaleF, IFERROR(
    _xlfn.XLOOKUP(_xlpm.analyte, CalibrationCoefficients[Analyte], CalibrationCoefficients[ScaleFactor]),
    1
  ),
  IF(AND(_xlpm.analyte&lt;&gt;"", ISNUMBER(_xlpm.raw)), _xlpm.raw * _xlpm.scaleF, "NA")
)</f>
        <v>17.900000000000002</v>
      </c>
      <c r="N587" s="41"/>
      <c r="O587" s="41">
        <v>17.899999999999999</v>
      </c>
      <c r="P587" s="41"/>
      <c r="Q587" s="208" cm="1">
        <f t="array" ref="Q587">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17.899999999999999</v>
      </c>
      <c r="R587" s="237" cm="1">
        <f t="array" ref="R58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17.967559999999999</v>
      </c>
      <c r="S587" s="238" cm="1">
        <f t="array" ref="S58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17.930980000000002</v>
      </c>
      <c r="T587" s="238" cm="1">
        <f t="array" ref="T58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-6.0690199999999983</v>
      </c>
      <c r="U587" s="41" t="str" cm="1">
        <f t="array" ref="U58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-0.03098)</v>
      </c>
      <c r="V587" s="22"/>
      <c r="W587" s="5"/>
    </row>
    <row r="588" spans="10:23" x14ac:dyDescent="0.15">
      <c r="J588" s="190" t="s">
        <v>256</v>
      </c>
      <c r="K588" s="191" t="s">
        <v>43</v>
      </c>
      <c r="L588" s="208">
        <v>140</v>
      </c>
      <c r="M588" s="237">
        <f>_xlfn.LET(
  _xlpm.analyte, SensorLab[[#This Row],[Analyte]],
  _xlpm.raw, N(SensorLab[[#This Row],[Raw_Value]]),
  _xlpm.scaleF, IFERROR(
    _xlfn.XLOOKUP(_xlpm.analyte, CalibrationCoefficients[Analyte], CalibrationCoefficients[ScaleFactor]),
    1
  ),
  IF(AND(_xlpm.analyte&lt;&gt;"", ISNUMBER(_xlpm.raw)), _xlpm.raw * _xlpm.scaleF, "NA")
)</f>
        <v>14</v>
      </c>
      <c r="N588" s="41"/>
      <c r="O588" s="41">
        <v>14</v>
      </c>
      <c r="P588" s="41"/>
      <c r="Q588" s="208" cm="1">
        <f t="array" ref="Q58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14</v>
      </c>
      <c r="R588" s="237" cm="1">
        <f t="array" ref="R58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13.98442</v>
      </c>
      <c r="S588" s="238" cm="1">
        <f t="array" ref="S58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13.99783</v>
      </c>
      <c r="T588" s="238" cm="1">
        <f t="array" ref="T58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-6.0021699999999996</v>
      </c>
      <c r="U588" s="41" t="str" cm="1">
        <f t="array" ref="U58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14.00000 and 14.00000</v>
      </c>
      <c r="V588" s="22"/>
    </row>
    <row r="589" spans="10:23" x14ac:dyDescent="0.15">
      <c r="J589" s="190" t="s">
        <v>256</v>
      </c>
      <c r="K589" s="191" t="s">
        <v>45</v>
      </c>
      <c r="L589" s="208">
        <v>5.1999999999999995E-4</v>
      </c>
      <c r="M589" s="237">
        <f>_xlfn.LET(
  _xlpm.analyte, SensorLab[[#This Row],[Analyte]],
  _xlpm.raw, N(SensorLab[[#This Row],[Raw_Value]]),
  _xlpm.scaleF, IFERROR(
    _xlfn.XLOOKUP(_xlpm.analyte, CalibrationCoefficients[Analyte], CalibrationCoefficients[ScaleFactor]),
    1
  ),
  IF(AND(_xlpm.analyte&lt;&gt;"", ISNUMBER(_xlpm.raw)), _xlpm.raw * _xlpm.scaleF, "NA")
)</f>
        <v>5.1999999999999995E-4</v>
      </c>
      <c r="N589" s="41"/>
      <c r="O589" s="41">
        <v>0.78</v>
      </c>
      <c r="P589" s="41"/>
      <c r="Q589" s="208" cm="1">
        <f t="array" ref="Q589">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0.78</v>
      </c>
      <c r="R589" s="237" cm="1">
        <f t="array" ref="R58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0.60409999999999997</v>
      </c>
      <c r="S589" s="238" cm="1">
        <f t="array" ref="S58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0.6</v>
      </c>
      <c r="T589" s="238" cm="1">
        <f t="array" ref="T58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0.18</v>
      </c>
      <c r="U589" s="41" t="str" cm="1">
        <f t="array" ref="U58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0.18000)</v>
      </c>
      <c r="V589" s="22"/>
    </row>
    <row r="590" spans="10:23" x14ac:dyDescent="0.15">
      <c r="J590" s="190" t="s">
        <v>256</v>
      </c>
      <c r="K590" s="127" t="s">
        <v>0</v>
      </c>
      <c r="L590" s="208">
        <v>50.78</v>
      </c>
      <c r="M590" s="237">
        <f>_xlfn.LET(
  _xlpm.analyte, SensorLab[[#This Row],[Analyte]],
  _xlpm.raw, N(SensorLab[[#This Row],[Raw_Value]]),
  _xlpm.scaleF, IFERROR(
    _xlfn.XLOOKUP(_xlpm.analyte, CalibrationCoefficients[Analyte], CalibrationCoefficients[ScaleFactor]),
    1
  ),
  IF(AND(_xlpm.analyte&lt;&gt;"", ISNUMBER(_xlpm.raw)), _xlpm.raw * _xlpm.scaleF, "NA")
)</f>
        <v>50.78</v>
      </c>
      <c r="N590" s="41"/>
      <c r="O590" s="41">
        <v>27.5</v>
      </c>
      <c r="P590" s="41"/>
      <c r="Q590" s="208" cm="1">
        <f t="array" ref="Q59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27.5</v>
      </c>
      <c r="R590" s="237" cm="1">
        <f t="array" ref="R59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27.5</v>
      </c>
      <c r="S590" s="238" cm="1">
        <f t="array" ref="S59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27.5</v>
      </c>
      <c r="T590" s="238" cm="1">
        <f t="array" ref="T59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590" s="41" t="str" cm="1">
        <f t="array" ref="U59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590" s="22"/>
    </row>
    <row r="591" spans="10:23" x14ac:dyDescent="0.15">
      <c r="J591" s="190" t="s">
        <v>256</v>
      </c>
      <c r="K591" s="127" t="s">
        <v>5</v>
      </c>
      <c r="L591" s="208">
        <v>34.08</v>
      </c>
      <c r="M591" s="237">
        <f>_xlfn.LET(
  _xlpm.analyte, SensorLab[[#This Row],[Analyte]],
  _xlpm.raw, N(SensorLab[[#This Row],[Raw_Value]]),
  _xlpm.scaleF, IFERROR(
    _xlfn.XLOOKUP(_xlpm.analyte, CalibrationCoefficients[Analyte], CalibrationCoefficients[ScaleFactor]),
    1
  ),
  IF(AND(_xlpm.analyte&lt;&gt;"", ISNUMBER(_xlpm.raw)), _xlpm.raw * _xlpm.scaleF, "NA")
)</f>
        <v>34.08</v>
      </c>
      <c r="N591" s="41"/>
      <c r="O591" s="41">
        <v>60</v>
      </c>
      <c r="P591" s="41"/>
      <c r="Q591" s="208" cm="1">
        <f t="array" ref="Q591">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60</v>
      </c>
      <c r="R591" s="237" cm="1">
        <f t="array" ref="R59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60</v>
      </c>
      <c r="S591" s="238" cm="1">
        <f t="array" ref="S59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60</v>
      </c>
      <c r="T591" s="238" cm="1">
        <f t="array" ref="T59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591" s="41" t="str" cm="1">
        <f t="array" ref="U59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591" s="22"/>
    </row>
    <row r="592" spans="10:23" x14ac:dyDescent="0.15">
      <c r="J592" s="190" t="s">
        <v>256</v>
      </c>
      <c r="K592" s="127" t="s">
        <v>6</v>
      </c>
      <c r="L592" s="208">
        <v>15.14</v>
      </c>
      <c r="M592" s="237">
        <f>_xlfn.LET(
  _xlpm.analyte, SensorLab[[#This Row],[Analyte]],
  _xlpm.raw, N(SensorLab[[#This Row],[Raw_Value]]),
  _xlpm.scaleF, IFERROR(
    _xlfn.XLOOKUP(_xlpm.analyte, CalibrationCoefficients[Analyte], CalibrationCoefficients[ScaleFactor]),
    1
  ),
  IF(AND(_xlpm.analyte&lt;&gt;"", ISNUMBER(_xlpm.raw)), _xlpm.raw * _xlpm.scaleF, "NA")
)</f>
        <v>15.14</v>
      </c>
      <c r="N592" s="41"/>
      <c r="O592" s="41">
        <v>12.5</v>
      </c>
      <c r="P592" s="41"/>
      <c r="Q592" s="208" cm="1">
        <f t="array" ref="Q59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12.5</v>
      </c>
      <c r="R592" s="237" cm="1">
        <f t="array" ref="R59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12.5</v>
      </c>
      <c r="S592" s="238" cm="1">
        <f t="array" ref="S59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12.5</v>
      </c>
      <c r="T592" s="238" cm="1">
        <f t="array" ref="T59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592" s="41" t="str" cm="1">
        <f t="array" ref="U59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592" s="22"/>
    </row>
    <row r="593" spans="10:22" ht="11.25" thickBot="1" x14ac:dyDescent="0.2">
      <c r="J593" s="192" t="s">
        <v>256</v>
      </c>
      <c r="K593" s="193" t="s">
        <v>69</v>
      </c>
      <c r="L593" s="255" t="str" cm="1">
        <f t="array" ref="L593">_xlfn.LET(
  _xlpm.bs,L590, _xlpm.si,L591, _xlpm.c,L592,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M593" s="256" t="str" cm="1">
        <f t="array" ref="M593">_xlfn.LET(
  _xlpm.bs,M590, _xlpm.si,M591, _xlpm.c,M592,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N593" s="245" t="str" cm="1">
        <f t="array" ref="N593">_xlfn.LET(
  _xlpm.bs,N590, _xlpm.si,N591, _xlpm.c,N592,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593" s="245" t="str" cm="1">
        <f t="array" ref="O593">_xlfn.LET(
  _xlpm.bs,O590, _xlpm.si,O591, _xlpm.c,O592,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P593" s="245" t="str" cm="1">
        <f t="array" ref="P593">_xlfn.LET(
  _xlpm.bs,P590, _xlpm.si,P591, _xlpm.c,P592,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593" s="255" t="str" cm="1">
        <f t="array" ref="Q593">_xlfn.LET(
  _xlpm.bs,Q590, _xlpm.si,Q591, _xlpm.c,Q592,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R593" s="256" t="str" cm="1">
        <f t="array" ref="R593">_xlfn.LET(
  _xlpm.bs,R590, _xlpm.si,R591, _xlpm.c,R592,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S593" s="256" t="str" cm="1">
        <f t="array" ref="S593">_xlfn.LET(
  _xlpm.bs,S590, _xlpm.si,S591, _xlpm.c,S592,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T593" s="240" cm="1">
        <f t="array" ref="T59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593" s="229" t="str" cm="1">
        <f t="array" ref="U59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(Texture match: Silt Loam)</v>
      </c>
      <c r="V593" s="22"/>
    </row>
    <row r="594" spans="10:22" x14ac:dyDescent="0.15">
      <c r="J594" s="190" t="s">
        <v>257</v>
      </c>
      <c r="K594" s="127" t="s">
        <v>39</v>
      </c>
      <c r="L594" s="208">
        <v>0</v>
      </c>
      <c r="M594"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594" s="41"/>
      <c r="O594" s="41">
        <v>2</v>
      </c>
      <c r="P594" s="41"/>
      <c r="Q594" s="207" cm="1">
        <f t="array" ref="Q59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v>
      </c>
      <c r="R594" s="239" cm="1">
        <f t="array" ref="R59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0.44663000000000003</v>
      </c>
      <c r="S594" s="241" cm="1">
        <f t="array" ref="S59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v>
      </c>
      <c r="T594" s="241" cm="1">
        <f t="array" ref="T59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v>
      </c>
      <c r="U594" s="41" t="str" cm="1">
        <f t="array" ref="U59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1.17402 and 0.44663</v>
      </c>
      <c r="V594" s="22"/>
    </row>
    <row r="595" spans="10:22" x14ac:dyDescent="0.15">
      <c r="J595" s="190" t="s">
        <v>257</v>
      </c>
      <c r="K595" s="191" t="s">
        <v>40</v>
      </c>
      <c r="L595" s="208">
        <v>0</v>
      </c>
      <c r="M595"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595" s="41"/>
      <c r="O595" s="41">
        <v>4.54</v>
      </c>
      <c r="P595" s="41"/>
      <c r="Q595" s="208" cm="1">
        <f t="array" ref="Q595">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4.54</v>
      </c>
      <c r="R595" s="237" cm="1">
        <f t="array" ref="R59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5.3140400000000003</v>
      </c>
      <c r="S595" s="238" cm="1">
        <f t="array" ref="S59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4.1240100000000002</v>
      </c>
      <c r="T595" s="238" cm="1">
        <f t="array" ref="T59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0.41599000000000003</v>
      </c>
      <c r="U595" s="41" t="str" cm="1">
        <f t="array" ref="U59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5.70934 and 6.82934</v>
      </c>
      <c r="V595" s="22"/>
    </row>
    <row r="596" spans="10:22" x14ac:dyDescent="0.15">
      <c r="J596" s="190" t="s">
        <v>257</v>
      </c>
      <c r="K596" s="191" t="s">
        <v>41</v>
      </c>
      <c r="L596" s="208">
        <v>0</v>
      </c>
      <c r="M596"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596" s="41"/>
      <c r="O596" s="41">
        <v>99</v>
      </c>
      <c r="P596" s="41"/>
      <c r="Q596" s="208" cm="1">
        <f t="array" ref="Q59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99</v>
      </c>
      <c r="R596" s="237" cm="1">
        <f t="array" ref="R59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111.50391999999999</v>
      </c>
      <c r="S596" s="238" cm="1">
        <f t="array" ref="S59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97.80395</v>
      </c>
      <c r="T596" s="238" cm="1">
        <f t="array" ref="T59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1.1960500000000001</v>
      </c>
      <c r="U596" s="41" t="str" cm="1">
        <f t="array" ref="U59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107.71054 and 110.69054</v>
      </c>
      <c r="V596" s="22"/>
    </row>
    <row r="597" spans="10:22" x14ac:dyDescent="0.15">
      <c r="J597" s="190" t="s">
        <v>257</v>
      </c>
      <c r="K597" s="127" t="s">
        <v>52</v>
      </c>
      <c r="L597" s="208">
        <v>45</v>
      </c>
      <c r="M597" s="237">
        <f>_xlfn.LET(
  _xlpm.analyte, SensorLab[[#This Row],[Analyte]],
  _xlpm.raw, N(SensorLab[[#This Row],[Raw_Value]]),
  _xlpm.scaleF, IFERROR(
    _xlfn.XLOOKUP(_xlpm.analyte, CalibrationCoefficients[Analyte], CalibrationCoefficients[ScaleFactor]),
    1
  ),
  IF(AND(_xlpm.analyte&lt;&gt;"", ISNUMBER(_xlpm.raw)), _xlpm.raw * _xlpm.scaleF, "NA")
)</f>
        <v>4.4999999999999998E-2</v>
      </c>
      <c r="N597" s="41"/>
      <c r="O597" s="41">
        <v>0.61</v>
      </c>
      <c r="P597" s="41"/>
      <c r="Q597" s="208" cm="1">
        <f t="array" ref="Q597">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0.61</v>
      </c>
      <c r="R597" s="237" cm="1">
        <f t="array" ref="R59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0.94521999999999995</v>
      </c>
      <c r="S597" s="238" cm="1">
        <f t="array" ref="S59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0.91298999999999997</v>
      </c>
      <c r="T597" s="238" cm="1">
        <f t="array" ref="T59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-0.30298999999999998</v>
      </c>
      <c r="U597" s="41" t="str" cm="1">
        <f t="array" ref="U59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0.98279 and 0.75030</v>
      </c>
      <c r="V597" s="22"/>
    </row>
    <row r="598" spans="10:22" x14ac:dyDescent="0.15">
      <c r="J598" s="190" t="s">
        <v>257</v>
      </c>
      <c r="K598" s="127" t="s">
        <v>34</v>
      </c>
      <c r="L598" s="208">
        <v>68</v>
      </c>
      <c r="M598" s="237">
        <f>_xlfn.LET(
  _xlpm.analyte, SensorLab[[#This Row],[Analyte]],
  _xlpm.raw, N(SensorLab[[#This Row],[Raw_Value]]),
  _xlpm.scaleF, IFERROR(
    _xlfn.XLOOKUP(_xlpm.analyte, CalibrationCoefficients[Analyte], CalibrationCoefficients[ScaleFactor]),
    1
  ),
  IF(AND(_xlpm.analyte&lt;&gt;"", ISNUMBER(_xlpm.raw)), _xlpm.raw * _xlpm.scaleF, "NA")
)</f>
        <v>6.8000000000000007</v>
      </c>
      <c r="N598" s="41"/>
      <c r="O598" s="41">
        <v>7.88</v>
      </c>
      <c r="P598" s="41"/>
      <c r="Q598" s="208" cm="1">
        <f t="array" ref="Q59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7.88</v>
      </c>
      <c r="R598" s="237" cm="1">
        <f t="array" ref="R59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7.9129100000000001</v>
      </c>
      <c r="S598" s="238" cm="1">
        <f t="array" ref="S59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7.88</v>
      </c>
      <c r="T598" s="238" cm="1">
        <f t="array" ref="T59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598" s="41" t="str" cm="1">
        <f t="array" ref="U59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598" s="22"/>
    </row>
    <row r="599" spans="10:22" x14ac:dyDescent="0.15">
      <c r="J599" s="190" t="s">
        <v>257</v>
      </c>
      <c r="K599" s="127" t="s">
        <v>90</v>
      </c>
      <c r="L599" s="208">
        <v>186</v>
      </c>
      <c r="M599" s="237">
        <f>_xlfn.LET(
  _xlpm.analyte, SensorLab[[#This Row],[Analyte]],
  _xlpm.raw, N(SensorLab[[#This Row],[Raw_Value]]),
  _xlpm.scaleF, IFERROR(
    _xlfn.XLOOKUP(_xlpm.analyte, CalibrationCoefficients[Analyte], CalibrationCoefficients[ScaleFactor]),
    1
  ),
  IF(AND(_xlpm.analyte&lt;&gt;"", ISNUMBER(_xlpm.raw)), _xlpm.raw * _xlpm.scaleF, "NA")
)</f>
        <v>18.600000000000001</v>
      </c>
      <c r="N599" s="41"/>
      <c r="O599" s="41">
        <v>18.600000000000001</v>
      </c>
      <c r="P599" s="41"/>
      <c r="Q599" s="208" cm="1">
        <f t="array" ref="Q599">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18.600000000000001</v>
      </c>
      <c r="R599" s="237" cm="1">
        <f t="array" ref="R59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18.682020000000001</v>
      </c>
      <c r="S599" s="238" cm="1">
        <f t="array" ref="S59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18.645440000000001</v>
      </c>
      <c r="T599" s="238" cm="1">
        <f t="array" ref="T59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-3.3545599999999993</v>
      </c>
      <c r="U599" s="41" t="str" cm="1">
        <f t="array" ref="U59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-0.04544)</v>
      </c>
      <c r="V599" s="22"/>
    </row>
    <row r="600" spans="10:22" x14ac:dyDescent="0.15">
      <c r="J600" s="190" t="s">
        <v>257</v>
      </c>
      <c r="K600" s="191" t="s">
        <v>43</v>
      </c>
      <c r="L600" s="208">
        <v>170</v>
      </c>
      <c r="M600" s="237">
        <f>_xlfn.LET(
  _xlpm.analyte, SensorLab[[#This Row],[Analyte]],
  _xlpm.raw, N(SensorLab[[#This Row],[Raw_Value]]),
  _xlpm.scaleF, IFERROR(
    _xlfn.XLOOKUP(_xlpm.analyte, CalibrationCoefficients[Analyte], CalibrationCoefficients[ScaleFactor]),
    1
  ),
  IF(AND(_xlpm.analyte&lt;&gt;"", ISNUMBER(_xlpm.raw)), _xlpm.raw * _xlpm.scaleF, "NA")
)</f>
        <v>17</v>
      </c>
      <c r="N600" s="41"/>
      <c r="O600" s="41">
        <v>17</v>
      </c>
      <c r="P600" s="41"/>
      <c r="Q600" s="208" cm="1">
        <f t="array" ref="Q60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17</v>
      </c>
      <c r="R600" s="237" cm="1">
        <f t="array" ref="R60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16.98517</v>
      </c>
      <c r="S600" s="238" cm="1">
        <f t="array" ref="S60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16.99858</v>
      </c>
      <c r="T600" s="238" cm="1">
        <f t="array" ref="T60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1.42E-3</v>
      </c>
      <c r="U600" s="41" t="str" cm="1">
        <f t="array" ref="U60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17.00000 and 17.00000</v>
      </c>
      <c r="V600" s="22"/>
    </row>
    <row r="601" spans="10:22" x14ac:dyDescent="0.15">
      <c r="J601" s="190" t="s">
        <v>257</v>
      </c>
      <c r="K601" s="191" t="s">
        <v>45</v>
      </c>
      <c r="L601" s="208">
        <v>5.1719999999999999E-4</v>
      </c>
      <c r="M601" s="237">
        <f>_xlfn.LET(
  _xlpm.analyte, SensorLab[[#This Row],[Analyte]],
  _xlpm.raw, N(SensorLab[[#This Row],[Raw_Value]]),
  _xlpm.scaleF, IFERROR(
    _xlfn.XLOOKUP(_xlpm.analyte, CalibrationCoefficients[Analyte], CalibrationCoefficients[ScaleFactor]),
    1
  ),
  IF(AND(_xlpm.analyte&lt;&gt;"", ISNUMBER(_xlpm.raw)), _xlpm.raw * _xlpm.scaleF, "NA")
)</f>
        <v>5.1719999999999999E-4</v>
      </c>
      <c r="N601" s="41"/>
      <c r="O601" s="41">
        <v>0.22</v>
      </c>
      <c r="P601" s="41"/>
      <c r="Q601" s="208" cm="1">
        <f t="array" ref="Q601">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0.22</v>
      </c>
      <c r="R601" s="237" cm="1">
        <f t="array" ref="R60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0.60387999999999997</v>
      </c>
      <c r="S601" s="238" cm="1">
        <f t="array" ref="S60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0.59977999999999998</v>
      </c>
      <c r="T601" s="238" cm="1">
        <f t="array" ref="T60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-0.37978000000000001</v>
      </c>
      <c r="U601" s="41" t="str" cm="1">
        <f t="array" ref="U60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0.12333 and 0.31667</v>
      </c>
      <c r="V601" s="22"/>
    </row>
    <row r="602" spans="10:22" x14ac:dyDescent="0.15">
      <c r="J602" s="190" t="s">
        <v>257</v>
      </c>
      <c r="K602" s="127" t="s">
        <v>0</v>
      </c>
      <c r="L602" s="208">
        <v>50.87</v>
      </c>
      <c r="M602" s="237">
        <f>_xlfn.LET(
  _xlpm.analyte, SensorLab[[#This Row],[Analyte]],
  _xlpm.raw, N(SensorLab[[#This Row],[Raw_Value]]),
  _xlpm.scaleF, IFERROR(
    _xlfn.XLOOKUP(_xlpm.analyte, CalibrationCoefficients[Analyte], CalibrationCoefficients[ScaleFactor]),
    1
  ),
  IF(AND(_xlpm.analyte&lt;&gt;"", ISNUMBER(_xlpm.raw)), _xlpm.raw * _xlpm.scaleF, "NA")
)</f>
        <v>50.87</v>
      </c>
      <c r="N602" s="41"/>
      <c r="O602" s="41">
        <v>82</v>
      </c>
      <c r="P602" s="41"/>
      <c r="Q602" s="208" cm="1">
        <f t="array" ref="Q60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82</v>
      </c>
      <c r="R602" s="237" cm="1">
        <f t="array" ref="R60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82</v>
      </c>
      <c r="S602" s="238" cm="1">
        <f t="array" ref="S60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82</v>
      </c>
      <c r="T602" s="238" cm="1">
        <f t="array" ref="T60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602" s="41" t="str" cm="1">
        <f t="array" ref="U60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82.00000 and 53.91044</v>
      </c>
      <c r="V602" s="22"/>
    </row>
    <row r="603" spans="10:22" x14ac:dyDescent="0.15">
      <c r="J603" s="190" t="s">
        <v>257</v>
      </c>
      <c r="K603" s="127" t="s">
        <v>5</v>
      </c>
      <c r="L603" s="208">
        <v>34.04</v>
      </c>
      <c r="M603" s="237">
        <f>_xlfn.LET(
  _xlpm.analyte, SensorLab[[#This Row],[Analyte]],
  _xlpm.raw, N(SensorLab[[#This Row],[Raw_Value]]),
  _xlpm.scaleF, IFERROR(
    _xlfn.XLOOKUP(_xlpm.analyte, CalibrationCoefficients[Analyte], CalibrationCoefficients[ScaleFactor]),
    1
  ),
  IF(AND(_xlpm.analyte&lt;&gt;"", ISNUMBER(_xlpm.raw)), _xlpm.raw * _xlpm.scaleF, "NA")
)</f>
        <v>34.04</v>
      </c>
      <c r="N603" s="41"/>
      <c r="O603" s="41">
        <v>10.5</v>
      </c>
      <c r="P603" s="41"/>
      <c r="Q603" s="208" cm="1">
        <f t="array" ref="Q603">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10.5</v>
      </c>
      <c r="R603" s="237" cm="1">
        <f t="array" ref="R60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10.5</v>
      </c>
      <c r="S603" s="238" cm="1">
        <f t="array" ref="S60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10.5</v>
      </c>
      <c r="T603" s="238" cm="1">
        <f t="array" ref="T60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603" s="41" t="str" cm="1">
        <f t="array" ref="U60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31.82159 and 10.50000</v>
      </c>
      <c r="V603" s="22"/>
    </row>
    <row r="604" spans="10:22" x14ac:dyDescent="0.15">
      <c r="J604" s="190" t="s">
        <v>257</v>
      </c>
      <c r="K604" s="127" t="s">
        <v>6</v>
      </c>
      <c r="L604" s="208">
        <v>15.09</v>
      </c>
      <c r="M604" s="237">
        <f>_xlfn.LET(
  _xlpm.analyte, SensorLab[[#This Row],[Analyte]],
  _xlpm.raw, N(SensorLab[[#This Row],[Raw_Value]]),
  _xlpm.scaleF, IFERROR(
    _xlfn.XLOOKUP(_xlpm.analyte, CalibrationCoefficients[Analyte], CalibrationCoefficients[ScaleFactor]),
    1
  ),
  IF(AND(_xlpm.analyte&lt;&gt;"", ISNUMBER(_xlpm.raw)), _xlpm.raw * _xlpm.scaleF, "NA")
)</f>
        <v>15.09</v>
      </c>
      <c r="N604" s="41"/>
      <c r="O604" s="41">
        <v>7.5</v>
      </c>
      <c r="P604" s="41"/>
      <c r="Q604" s="208" cm="1">
        <f t="array" ref="Q60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7.5</v>
      </c>
      <c r="R604" s="237" cm="1">
        <f t="array" ref="R60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7.5</v>
      </c>
      <c r="S604" s="238" cm="1">
        <f t="array" ref="S60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7.5</v>
      </c>
      <c r="T604" s="238" cm="1">
        <f t="array" ref="T60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604" s="41" t="str" cm="1">
        <f t="array" ref="U60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12.11500 and 7.50000</v>
      </c>
      <c r="V604" s="22"/>
    </row>
    <row r="605" spans="10:22" ht="11.25" thickBot="1" x14ac:dyDescent="0.2">
      <c r="J605" s="192" t="s">
        <v>257</v>
      </c>
      <c r="K605" s="193" t="s">
        <v>69</v>
      </c>
      <c r="L605" s="255" t="str" cm="1">
        <f t="array" ref="L605">_xlfn.LET(
  _xlpm.bs,L602, _xlpm.si,L603, _xlpm.c,L604,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M605" s="256" t="str" cm="1">
        <f t="array" ref="M605">_xlfn.LET(
  _xlpm.bs,M602, _xlpm.si,M603, _xlpm.c,M604,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N605" s="245" t="str" cm="1">
        <f t="array" ref="N605">_xlfn.LET(
  _xlpm.bs,N602, _xlpm.si,N603, _xlpm.c,N604,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605" s="245" t="str" cm="1">
        <f t="array" ref="O605">_xlfn.LET(
  _xlpm.bs,O602, _xlpm.si,O603, _xlpm.c,O604,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Loamy Sand</v>
      </c>
      <c r="P605" s="245" t="str" cm="1">
        <f t="array" ref="P605">_xlfn.LET(
  _xlpm.bs,P602, _xlpm.si,P603, _xlpm.c,P604,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605" s="255" t="str" cm="1">
        <f t="array" ref="Q605">_xlfn.LET(
  _xlpm.bs,Q602, _xlpm.si,Q603, _xlpm.c,Q604,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Loamy Sand</v>
      </c>
      <c r="R605" s="256" t="str" cm="1">
        <f t="array" ref="R605">_xlfn.LET(
  _xlpm.bs,R602, _xlpm.si,R603, _xlpm.c,R604,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Loamy Sand</v>
      </c>
      <c r="S605" s="256" t="str" cm="1">
        <f t="array" ref="S605">_xlfn.LET(
  _xlpm.bs,S602, _xlpm.si,S603, _xlpm.c,S604,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Loamy Sand</v>
      </c>
      <c r="T605" s="240" cm="1">
        <f t="array" ref="T60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605" s="229" t="str" cm="1">
        <f t="array" ref="U60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(Texture match: Loamy Sand)</v>
      </c>
      <c r="V605" s="22"/>
    </row>
    <row r="606" spans="10:22" x14ac:dyDescent="0.15">
      <c r="J606" s="190" t="s">
        <v>258</v>
      </c>
      <c r="K606" s="127" t="s">
        <v>39</v>
      </c>
      <c r="L606" s="208">
        <v>0</v>
      </c>
      <c r="M606"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606" s="41"/>
      <c r="O606" s="41"/>
      <c r="P606" s="41"/>
      <c r="Q606" s="208" t="str">
        <f>_xlfn.LET(
  _xlpm.tRaw, SensorLab[[#This Row],[Tarnab_Lab]],
  _xlpm.bRaw, SensorLab[[#This Row],[Bari_Lab]],
  _xlpm.mRaw, SensorLab[[#This Row],[ManuChar_Lab]],
  _xlpm.tIsNum, ISNUMBER(_xlpm.tRaw),
  _xlpm.bIsNum, ISNUMBER(_xlpm.bRaw),
  _xlpm.mIsNum, ISNUMBER(_xlpm.mRaw),
  _xlpm.t, IF(_xlpm.tIsNum, _xlpm.tRaw, ""),
  _xlpm.b, IF(_xlpm.bIsNum, _xlpm.bRaw, ""),
  _xlpm.m, IF(_xlpm.mIsNum, _xlpm.mRaw, ""),
  _xlpm.c, (--_xlpm.tIsNum) + (--_xlpm.bIsNum) + (--_xlpm.mIsNum),
  _xlpm.sumVals, IF(_xlpm.tIsNum, _xlpm.tRaw, 0) + IF(_xlpm.bIsNum, _xlpm.bRaw, 0) + IF(_xlpm.mIsNum, _xlpm.mRaw, 0),
  _xlpm.result,
    IF(_xlpm.c = 0, "",
      IF(_xlpm.c = 1,
         IF(_xlpm.tIsNum, _xlpm.t, IF(_xlpm.bIsNum, _xlpm.b, _xlpm.m)),
      IF(_xlpm.c = 2,
         _xlpm.sumVals / 2,
         MEDIAN(_xlpm.t, _xlpm.b, _xlpm.m)
      ))),
  _xlpm.result
)</f>
        <v/>
      </c>
      <c r="R606" s="239" cm="1">
        <f t="array" ref="R60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0.44663000000000003</v>
      </c>
      <c r="S606" s="241" cm="1">
        <f t="array" ref="S60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v>
      </c>
      <c r="T606" s="241" cm="1">
        <f t="array" ref="T60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-6</v>
      </c>
      <c r="U606" s="41" t="str" cm="1">
        <f t="array" ref="U60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0.44663 and 0.00000</v>
      </c>
      <c r="V606" s="22"/>
    </row>
    <row r="607" spans="10:22" x14ac:dyDescent="0.15">
      <c r="J607" s="190" t="s">
        <v>258</v>
      </c>
      <c r="K607" s="191" t="s">
        <v>40</v>
      </c>
      <c r="L607" s="208">
        <v>0</v>
      </c>
      <c r="M607"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607" s="41"/>
      <c r="O607" s="41"/>
      <c r="P607" s="41"/>
      <c r="Q607" s="208" t="str">
        <f>_xlfn.LET(
  _xlpm.tRaw, SensorLab[[#This Row],[Tarnab_Lab]],
  _xlpm.bRaw, SensorLab[[#This Row],[Bari_Lab]],
  _xlpm.mRaw, SensorLab[[#This Row],[ManuChar_Lab]],
  _xlpm.tIsNum, ISNUMBER(_xlpm.tRaw),
  _xlpm.bIsNum, ISNUMBER(_xlpm.bRaw),
  _xlpm.mIsNum, ISNUMBER(_xlpm.mRaw),
  _xlpm.t, IF(_xlpm.tIsNum, _xlpm.tRaw, ""),
  _xlpm.b, IF(_xlpm.bIsNum, _xlpm.bRaw, ""),
  _xlpm.m, IF(_xlpm.mIsNum, _xlpm.mRaw, ""),
  _xlpm.c, (--_xlpm.tIsNum) + (--_xlpm.bIsNum) + (--_xlpm.mIsNum),
  _xlpm.sumVals, IF(_xlpm.tIsNum, _xlpm.tRaw, 0) + IF(_xlpm.bIsNum, _xlpm.bRaw, 0) + IF(_xlpm.mIsNum, _xlpm.mRaw, 0),
  _xlpm.result,
    IF(_xlpm.c = 0, "",
      IF(_xlpm.c = 1,
         IF(_xlpm.tIsNum, _xlpm.t, IF(_xlpm.bIsNum, _xlpm.b, _xlpm.m)),
      IF(_xlpm.c = 2,
         _xlpm.sumVals / 2,
         MEDIAN(_xlpm.t, _xlpm.b, _xlpm.m)
      ))),
  _xlpm.result
)</f>
        <v/>
      </c>
      <c r="R607" s="237" cm="1">
        <f t="array" ref="R60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5.3140400000000003</v>
      </c>
      <c r="S607" s="238" cm="1">
        <f t="array" ref="S60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4.1240100000000002</v>
      </c>
      <c r="T607" s="238" cm="1">
        <f t="array" ref="T60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-0.87598999999999982</v>
      </c>
      <c r="U607" s="41" t="str" cm="1">
        <f t="array" ref="U60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5.70934 and 0.00000</v>
      </c>
      <c r="V607" s="22"/>
    </row>
    <row r="608" spans="10:22" x14ac:dyDescent="0.15">
      <c r="J608" s="190" t="s">
        <v>258</v>
      </c>
      <c r="K608" s="191" t="s">
        <v>41</v>
      </c>
      <c r="L608" s="208">
        <v>0</v>
      </c>
      <c r="M608"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608" s="41"/>
      <c r="O608" s="41"/>
      <c r="P608" s="41"/>
      <c r="Q608" s="208"/>
      <c r="R608" s="237" cm="1">
        <f t="array" ref="R60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111.50391999999999</v>
      </c>
      <c r="S608" s="238" cm="1">
        <f t="array" ref="S60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97.80395</v>
      </c>
      <c r="T608" s="238" cm="1">
        <f t="array" ref="T60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-97.80395</v>
      </c>
      <c r="U608" s="41" t="str" cm="1">
        <f t="array" ref="U60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107.71054 and 0.00000</v>
      </c>
      <c r="V608" s="22"/>
    </row>
    <row r="609" spans="10:23" x14ac:dyDescent="0.15">
      <c r="J609" s="190" t="s">
        <v>258</v>
      </c>
      <c r="K609" s="127" t="s">
        <v>52</v>
      </c>
      <c r="L609" s="208">
        <v>3</v>
      </c>
      <c r="M609" s="237">
        <f>_xlfn.LET(
  _xlpm.analyte, SensorLab[[#This Row],[Analyte]],
  _xlpm.raw, N(SensorLab[[#This Row],[Raw_Value]]),
  _xlpm.scaleF, IFERROR(
    _xlfn.XLOOKUP(_xlpm.analyte, CalibrationCoefficients[Analyte], CalibrationCoefficients[ScaleFactor]),
    1
  ),
  IF(AND(_xlpm.analyte&lt;&gt;"", ISNUMBER(_xlpm.raw)), _xlpm.raw * _xlpm.scaleF, "NA")
)</f>
        <v>3.0000000000000001E-3</v>
      </c>
      <c r="N609" s="41"/>
      <c r="O609" s="41"/>
      <c r="P609" s="41"/>
      <c r="Q609" s="208"/>
      <c r="R609" s="237" cm="1">
        <f t="array" ref="R60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0.91769000000000001</v>
      </c>
      <c r="S609" s="238" cm="1">
        <f t="array" ref="S60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0.88546000000000002</v>
      </c>
      <c r="T609" s="238" cm="1">
        <f t="array" ref="T60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-0.88546000000000002</v>
      </c>
      <c r="U609" s="41" t="str" cm="1">
        <f t="array" ref="U60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0.97372 and 0.00000</v>
      </c>
      <c r="V609" s="22"/>
    </row>
    <row r="610" spans="10:23" x14ac:dyDescent="0.15">
      <c r="J610" s="190" t="s">
        <v>258</v>
      </c>
      <c r="K610" s="127" t="s">
        <v>34</v>
      </c>
      <c r="L610" s="208">
        <v>72</v>
      </c>
      <c r="M610" s="237">
        <f>_xlfn.LET(
  _xlpm.analyte, SensorLab[[#This Row],[Analyte]],
  _xlpm.raw, N(SensorLab[[#This Row],[Raw_Value]]),
  _xlpm.scaleF, IFERROR(
    _xlfn.XLOOKUP(_xlpm.analyte, CalibrationCoefficients[Analyte], CalibrationCoefficients[ScaleFactor]),
    1
  ),
  IF(AND(_xlpm.analyte&lt;&gt;"", ISNUMBER(_xlpm.raw)), _xlpm.raw * _xlpm.scaleF, "NA")
)</f>
        <v>7.2</v>
      </c>
      <c r="N610" s="41"/>
      <c r="O610" s="41"/>
      <c r="P610" s="41"/>
      <c r="Q610" s="208"/>
      <c r="R610" s="237" cm="1">
        <f t="array" ref="R61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7.8946300000000003</v>
      </c>
      <c r="S610" s="238" cm="1">
        <f t="array" ref="S61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7.86172</v>
      </c>
      <c r="T610" s="238" cm="1">
        <f t="array" ref="T61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-7.86172</v>
      </c>
      <c r="U610" s="41" t="str" cm="1">
        <f t="array" ref="U61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7.80816 and 0.00000</v>
      </c>
      <c r="V610" s="22"/>
    </row>
    <row r="611" spans="10:23" x14ac:dyDescent="0.15">
      <c r="J611" s="190" t="s">
        <v>258</v>
      </c>
      <c r="K611" s="127" t="s">
        <v>90</v>
      </c>
      <c r="L611" s="208">
        <v>191</v>
      </c>
      <c r="M611" s="237">
        <f>_xlfn.LET(
  _xlpm.analyte, SensorLab[[#This Row],[Analyte]],
  _xlpm.raw, N(SensorLab[[#This Row],[Raw_Value]]),
  _xlpm.scaleF, IFERROR(
    _xlfn.XLOOKUP(_xlpm.analyte, CalibrationCoefficients[Analyte], CalibrationCoefficients[ScaleFactor]),
    1
  ),
  IF(AND(_xlpm.analyte&lt;&gt;"", ISNUMBER(_xlpm.raw)), _xlpm.raw * _xlpm.scaleF, "NA")
)</f>
        <v>19.100000000000001</v>
      </c>
      <c r="N611" s="41"/>
      <c r="O611" s="41"/>
      <c r="P611" s="41"/>
      <c r="Q611" s="208"/>
      <c r="R611" s="237" cm="1">
        <f t="array" ref="R61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19.192340000000002</v>
      </c>
      <c r="S611" s="238" cm="1">
        <f t="array" ref="S61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19.155760000000001</v>
      </c>
      <c r="T611" s="238" cm="1">
        <f t="array" ref="T61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-4.8442399999999992</v>
      </c>
      <c r="U611" s="41" t="str" cm="1">
        <f t="array" ref="U61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19.03000 and 0.00000</v>
      </c>
      <c r="V611" s="22"/>
      <c r="W611" s="5"/>
    </row>
    <row r="612" spans="10:23" x14ac:dyDescent="0.15">
      <c r="J612" s="190" t="s">
        <v>258</v>
      </c>
      <c r="K612" s="191" t="s">
        <v>43</v>
      </c>
      <c r="L612" s="208">
        <v>145</v>
      </c>
      <c r="M612" s="237">
        <f>_xlfn.LET(
  _xlpm.analyte, SensorLab[[#This Row],[Analyte]],
  _xlpm.raw, N(SensorLab[[#This Row],[Raw_Value]]),
  _xlpm.scaleF, IFERROR(
    _xlfn.XLOOKUP(_xlpm.analyte, CalibrationCoefficients[Analyte], CalibrationCoefficients[ScaleFactor]),
    1
  ),
  IF(AND(_xlpm.analyte&lt;&gt;"", ISNUMBER(_xlpm.raw)), _xlpm.raw * _xlpm.scaleF, "NA")
)</f>
        <v>14.5</v>
      </c>
      <c r="N612" s="41"/>
      <c r="O612" s="41"/>
      <c r="P612" s="41"/>
      <c r="Q612" s="208"/>
      <c r="R612" s="237" cm="1">
        <f t="array" ref="R61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14.484540000000001</v>
      </c>
      <c r="S612" s="238" cm="1">
        <f t="array" ref="S61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14.497949999999999</v>
      </c>
      <c r="T612" s="238" cm="1">
        <f t="array" ref="T61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-0.50205000000000055</v>
      </c>
      <c r="U612" s="41" t="str" cm="1">
        <f t="array" ref="U61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14.50000 and 0.00000</v>
      </c>
      <c r="V612" s="22"/>
    </row>
    <row r="613" spans="10:23" x14ac:dyDescent="0.15">
      <c r="J613" s="190" t="s">
        <v>258</v>
      </c>
      <c r="K613" s="191" t="s">
        <v>45</v>
      </c>
      <c r="L613" s="208">
        <v>5.1999999999999995E-4</v>
      </c>
      <c r="M613" s="237">
        <f>_xlfn.LET(
  _xlpm.analyte, SensorLab[[#This Row],[Analyte]],
  _xlpm.raw, N(SensorLab[[#This Row],[Raw_Value]]),
  _xlpm.scaleF, IFERROR(
    _xlfn.XLOOKUP(_xlpm.analyte, CalibrationCoefficients[Analyte], CalibrationCoefficients[ScaleFactor]),
    1
  ),
  IF(AND(_xlpm.analyte&lt;&gt;"", ISNUMBER(_xlpm.raw)), _xlpm.raw * _xlpm.scaleF, "NA")
)</f>
        <v>5.1999999999999995E-4</v>
      </c>
      <c r="N613" s="41"/>
      <c r="O613" s="41"/>
      <c r="P613" s="41"/>
      <c r="Q613" s="208"/>
      <c r="R613" s="237" cm="1">
        <f t="array" ref="R61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0.60409999999999997</v>
      </c>
      <c r="S613" s="238" cm="1">
        <f t="array" ref="S61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0.6</v>
      </c>
      <c r="T613" s="238" cm="1">
        <f t="array" ref="T61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-0.6</v>
      </c>
      <c r="U613" s="41" t="str" cm="1">
        <f t="array" ref="U61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0.00000 and 0.00000</v>
      </c>
      <c r="V613" s="22"/>
    </row>
    <row r="614" spans="10:23" x14ac:dyDescent="0.15">
      <c r="J614" s="190" t="s">
        <v>258</v>
      </c>
      <c r="K614" s="127" t="s">
        <v>0</v>
      </c>
      <c r="L614" s="208">
        <v>50.78</v>
      </c>
      <c r="M614" s="237">
        <f>_xlfn.LET(
  _xlpm.analyte, SensorLab[[#This Row],[Analyte]],
  _xlpm.raw, N(SensorLab[[#This Row],[Raw_Value]]),
  _xlpm.scaleF, IFERROR(
    _xlfn.XLOOKUP(_xlpm.analyte, CalibrationCoefficients[Analyte], CalibrationCoefficients[ScaleFactor]),
    1
  ),
  IF(AND(_xlpm.analyte&lt;&gt;"", ISNUMBER(_xlpm.raw)), _xlpm.raw * _xlpm.scaleF, "NA")
)</f>
        <v>50.78</v>
      </c>
      <c r="N614" s="41"/>
      <c r="O614" s="41"/>
      <c r="P614" s="41"/>
      <c r="Q614" s="208"/>
      <c r="R614" s="237" cm="1">
        <f t="array" ref="R61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614" s="238" cm="1">
        <f t="array" ref="S61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614" s="238" cm="1">
        <f t="array" ref="T61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-23</v>
      </c>
      <c r="U614" s="41" t="str" cm="1">
        <f t="array" ref="U61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14.82772 and 0.00000</v>
      </c>
      <c r="V614" s="22"/>
    </row>
    <row r="615" spans="10:23" x14ac:dyDescent="0.15">
      <c r="J615" s="190" t="s">
        <v>258</v>
      </c>
      <c r="K615" s="127" t="s">
        <v>5</v>
      </c>
      <c r="L615" s="208">
        <v>34.08</v>
      </c>
      <c r="M615" s="237">
        <f>_xlfn.LET(
  _xlpm.analyte, SensorLab[[#This Row],[Analyte]],
  _xlpm.raw, N(SensorLab[[#This Row],[Raw_Value]]),
  _xlpm.scaleF, IFERROR(
    _xlfn.XLOOKUP(_xlpm.analyte, CalibrationCoefficients[Analyte], CalibrationCoefficients[ScaleFactor]),
    1
  ),
  IF(AND(_xlpm.analyte&lt;&gt;"", ISNUMBER(_xlpm.raw)), _xlpm.raw * _xlpm.scaleF, "NA")
)</f>
        <v>34.08</v>
      </c>
      <c r="N615" s="41"/>
      <c r="O615" s="41"/>
      <c r="P615" s="41"/>
      <c r="Q615" s="208"/>
      <c r="R615" s="237" cm="1">
        <f t="array" ref="R61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615" s="238" cm="1">
        <f t="array" ref="S61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615" s="238" cm="1">
        <f t="array" ref="T61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-28</v>
      </c>
      <c r="U615" s="41" t="str" cm="1">
        <f t="array" ref="U61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31.81362 and 0.00000</v>
      </c>
      <c r="V615" s="22"/>
    </row>
    <row r="616" spans="10:23" x14ac:dyDescent="0.15">
      <c r="J616" s="190" t="s">
        <v>258</v>
      </c>
      <c r="K616" s="127" t="s">
        <v>6</v>
      </c>
      <c r="L616" s="208">
        <v>15.14</v>
      </c>
      <c r="M616" s="237">
        <f>_xlfn.LET(
  _xlpm.analyte, SensorLab[[#This Row],[Analyte]],
  _xlpm.raw, N(SensorLab[[#This Row],[Raw_Value]]),
  _xlpm.scaleF, IFERROR(
    _xlfn.XLOOKUP(_xlpm.analyte, CalibrationCoefficients[Analyte], CalibrationCoefficients[ScaleFactor]),
    1
  ),
  IF(AND(_xlpm.analyte&lt;&gt;"", ISNUMBER(_xlpm.raw)), _xlpm.raw * _xlpm.scaleF, "NA")
)</f>
        <v>15.14</v>
      </c>
      <c r="N616" s="41"/>
      <c r="O616" s="41"/>
      <c r="P616" s="41"/>
      <c r="Q616" s="208"/>
      <c r="R616" s="237" cm="1">
        <f t="array" ref="R61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616" s="238" cm="1">
        <f t="array" ref="S61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616" s="238" cm="1">
        <f t="array" ref="T61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v>
      </c>
      <c r="U616" s="41" t="str" cm="1">
        <f t="array" ref="U61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12.10317 and 0.00000</v>
      </c>
      <c r="V616" s="22"/>
    </row>
    <row r="617" spans="10:23" ht="11.25" thickBot="1" x14ac:dyDescent="0.2">
      <c r="J617" s="192" t="s">
        <v>258</v>
      </c>
      <c r="K617" s="193" t="s">
        <v>69</v>
      </c>
      <c r="L617" s="255" t="str" cm="1">
        <f t="array" ref="L617">_xlfn.LET(
  _xlpm.bs,L614, _xlpm.si,L615, _xlpm.c,L616,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M617" s="256" t="str" cm="1">
        <f t="array" ref="M617">_xlfn.LET(
  _xlpm.bs,M614, _xlpm.si,M615, _xlpm.c,M616,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N617" s="245" t="str" cm="1">
        <f t="array" ref="N617">_xlfn.LET(
  _xlpm.bs,N614, _xlpm.si,N615, _xlpm.c,N616,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617" s="245" t="str" cm="1">
        <f t="array" ref="O617">_xlfn.LET(
  _xlpm.bs,O614, _xlpm.si,O615, _xlpm.c,O616,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P617" s="245" t="str" cm="1">
        <f t="array" ref="P617">_xlfn.LET(
  _xlpm.bs,P614, _xlpm.si,P615, _xlpm.c,P616,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617" s="255" t="str" cm="1">
        <f t="array" ref="Q617">_xlfn.LET(
  _xlpm.bs,Q614, _xlpm.si,Q615, _xlpm.c,Q616,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R617" s="256" t="str" cm="1">
        <f t="array" ref="R617">_xlfn.LET(
  _xlpm.bs,R614, _xlpm.si,R615, _xlpm.c,R616,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S617" s="256" t="str" cm="1">
        <f t="array" ref="S617">_xlfn.LET(
  _xlpm.bs,S614, _xlpm.si,S615, _xlpm.c,S616,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T617" s="240" cm="1">
        <f t="array" ref="T61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v>
      </c>
      <c r="U617" s="229" t="str" cm="1">
        <f t="array" ref="U61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#N/A</v>
      </c>
      <c r="V617" s="22"/>
    </row>
    <row r="618" spans="10:23" x14ac:dyDescent="0.15">
      <c r="J618" s="190" t="s">
        <v>259</v>
      </c>
      <c r="K618" s="127" t="s">
        <v>39</v>
      </c>
      <c r="L618" s="208">
        <v>34</v>
      </c>
      <c r="M618" s="237">
        <f>_xlfn.LET(
  _xlpm.analyte, SensorLab[[#This Row],[Analyte]],
  _xlpm.raw, N(SensorLab[[#This Row],[Raw_Value]]),
  _xlpm.scaleF, IFERROR(
    _xlfn.XLOOKUP(_xlpm.analyte, CalibrationCoefficients[Analyte], CalibrationCoefficients[ScaleFactor]),
    1
  ),
  IF(AND(_xlpm.analyte&lt;&gt;"", ISNUMBER(_xlpm.raw)), _xlpm.raw * _xlpm.scaleF, "NA")
)</f>
        <v>34</v>
      </c>
      <c r="N618" s="41"/>
      <c r="O618" s="41">
        <v>5.5548999999999999</v>
      </c>
      <c r="P618" s="41"/>
      <c r="Q618" s="207" cm="1">
        <f t="array" ref="Q61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5.5548999999999999</v>
      </c>
      <c r="R618" s="239" cm="1">
        <f t="array" ref="R61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5.2194599999999998</v>
      </c>
      <c r="S618" s="241" cm="1">
        <f t="array" ref="S61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6.7728299999999999</v>
      </c>
      <c r="T618" s="241" cm="1">
        <f t="array" ref="T61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-1.21793</v>
      </c>
      <c r="U618" s="41" t="str" cm="1">
        <f t="array" ref="U61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5.21946 and 5.21946</v>
      </c>
      <c r="V618" s="22"/>
    </row>
    <row r="619" spans="10:23" x14ac:dyDescent="0.15">
      <c r="J619" s="190" t="s">
        <v>259</v>
      </c>
      <c r="K619" s="191" t="s">
        <v>40</v>
      </c>
      <c r="L619" s="208">
        <v>125</v>
      </c>
      <c r="M619" s="237">
        <f>_xlfn.LET(
  _xlpm.analyte, SensorLab[[#This Row],[Analyte]],
  _xlpm.raw, N(SensorLab[[#This Row],[Raw_Value]]),
  _xlpm.scaleF, IFERROR(
    _xlfn.XLOOKUP(_xlpm.analyte, CalibrationCoefficients[Analyte], CalibrationCoefficients[ScaleFactor]),
    1
  ),
  IF(AND(_xlpm.analyte&lt;&gt;"", ISNUMBER(_xlpm.raw)), _xlpm.raw * _xlpm.scaleF, "NA")
)</f>
        <v>125</v>
      </c>
      <c r="N619" s="41"/>
      <c r="O619" s="41">
        <v>6.56</v>
      </c>
      <c r="P619" s="41"/>
      <c r="Q619" s="208" cm="1">
        <f t="array" ref="Q619">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6.56</v>
      </c>
      <c r="R619" s="237" cm="1">
        <f t="array" ref="R61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8.4415700000000005</v>
      </c>
      <c r="S619" s="238" cm="1">
        <f t="array" ref="S61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7.2515400000000003</v>
      </c>
      <c r="T619" s="238" cm="1">
        <f t="array" ref="T61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-0.69154000000000004</v>
      </c>
      <c r="U619" s="41" t="str" cm="1">
        <f t="array" ref="U61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7.41430 and 8.53430</v>
      </c>
      <c r="V619" s="22"/>
    </row>
    <row r="620" spans="10:23" x14ac:dyDescent="0.15">
      <c r="J620" s="190" t="s">
        <v>259</v>
      </c>
      <c r="K620" s="191" t="s">
        <v>41</v>
      </c>
      <c r="L620" s="208">
        <v>117</v>
      </c>
      <c r="M620" s="237">
        <f>_xlfn.LET(
  _xlpm.analyte, SensorLab[[#This Row],[Analyte]],
  _xlpm.raw, N(SensorLab[[#This Row],[Raw_Value]]),
  _xlpm.scaleF, IFERROR(
    _xlfn.XLOOKUP(_xlpm.analyte, CalibrationCoefficients[Analyte], CalibrationCoefficients[ScaleFactor]),
    1
  ),
  IF(AND(_xlpm.analyte&lt;&gt;"", ISNUMBER(_xlpm.raw)), _xlpm.raw * _xlpm.scaleF, "NA")
)</f>
        <v>117</v>
      </c>
      <c r="N620" s="41"/>
      <c r="O620" s="41">
        <v>141</v>
      </c>
      <c r="P620" s="41"/>
      <c r="Q620" s="208" cm="1">
        <f t="array" ref="Q62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141</v>
      </c>
      <c r="R620" s="237" cm="1">
        <f t="array" ref="R62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148.26433</v>
      </c>
      <c r="S620" s="238" cm="1">
        <f t="array" ref="S62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134.56435999999999</v>
      </c>
      <c r="T620" s="238" cm="1">
        <f t="array" ref="T62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6.4356400000000002</v>
      </c>
      <c r="U620" s="41" t="str" cm="1">
        <f t="array" ref="U62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148.00105 and 150.98105</v>
      </c>
      <c r="V620" s="22"/>
    </row>
    <row r="621" spans="10:23" x14ac:dyDescent="0.15">
      <c r="J621" s="190" t="s">
        <v>259</v>
      </c>
      <c r="K621" s="127" t="s">
        <v>52</v>
      </c>
      <c r="L621" s="208">
        <v>348</v>
      </c>
      <c r="M621" s="237">
        <f>_xlfn.LET(
  _xlpm.analyte, SensorLab[[#This Row],[Analyte]],
  _xlpm.raw, N(SensorLab[[#This Row],[Raw_Value]]),
  _xlpm.scaleF, IFERROR(
    _xlfn.XLOOKUP(_xlpm.analyte, CalibrationCoefficients[Analyte], CalibrationCoefficients[ScaleFactor]),
    1
  ),
  IF(AND(_xlpm.analyte&lt;&gt;"", ISNUMBER(_xlpm.raw)), _xlpm.raw * _xlpm.scaleF, "NA")
)</f>
        <v>0.34800000000000003</v>
      </c>
      <c r="N621" s="41"/>
      <c r="O621" s="41">
        <v>1.49</v>
      </c>
      <c r="P621" s="41"/>
      <c r="Q621" s="208" cm="1">
        <f t="array" ref="Q621">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1.49</v>
      </c>
      <c r="R621" s="237" cm="1">
        <f t="array" ref="R62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1.1437900000000001</v>
      </c>
      <c r="S621" s="238" cm="1">
        <f t="array" ref="S62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1.1115600000000001</v>
      </c>
      <c r="T621" s="238" cm="1">
        <f t="array" ref="T62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0.37844</v>
      </c>
      <c r="U621" s="41" t="str" cm="1">
        <f t="array" ref="U62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1.21886 and 1.14826</v>
      </c>
      <c r="V621" s="22"/>
    </row>
    <row r="622" spans="10:23" x14ac:dyDescent="0.15">
      <c r="J622" s="190" t="s">
        <v>259</v>
      </c>
      <c r="K622" s="127" t="s">
        <v>34</v>
      </c>
      <c r="L622" s="208">
        <v>76</v>
      </c>
      <c r="M622" s="237">
        <f>_xlfn.LET(
  _xlpm.analyte, SensorLab[[#This Row],[Analyte]],
  _xlpm.raw, N(SensorLab[[#This Row],[Raw_Value]]),
  _xlpm.scaleF, IFERROR(
    _xlfn.XLOOKUP(_xlpm.analyte, CalibrationCoefficients[Analyte], CalibrationCoefficients[ScaleFactor]),
    1
  ),
  IF(AND(_xlpm.analyte&lt;&gt;"", ISNUMBER(_xlpm.raw)), _xlpm.raw * _xlpm.scaleF, "NA")
)</f>
        <v>7.6000000000000005</v>
      </c>
      <c r="N622" s="41"/>
      <c r="O622" s="41">
        <v>7.93</v>
      </c>
      <c r="P622" s="41"/>
      <c r="Q622" s="208" cm="1">
        <f t="array" ref="Q62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7.93</v>
      </c>
      <c r="R622" s="237" cm="1">
        <f t="array" ref="R62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7.8763500000000004</v>
      </c>
      <c r="S622" s="238" cm="1">
        <f t="array" ref="S62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7.8434400000000002</v>
      </c>
      <c r="T622" s="238" cm="1">
        <f t="array" ref="T62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8.6559999999999998E-2</v>
      </c>
      <c r="U622" s="41" t="str" cm="1">
        <f t="array" ref="U62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0.08656)</v>
      </c>
      <c r="V622" s="22"/>
    </row>
    <row r="623" spans="10:23" x14ac:dyDescent="0.15">
      <c r="J623" s="190" t="s">
        <v>259</v>
      </c>
      <c r="K623" s="127" t="s">
        <v>90</v>
      </c>
      <c r="L623" s="208">
        <v>169</v>
      </c>
      <c r="M623" s="237">
        <f>_xlfn.LET(
  _xlpm.analyte, SensorLab[[#This Row],[Analyte]],
  _xlpm.raw, N(SensorLab[[#This Row],[Raw_Value]]),
  _xlpm.scaleF, IFERROR(
    _xlfn.XLOOKUP(_xlpm.analyte, CalibrationCoefficients[Analyte], CalibrationCoefficients[ScaleFactor]),
    1
  ),
  IF(AND(_xlpm.analyte&lt;&gt;"", ISNUMBER(_xlpm.raw)), _xlpm.raw * _xlpm.scaleF, "NA")
)</f>
        <v>16.900000000000002</v>
      </c>
      <c r="N623" s="41"/>
      <c r="O623" s="41">
        <v>16.899999999999999</v>
      </c>
      <c r="P623" s="41"/>
      <c r="Q623" s="208" cm="1">
        <f t="array" ref="Q623">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16.899999999999999</v>
      </c>
      <c r="R623" s="237" cm="1">
        <f t="array" ref="R62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16.946899999999999</v>
      </c>
      <c r="S623" s="238" cm="1">
        <f t="array" ref="S62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16.910319999999999</v>
      </c>
      <c r="T623" s="238" cm="1">
        <f t="array" ref="T62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-7.0896800000000013</v>
      </c>
      <c r="U623" s="41" t="str" cm="1">
        <f t="array" ref="U62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-0.01032)</v>
      </c>
      <c r="V623" s="22"/>
      <c r="W623" s="5"/>
    </row>
    <row r="624" spans="10:23" x14ac:dyDescent="0.15">
      <c r="J624" s="190" t="s">
        <v>259</v>
      </c>
      <c r="K624" s="191" t="s">
        <v>43</v>
      </c>
      <c r="L624" s="208">
        <v>247</v>
      </c>
      <c r="M624" s="237">
        <f>_xlfn.LET(
  _xlpm.analyte, SensorLab[[#This Row],[Analyte]],
  _xlpm.raw, N(SensorLab[[#This Row],[Raw_Value]]),
  _xlpm.scaleF, IFERROR(
    _xlfn.XLOOKUP(_xlpm.analyte, CalibrationCoefficients[Analyte], CalibrationCoefficients[ScaleFactor]),
    1
  ),
  IF(AND(_xlpm.analyte&lt;&gt;"", ISNUMBER(_xlpm.raw)), _xlpm.raw * _xlpm.scaleF, "NA")
)</f>
        <v>24.700000000000003</v>
      </c>
      <c r="N624" s="41"/>
      <c r="O624" s="41">
        <v>24.7</v>
      </c>
      <c r="P624" s="41"/>
      <c r="Q624" s="208" cm="1">
        <f t="array" ref="Q62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24.7</v>
      </c>
      <c r="R624" s="237" cm="1">
        <f t="array" ref="R62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24.687100000000001</v>
      </c>
      <c r="S624" s="238" cm="1">
        <f t="array" ref="S62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24.700510000000001</v>
      </c>
      <c r="T624" s="238" cm="1">
        <f t="array" ref="T62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-5.1000000000000004E-4</v>
      </c>
      <c r="U624" s="41" t="str" cm="1">
        <f t="array" ref="U62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24.70000 and 24.70000</v>
      </c>
      <c r="V624" s="22"/>
    </row>
    <row r="625" spans="10:23" x14ac:dyDescent="0.15">
      <c r="J625" s="190" t="s">
        <v>259</v>
      </c>
      <c r="K625" s="191" t="s">
        <v>45</v>
      </c>
      <c r="L625" s="208">
        <v>3.4480000000000001E-3</v>
      </c>
      <c r="M625" s="237">
        <f>_xlfn.LET(
  _xlpm.analyte, SensorLab[[#This Row],[Analyte]],
  _xlpm.raw, N(SensorLab[[#This Row],[Raw_Value]]),
  _xlpm.scaleF, IFERROR(
    _xlfn.XLOOKUP(_xlpm.analyte, CalibrationCoefficients[Analyte], CalibrationCoefficients[ScaleFactor]),
    1
  ),
  IF(AND(_xlpm.analyte&lt;&gt;"", ISNUMBER(_xlpm.raw)), _xlpm.raw * _xlpm.scaleF, "NA")
)</f>
        <v>3.4480000000000001E-3</v>
      </c>
      <c r="N625" s="41"/>
      <c r="O625" s="41">
        <v>0.81</v>
      </c>
      <c r="P625" s="41"/>
      <c r="Q625" s="208" cm="1">
        <f t="array" ref="Q625">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0.81</v>
      </c>
      <c r="R625" s="237" cm="1">
        <f t="array" ref="R62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0.83525000000000005</v>
      </c>
      <c r="S625" s="238" cm="1">
        <f t="array" ref="S62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0.83115000000000006</v>
      </c>
      <c r="T625" s="238" cm="1">
        <f t="array" ref="T62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-2.1149999999999999E-2</v>
      </c>
      <c r="U625" s="41" t="str" cm="1">
        <f t="array" ref="U62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-0.02115)</v>
      </c>
      <c r="V625" s="22"/>
    </row>
    <row r="626" spans="10:23" x14ac:dyDescent="0.15">
      <c r="J626" s="190" t="s">
        <v>259</v>
      </c>
      <c r="K626" s="127" t="s">
        <v>0</v>
      </c>
      <c r="L626" s="208">
        <v>21.93</v>
      </c>
      <c r="M626" s="237">
        <f>_xlfn.LET(
  _xlpm.analyte, SensorLab[[#This Row],[Analyte]],
  _xlpm.raw, N(SensorLab[[#This Row],[Raw_Value]]),
  _xlpm.scaleF, IFERROR(
    _xlfn.XLOOKUP(_xlpm.analyte, CalibrationCoefficients[Analyte], CalibrationCoefficients[ScaleFactor]),
    1
  ),
  IF(AND(_xlpm.analyte&lt;&gt;"", ISNUMBER(_xlpm.raw)), _xlpm.raw * _xlpm.scaleF, "NA")
)</f>
        <v>21.93</v>
      </c>
      <c r="N626" s="41"/>
      <c r="O626" s="41">
        <v>52.5</v>
      </c>
      <c r="P626" s="41"/>
      <c r="Q626" s="208" cm="1">
        <f t="array" ref="Q62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52.5</v>
      </c>
      <c r="R626" s="237" cm="1">
        <f t="array" ref="R62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52.5</v>
      </c>
      <c r="S626" s="238" cm="1">
        <f t="array" ref="S62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52.5</v>
      </c>
      <c r="T626" s="238" cm="1">
        <f t="array" ref="T62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626" s="41" t="str" cm="1">
        <f t="array" ref="U62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626" s="22"/>
    </row>
    <row r="627" spans="10:23" x14ac:dyDescent="0.15">
      <c r="J627" s="190" t="s">
        <v>259</v>
      </c>
      <c r="K627" s="127" t="s">
        <v>5</v>
      </c>
      <c r="L627" s="208">
        <v>58.12</v>
      </c>
      <c r="M627" s="237">
        <f>_xlfn.LET(
  _xlpm.analyte, SensorLab[[#This Row],[Analyte]],
  _xlpm.raw, N(SensorLab[[#This Row],[Raw_Value]]),
  _xlpm.scaleF, IFERROR(
    _xlfn.XLOOKUP(_xlpm.analyte, CalibrationCoefficients[Analyte], CalibrationCoefficients[ScaleFactor]),
    1
  ),
  IF(AND(_xlpm.analyte&lt;&gt;"", ISNUMBER(_xlpm.raw)), _xlpm.raw * _xlpm.scaleF, "NA")
)</f>
        <v>58.12</v>
      </c>
      <c r="N627" s="41"/>
      <c r="O627" s="41">
        <v>37.5</v>
      </c>
      <c r="P627" s="41"/>
      <c r="Q627" s="208" cm="1">
        <f t="array" ref="Q627">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37.5</v>
      </c>
      <c r="R627" s="237" cm="1">
        <f t="array" ref="R62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37.5</v>
      </c>
      <c r="S627" s="238" cm="1">
        <f t="array" ref="S62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37.5</v>
      </c>
      <c r="T627" s="238" cm="1">
        <f t="array" ref="T62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627" s="41" t="str" cm="1">
        <f t="array" ref="U62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627" s="22"/>
    </row>
    <row r="628" spans="10:23" x14ac:dyDescent="0.15">
      <c r="J628" s="190" t="s">
        <v>259</v>
      </c>
      <c r="K628" s="127" t="s">
        <v>6</v>
      </c>
      <c r="L628" s="208">
        <v>19.95</v>
      </c>
      <c r="M628" s="237">
        <f>_xlfn.LET(
  _xlpm.analyte, SensorLab[[#This Row],[Analyte]],
  _xlpm.raw, N(SensorLab[[#This Row],[Raw_Value]]),
  _xlpm.scaleF, IFERROR(
    _xlfn.XLOOKUP(_xlpm.analyte, CalibrationCoefficients[Analyte], CalibrationCoefficients[ScaleFactor]),
    1
  ),
  IF(AND(_xlpm.analyte&lt;&gt;"", ISNUMBER(_xlpm.raw)), _xlpm.raw * _xlpm.scaleF, "NA")
)</f>
        <v>19.95</v>
      </c>
      <c r="N628" s="41"/>
      <c r="O628" s="41">
        <v>10</v>
      </c>
      <c r="P628" s="41"/>
      <c r="Q628" s="208" cm="1">
        <f t="array" ref="Q62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10</v>
      </c>
      <c r="R628" s="237" cm="1">
        <f t="array" ref="R62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10</v>
      </c>
      <c r="S628" s="238" cm="1">
        <f t="array" ref="S62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10</v>
      </c>
      <c r="T628" s="238" cm="1">
        <f t="array" ref="T62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628" s="41" t="str" cm="1">
        <f t="array" ref="U62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10.96587 and 10.00000</v>
      </c>
      <c r="V628" s="22"/>
    </row>
    <row r="629" spans="10:23" ht="11.25" thickBot="1" x14ac:dyDescent="0.2">
      <c r="J629" s="192" t="s">
        <v>259</v>
      </c>
      <c r="K629" s="193" t="s">
        <v>69</v>
      </c>
      <c r="L629" s="255" t="str" cm="1">
        <f t="array" ref="L629">_xlfn.LET(
  _xlpm.bs,L626, _xlpm.si,L627, _xlpm.c,L628,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M629" s="256" t="str" cm="1">
        <f t="array" ref="M629">_xlfn.LET(
  _xlpm.bs,M626, _xlpm.si,M627, _xlpm.c,M628,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N629" s="245" t="str" cm="1">
        <f t="array" ref="N629">_xlfn.LET(
  _xlpm.bs,N626, _xlpm.si,N627, _xlpm.c,N628,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629" s="245" t="str" cm="1">
        <f t="array" ref="O629">_xlfn.LET(
  _xlpm.bs,O626, _xlpm.si,O627, _xlpm.c,O628,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P629" s="245" t="str" cm="1">
        <f t="array" ref="P629">_xlfn.LET(
  _xlpm.bs,P626, _xlpm.si,P627, _xlpm.c,P628,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629" s="255" t="str" cm="1">
        <f t="array" ref="Q629">_xlfn.LET(
  _xlpm.bs,Q626, _xlpm.si,Q627, _xlpm.c,Q628,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R629" s="256" t="str" cm="1">
        <f t="array" ref="R629">_xlfn.LET(
  _xlpm.bs,R626, _xlpm.si,R627, _xlpm.c,R628,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S629" s="256" t="str" cm="1">
        <f t="array" ref="S629">_xlfn.LET(
  _xlpm.bs,S626, _xlpm.si,S627, _xlpm.c,S628,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T629" s="240" cm="1">
        <f t="array" ref="T62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629" s="229" t="str" cm="1">
        <f t="array" ref="U62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(Texture match: Sandy Loam)</v>
      </c>
      <c r="V629" s="22"/>
    </row>
    <row r="630" spans="10:23" x14ac:dyDescent="0.15">
      <c r="J630" s="190" t="s">
        <v>260</v>
      </c>
      <c r="K630" s="127" t="s">
        <v>39</v>
      </c>
      <c r="L630" s="208">
        <v>1</v>
      </c>
      <c r="M630" s="237">
        <f>_xlfn.LET(
  _xlpm.analyte, SensorLab[[#This Row],[Analyte]],
  _xlpm.raw, N(SensorLab[[#This Row],[Raw_Value]]),
  _xlpm.scaleF, IFERROR(
    _xlfn.XLOOKUP(_xlpm.analyte, CalibrationCoefficients[Analyte], CalibrationCoefficients[ScaleFactor]),
    1
  ),
  IF(AND(_xlpm.analyte&lt;&gt;"", ISNUMBER(_xlpm.raw)), _xlpm.raw * _xlpm.scaleF, "NA")
)</f>
        <v>1</v>
      </c>
      <c r="N630" s="41"/>
      <c r="O630" s="41">
        <v>0.38997999999999999</v>
      </c>
      <c r="P630" s="41"/>
      <c r="Q630" s="207" cm="1">
        <f t="array" ref="Q63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0.38997999999999999</v>
      </c>
      <c r="R630" s="239" cm="1">
        <f t="array" ref="R63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0.58699999999999997</v>
      </c>
      <c r="S630" s="241" cm="1">
        <f t="array" ref="S63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2.1403699999999999</v>
      </c>
      <c r="T630" s="241" cm="1">
        <f t="array" ref="T63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-3.8596300000000001</v>
      </c>
      <c r="U630" s="41" t="str" cm="1">
        <f t="array" ref="U63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0.58700 and 0.58354</v>
      </c>
      <c r="V630" s="22"/>
    </row>
    <row r="631" spans="10:23" x14ac:dyDescent="0.15">
      <c r="J631" s="190" t="s">
        <v>260</v>
      </c>
      <c r="K631" s="191" t="s">
        <v>40</v>
      </c>
      <c r="L631" s="208">
        <v>50</v>
      </c>
      <c r="M631" s="237">
        <f>_xlfn.LET(
  _xlpm.analyte, SensorLab[[#This Row],[Analyte]],
  _xlpm.raw, N(SensorLab[[#This Row],[Raw_Value]]),
  _xlpm.scaleF, IFERROR(
    _xlfn.XLOOKUP(_xlpm.analyte, CalibrationCoefficients[Analyte], CalibrationCoefficients[ScaleFactor]),
    1
  ),
  IF(AND(_xlpm.analyte&lt;&gt;"", ISNUMBER(_xlpm.raw)), _xlpm.raw * _xlpm.scaleF, "NA")
)</f>
        <v>50</v>
      </c>
      <c r="N631" s="41"/>
      <c r="O631" s="41">
        <v>23.56</v>
      </c>
      <c r="P631" s="41"/>
      <c r="Q631" s="208" cm="1">
        <f t="array" ref="Q631">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23.56</v>
      </c>
      <c r="R631" s="237" cm="1">
        <f t="array" ref="R63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6.5650500000000003</v>
      </c>
      <c r="S631" s="238" cm="1">
        <f t="array" ref="S63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5.3750200000000001</v>
      </c>
      <c r="T631" s="238" cm="1">
        <f t="array" ref="T63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18.184979999999999</v>
      </c>
      <c r="U631" s="41" t="str" cm="1">
        <f t="array" ref="U63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18.20899 and 7.51133</v>
      </c>
      <c r="V631" s="22"/>
    </row>
    <row r="632" spans="10:23" x14ac:dyDescent="0.15">
      <c r="J632" s="190" t="s">
        <v>260</v>
      </c>
      <c r="K632" s="191" t="s">
        <v>41</v>
      </c>
      <c r="L632" s="208">
        <v>42</v>
      </c>
      <c r="M632" s="237">
        <f>_xlfn.LET(
  _xlpm.analyte, SensorLab[[#This Row],[Analyte]],
  _xlpm.raw, N(SensorLab[[#This Row],[Raw_Value]]),
  _xlpm.scaleF, IFERROR(
    _xlfn.XLOOKUP(_xlpm.analyte, CalibrationCoefficients[Analyte], CalibrationCoefficients[ScaleFactor]),
    1
  ),
  IF(AND(_xlpm.analyte&lt;&gt;"", ISNUMBER(_xlpm.raw)), _xlpm.raw * _xlpm.scaleF, "NA")
)</f>
        <v>42</v>
      </c>
      <c r="N632" s="41"/>
      <c r="O632" s="41">
        <v>191</v>
      </c>
      <c r="P632" s="41"/>
      <c r="Q632" s="208" cm="1">
        <f t="array" ref="Q63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191</v>
      </c>
      <c r="R632" s="237" cm="1">
        <f t="array" ref="R63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124.69996999999999</v>
      </c>
      <c r="S632" s="238" cm="1">
        <f t="array" ref="S63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111</v>
      </c>
      <c r="T632" s="238" cm="1">
        <f t="array" ref="T63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80</v>
      </c>
      <c r="U632" s="41" t="str" cm="1">
        <f t="array" ref="U63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130.91959 and 125.15380</v>
      </c>
      <c r="V632" s="22"/>
    </row>
    <row r="633" spans="10:23" x14ac:dyDescent="0.15">
      <c r="J633" s="190" t="s">
        <v>260</v>
      </c>
      <c r="K633" s="127" t="s">
        <v>52</v>
      </c>
      <c r="L633" s="208">
        <v>193</v>
      </c>
      <c r="M633" s="237">
        <f>_xlfn.LET(
  _xlpm.analyte, SensorLab[[#This Row],[Analyte]],
  _xlpm.raw, N(SensorLab[[#This Row],[Raw_Value]]),
  _xlpm.scaleF, IFERROR(
    _xlfn.XLOOKUP(_xlpm.analyte, CalibrationCoefficients[Analyte], CalibrationCoefficients[ScaleFactor]),
    1
  ),
  IF(AND(_xlpm.analyte&lt;&gt;"", ISNUMBER(_xlpm.raw)), _xlpm.raw * _xlpm.scaleF, "NA")
)</f>
        <v>0.193</v>
      </c>
      <c r="N633" s="41"/>
      <c r="O633" s="41">
        <v>1.78</v>
      </c>
      <c r="P633" s="41"/>
      <c r="Q633" s="208" cm="1">
        <f t="array" ref="Q633">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1.78</v>
      </c>
      <c r="R633" s="237" cm="1">
        <f t="array" ref="R63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1.0422100000000001</v>
      </c>
      <c r="S633" s="238" cm="1">
        <f t="array" ref="S63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1.0099800000000001</v>
      </c>
      <c r="T633" s="238" cm="1">
        <f t="array" ref="T63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0.77002000000000004</v>
      </c>
      <c r="U633" s="41" t="str" cm="1">
        <f t="array" ref="U63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1.50886 and 1.11477</v>
      </c>
      <c r="V633" s="22"/>
    </row>
    <row r="634" spans="10:23" x14ac:dyDescent="0.15">
      <c r="J634" s="190" t="s">
        <v>260</v>
      </c>
      <c r="K634" s="127" t="s">
        <v>34</v>
      </c>
      <c r="L634" s="208">
        <v>75</v>
      </c>
      <c r="M634" s="237">
        <f>_xlfn.LET(
  _xlpm.analyte, SensorLab[[#This Row],[Analyte]],
  _xlpm.raw, N(SensorLab[[#This Row],[Raw_Value]]),
  _xlpm.scaleF, IFERROR(
    _xlfn.XLOOKUP(_xlpm.analyte, CalibrationCoefficients[Analyte], CalibrationCoefficients[ScaleFactor]),
    1
  ),
  IF(AND(_xlpm.analyte&lt;&gt;"", ISNUMBER(_xlpm.raw)), _xlpm.raw * _xlpm.scaleF, "NA")
)</f>
        <v>7.5</v>
      </c>
      <c r="N634" s="41"/>
      <c r="O634" s="41">
        <v>7.73</v>
      </c>
      <c r="P634" s="41"/>
      <c r="Q634" s="208" cm="1">
        <f t="array" ref="Q63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7.73</v>
      </c>
      <c r="R634" s="237" cm="1">
        <f t="array" ref="R63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7.8809199999999997</v>
      </c>
      <c r="S634" s="238" cm="1">
        <f t="array" ref="S63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7.8480100000000004</v>
      </c>
      <c r="T634" s="238" cm="1">
        <f t="array" ref="T63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-0.11801</v>
      </c>
      <c r="U634" s="41" t="str" cm="1">
        <f t="array" ref="U63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-0.11801)</v>
      </c>
      <c r="V634" s="22"/>
    </row>
    <row r="635" spans="10:23" x14ac:dyDescent="0.15">
      <c r="J635" s="190" t="s">
        <v>260</v>
      </c>
      <c r="K635" s="127" t="s">
        <v>90</v>
      </c>
      <c r="L635" s="208">
        <v>163</v>
      </c>
      <c r="M635" s="237">
        <f>_xlfn.LET(
  _xlpm.analyte, SensorLab[[#This Row],[Analyte]],
  _xlpm.raw, N(SensorLab[[#This Row],[Raw_Value]]),
  _xlpm.scaleF, IFERROR(
    _xlfn.XLOOKUP(_xlpm.analyte, CalibrationCoefficients[Analyte], CalibrationCoefficients[ScaleFactor]),
    1
  ),
  IF(AND(_xlpm.analyte&lt;&gt;"", ISNUMBER(_xlpm.raw)), _xlpm.raw * _xlpm.scaleF, "NA")
)</f>
        <v>16.3</v>
      </c>
      <c r="N635" s="41"/>
      <c r="O635" s="41">
        <v>16.3</v>
      </c>
      <c r="P635" s="41"/>
      <c r="Q635" s="208" cm="1">
        <f t="array" ref="Q635">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16.3</v>
      </c>
      <c r="R635" s="237" cm="1">
        <f t="array" ref="R63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16.334510000000002</v>
      </c>
      <c r="S635" s="238" cm="1">
        <f t="array" ref="S63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16.297930000000001</v>
      </c>
      <c r="T635" s="238" cm="1">
        <f t="array" ref="T63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-7.7020699999999991</v>
      </c>
      <c r="U635" s="41" t="str" cm="1">
        <f t="array" ref="U63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0.00207)</v>
      </c>
      <c r="V635" s="22"/>
      <c r="W635" s="5"/>
    </row>
    <row r="636" spans="10:23" x14ac:dyDescent="0.15">
      <c r="J636" s="190" t="s">
        <v>260</v>
      </c>
      <c r="K636" s="191" t="s">
        <v>43</v>
      </c>
      <c r="L636" s="208">
        <v>243</v>
      </c>
      <c r="M636" s="237">
        <f>_xlfn.LET(
  _xlpm.analyte, SensorLab[[#This Row],[Analyte]],
  _xlpm.raw, N(SensorLab[[#This Row],[Raw_Value]]),
  _xlpm.scaleF, IFERROR(
    _xlfn.XLOOKUP(_xlpm.analyte, CalibrationCoefficients[Analyte], CalibrationCoefficients[ScaleFactor]),
    1
  ),
  IF(AND(_xlpm.analyte&lt;&gt;"", ISNUMBER(_xlpm.raw)), _xlpm.raw * _xlpm.scaleF, "NA")
)</f>
        <v>24.3</v>
      </c>
      <c r="N636" s="41"/>
      <c r="O636" s="41">
        <v>24.3</v>
      </c>
      <c r="P636" s="41"/>
      <c r="Q636" s="208" cm="1">
        <f t="array" ref="Q63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24.3</v>
      </c>
      <c r="R636" s="237" cm="1">
        <f t="array" ref="R63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24.286999999999999</v>
      </c>
      <c r="S636" s="238" cm="1">
        <f t="array" ref="S63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24.300409999999999</v>
      </c>
      <c r="T636" s="238" cm="1">
        <f t="array" ref="T63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-4.0999999999999999E-4</v>
      </c>
      <c r="U636" s="41" t="str" cm="1">
        <f t="array" ref="U63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24.30000 and 24.30000</v>
      </c>
      <c r="V636" s="22"/>
    </row>
    <row r="637" spans="10:23" x14ac:dyDescent="0.15">
      <c r="J637" s="190" t="s">
        <v>260</v>
      </c>
      <c r="K637" s="191" t="s">
        <v>45</v>
      </c>
      <c r="L637" s="208">
        <v>6.0340000000000003E-4</v>
      </c>
      <c r="M637" s="237">
        <f>_xlfn.LET(
  _xlpm.analyte, SensorLab[[#This Row],[Analyte]],
  _xlpm.raw, N(SensorLab[[#This Row],[Raw_Value]]),
  _xlpm.scaleF, IFERROR(
    _xlfn.XLOOKUP(_xlpm.analyte, CalibrationCoefficients[Analyte], CalibrationCoefficients[ScaleFactor]),
    1
  ),
  IF(AND(_xlpm.analyte&lt;&gt;"", ISNUMBER(_xlpm.raw)), _xlpm.raw * _xlpm.scaleF, "NA")
)</f>
        <v>6.0340000000000003E-4</v>
      </c>
      <c r="N637" s="41"/>
      <c r="O637" s="41">
        <v>1</v>
      </c>
      <c r="P637" s="41"/>
      <c r="Q637" s="208" cm="1">
        <f t="array" ref="Q637">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v>
      </c>
      <c r="R637" s="237" cm="1">
        <f t="array" ref="R63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0.61068999999999996</v>
      </c>
      <c r="S637" s="238" cm="1">
        <f t="array" ref="S63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0.60658999999999996</v>
      </c>
      <c r="T637" s="238" cm="1">
        <f t="array" ref="T63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0.39340999999999998</v>
      </c>
      <c r="U637" s="41" t="str" cm="1">
        <f t="array" ref="U63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0.73838 and 1.26162</v>
      </c>
      <c r="V637" s="22"/>
    </row>
    <row r="638" spans="10:23" x14ac:dyDescent="0.15">
      <c r="J638" s="190" t="s">
        <v>260</v>
      </c>
      <c r="K638" s="127" t="s">
        <v>0</v>
      </c>
      <c r="L638" s="208">
        <v>50.65</v>
      </c>
      <c r="M638" s="237">
        <f>_xlfn.LET(
  _xlpm.analyte, SensorLab[[#This Row],[Analyte]],
  _xlpm.raw, N(SensorLab[[#This Row],[Raw_Value]]),
  _xlpm.scaleF, IFERROR(
    _xlfn.XLOOKUP(_xlpm.analyte, CalibrationCoefficients[Analyte], CalibrationCoefficients[ScaleFactor]),
    1
  ),
  IF(AND(_xlpm.analyte&lt;&gt;"", ISNUMBER(_xlpm.raw)), _xlpm.raw * _xlpm.scaleF, "NA")
)</f>
        <v>50.65</v>
      </c>
      <c r="N638" s="41"/>
      <c r="O638" s="41">
        <v>60</v>
      </c>
      <c r="P638" s="41"/>
      <c r="Q638" s="208" cm="1">
        <f t="array" ref="Q63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60</v>
      </c>
      <c r="R638" s="237" cm="1">
        <f t="array" ref="R63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60</v>
      </c>
      <c r="S638" s="238" cm="1">
        <f t="array" ref="S63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60</v>
      </c>
      <c r="T638" s="238" cm="1">
        <f t="array" ref="T63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638" s="41" t="str" cm="1">
        <f t="array" ref="U63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60.00000 and 53.95268</v>
      </c>
      <c r="V638" s="22"/>
    </row>
    <row r="639" spans="10:23" x14ac:dyDescent="0.15">
      <c r="J639" s="190" t="s">
        <v>260</v>
      </c>
      <c r="K639" s="127" t="s">
        <v>5</v>
      </c>
      <c r="L639" s="208">
        <v>34.159999999999997</v>
      </c>
      <c r="M639" s="237">
        <f>_xlfn.LET(
  _xlpm.analyte, SensorLab[[#This Row],[Analyte]],
  _xlpm.raw, N(SensorLab[[#This Row],[Raw_Value]]),
  _xlpm.scaleF, IFERROR(
    _xlfn.XLOOKUP(_xlpm.analyte, CalibrationCoefficients[Analyte], CalibrationCoefficients[ScaleFactor]),
    1
  ),
  IF(AND(_xlpm.analyte&lt;&gt;"", ISNUMBER(_xlpm.raw)), _xlpm.raw * _xlpm.scaleF, "NA")
)</f>
        <v>34.159999999999997</v>
      </c>
      <c r="N639" s="41"/>
      <c r="O639" s="41">
        <v>27.5</v>
      </c>
      <c r="P639" s="41"/>
      <c r="Q639" s="208" cm="1">
        <f t="array" ref="Q639">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27.5</v>
      </c>
      <c r="R639" s="237" cm="1">
        <f t="array" ref="R63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27.5</v>
      </c>
      <c r="S639" s="238" cm="1">
        <f t="array" ref="S63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27.5</v>
      </c>
      <c r="T639" s="238" cm="1">
        <f t="array" ref="T63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639" s="41" t="str" cm="1">
        <f t="array" ref="U63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31.79767 and 27.50000</v>
      </c>
      <c r="V639" s="22"/>
    </row>
    <row r="640" spans="10:23" x14ac:dyDescent="0.15">
      <c r="J640" s="190" t="s">
        <v>260</v>
      </c>
      <c r="K640" s="127" t="s">
        <v>6</v>
      </c>
      <c r="L640" s="208">
        <v>15.19</v>
      </c>
      <c r="M640" s="237">
        <f>_xlfn.LET(
  _xlpm.analyte, SensorLab[[#This Row],[Analyte]],
  _xlpm.raw, N(SensorLab[[#This Row],[Raw_Value]]),
  _xlpm.scaleF, IFERROR(
    _xlfn.XLOOKUP(_xlpm.analyte, CalibrationCoefficients[Analyte], CalibrationCoefficients[ScaleFactor]),
    1
  ),
  IF(AND(_xlpm.analyte&lt;&gt;"", ISNUMBER(_xlpm.raw)), _xlpm.raw * _xlpm.scaleF, "NA")
)</f>
        <v>15.19</v>
      </c>
      <c r="N640" s="41"/>
      <c r="O640" s="41">
        <v>12.5</v>
      </c>
      <c r="P640" s="41"/>
      <c r="Q640" s="208" cm="1">
        <f t="array" ref="Q64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12.5</v>
      </c>
      <c r="R640" s="237" cm="1">
        <f t="array" ref="R64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12.5</v>
      </c>
      <c r="S640" s="238" cm="1">
        <f t="array" ref="S64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12.5</v>
      </c>
      <c r="T640" s="238" cm="1">
        <f t="array" ref="T64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640" s="41" t="str" cm="1">
        <f t="array" ref="U64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640" s="22"/>
    </row>
    <row r="641" spans="10:22" ht="11.25" thickBot="1" x14ac:dyDescent="0.2">
      <c r="J641" s="192" t="s">
        <v>260</v>
      </c>
      <c r="K641" s="193" t="s">
        <v>69</v>
      </c>
      <c r="L641" s="255" t="str" cm="1">
        <f t="array" ref="L641">_xlfn.LET(
  _xlpm.bs,L638, _xlpm.si,L639, _xlpm.c,L640,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M641" s="256" t="str" cm="1">
        <f t="array" ref="M641">_xlfn.LET(
  _xlpm.bs,M638, _xlpm.si,M639, _xlpm.c,M640,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N641" s="245" t="str" cm="1">
        <f t="array" ref="N641">_xlfn.LET(
  _xlpm.bs,N638, _xlpm.si,N639, _xlpm.c,N640,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641" s="245" t="str" cm="1">
        <f t="array" ref="O641">_xlfn.LET(
  _xlpm.bs,O638, _xlpm.si,O639, _xlpm.c,O640,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P641" s="245" t="str" cm="1">
        <f t="array" ref="P641">_xlfn.LET(
  _xlpm.bs,P638, _xlpm.si,P639, _xlpm.c,P640,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641" s="255" t="str" cm="1">
        <f t="array" ref="Q641">_xlfn.LET(
  _xlpm.bs,Q638, _xlpm.si,Q639, _xlpm.c,Q640,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R641" s="256" t="str" cm="1">
        <f t="array" ref="R641">_xlfn.LET(
  _xlpm.bs,R638, _xlpm.si,R639, _xlpm.c,R640,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S641" s="256" t="str" cm="1">
        <f t="array" ref="S641">_xlfn.LET(
  _xlpm.bs,S638, _xlpm.si,S639, _xlpm.c,S640,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T641" s="240" cm="1">
        <f t="array" ref="T64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641" s="229" t="str" cm="1">
        <f t="array" ref="U64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(Texture match: Sandy Loam)</v>
      </c>
      <c r="V641" s="22"/>
    </row>
    <row r="642" spans="10:22" x14ac:dyDescent="0.15">
      <c r="J642" s="190" t="s">
        <v>261</v>
      </c>
      <c r="K642" s="127" t="s">
        <v>39</v>
      </c>
      <c r="L642" s="208">
        <v>0</v>
      </c>
      <c r="M642"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642" s="41"/>
      <c r="O642" s="41">
        <v>2</v>
      </c>
      <c r="P642" s="41"/>
      <c r="Q642" s="207" cm="1">
        <f t="array" ref="Q64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v>
      </c>
      <c r="R642" s="239" cm="1">
        <f t="array" ref="R64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0.44663000000000003</v>
      </c>
      <c r="S642" s="241" cm="1">
        <f t="array" ref="S64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v>
      </c>
      <c r="T642" s="241" cm="1">
        <f t="array" ref="T64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-4</v>
      </c>
      <c r="U642" s="41" t="str" cm="1">
        <f t="array" ref="U64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1.17402 and 0.44663</v>
      </c>
      <c r="V642" s="22"/>
    </row>
    <row r="643" spans="10:22" x14ac:dyDescent="0.15">
      <c r="J643" s="190" t="s">
        <v>261</v>
      </c>
      <c r="K643" s="191" t="s">
        <v>40</v>
      </c>
      <c r="L643" s="208">
        <v>3</v>
      </c>
      <c r="M643" s="237">
        <f>_xlfn.LET(
  _xlpm.analyte, SensorLab[[#This Row],[Analyte]],
  _xlpm.raw, N(SensorLab[[#This Row],[Raw_Value]]),
  _xlpm.scaleF, IFERROR(
    _xlfn.XLOOKUP(_xlpm.analyte, CalibrationCoefficients[Analyte], CalibrationCoefficients[ScaleFactor]),
    1
  ),
  IF(AND(_xlpm.analyte&lt;&gt;"", ISNUMBER(_xlpm.raw)), _xlpm.raw * _xlpm.scaleF, "NA")
)</f>
        <v>3</v>
      </c>
      <c r="N643" s="41"/>
      <c r="O643" s="41">
        <v>4.9000000000000004</v>
      </c>
      <c r="P643" s="41"/>
      <c r="Q643" s="208" cm="1">
        <f t="array" ref="Q643">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4.9000000000000004</v>
      </c>
      <c r="R643" s="237" cm="1">
        <f t="array" ref="R64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5.3891</v>
      </c>
      <c r="S643" s="238" cm="1">
        <f t="array" ref="S64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4.1990699999999999</v>
      </c>
      <c r="T643" s="238" cm="1">
        <f t="array" ref="T64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0.70093000000000005</v>
      </c>
      <c r="U643" s="41" t="str" cm="1">
        <f t="array" ref="U64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5.75026 and 6.87026</v>
      </c>
      <c r="V643" s="22"/>
    </row>
    <row r="644" spans="10:22" x14ac:dyDescent="0.15">
      <c r="J644" s="190" t="s">
        <v>261</v>
      </c>
      <c r="K644" s="191" t="s">
        <v>41</v>
      </c>
      <c r="L644" s="208">
        <v>0</v>
      </c>
      <c r="M644"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644" s="41"/>
      <c r="O644" s="41">
        <v>69</v>
      </c>
      <c r="P644" s="41"/>
      <c r="Q644" s="208" cm="1">
        <f t="array" ref="Q64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69</v>
      </c>
      <c r="R644" s="237" cm="1">
        <f t="array" ref="R64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111.50391999999999</v>
      </c>
      <c r="S644" s="238" cm="1">
        <f t="array" ref="S64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97.80395</v>
      </c>
      <c r="T644" s="238" cm="1">
        <f t="array" ref="T64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-28.80395</v>
      </c>
      <c r="U644" s="41" t="str" cm="1">
        <f t="array" ref="U64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107.71054 and 92.04267</v>
      </c>
      <c r="V644" s="22"/>
    </row>
    <row r="645" spans="10:22" x14ac:dyDescent="0.15">
      <c r="J645" s="190" t="s">
        <v>261</v>
      </c>
      <c r="K645" s="127" t="s">
        <v>52</v>
      </c>
      <c r="L645" s="208">
        <v>96</v>
      </c>
      <c r="M645" s="237">
        <f>_xlfn.LET(
  _xlpm.analyte, SensorLab[[#This Row],[Analyte]],
  _xlpm.raw, N(SensorLab[[#This Row],[Raw_Value]]),
  _xlpm.scaleF, IFERROR(
    _xlfn.XLOOKUP(_xlpm.analyte, CalibrationCoefficients[Analyte], CalibrationCoefficients[ScaleFactor]),
    1
  ),
  IF(AND(_xlpm.analyte&lt;&gt;"", ISNUMBER(_xlpm.raw)), _xlpm.raw * _xlpm.scaleF, "NA")
)</f>
        <v>9.6000000000000002E-2</v>
      </c>
      <c r="N645" s="41"/>
      <c r="O645" s="41">
        <v>1.1100000000000001</v>
      </c>
      <c r="P645" s="41"/>
      <c r="Q645" s="208" cm="1">
        <f t="array" ref="Q645">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1.1100000000000001</v>
      </c>
      <c r="R645" s="237" cm="1">
        <f t="array" ref="R64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0.97863999999999995</v>
      </c>
      <c r="S645" s="238" cm="1">
        <f t="array" ref="S64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0.94640999999999997</v>
      </c>
      <c r="T645" s="238" cm="1">
        <f t="array" ref="T64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0.16359000000000001</v>
      </c>
      <c r="U645" s="41" t="str" cm="1">
        <f t="array" ref="U64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0.99381 and 1.09381</v>
      </c>
      <c r="V645" s="22"/>
    </row>
    <row r="646" spans="10:22" x14ac:dyDescent="0.15">
      <c r="J646" s="190" t="s">
        <v>261</v>
      </c>
      <c r="K646" s="127" t="s">
        <v>34</v>
      </c>
      <c r="L646" s="208">
        <v>79</v>
      </c>
      <c r="M646" s="237">
        <f>_xlfn.LET(
  _xlpm.analyte, SensorLab[[#This Row],[Analyte]],
  _xlpm.raw, N(SensorLab[[#This Row],[Raw_Value]]),
  _xlpm.scaleF, IFERROR(
    _xlfn.XLOOKUP(_xlpm.analyte, CalibrationCoefficients[Analyte], CalibrationCoefficients[ScaleFactor]),
    1
  ),
  IF(AND(_xlpm.analyte&lt;&gt;"", ISNUMBER(_xlpm.raw)), _xlpm.raw * _xlpm.scaleF, "NA")
)</f>
        <v>7.9</v>
      </c>
      <c r="N646" s="41"/>
      <c r="O646" s="41">
        <v>8.33</v>
      </c>
      <c r="P646" s="41"/>
      <c r="Q646" s="208" cm="1">
        <f t="array" ref="Q64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8.33</v>
      </c>
      <c r="R646" s="237" cm="1">
        <f t="array" ref="R64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7.8626399999999999</v>
      </c>
      <c r="S646" s="238" cm="1">
        <f t="array" ref="S64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7.8297299999999996</v>
      </c>
      <c r="T646" s="238" cm="1">
        <f t="array" ref="T64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0.50026999999999999</v>
      </c>
      <c r="U646" s="41" t="str" cm="1">
        <f t="array" ref="U64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8.00726 and 7.97214</v>
      </c>
      <c r="V646" s="22"/>
    </row>
    <row r="647" spans="10:22" x14ac:dyDescent="0.15">
      <c r="J647" s="190" t="s">
        <v>261</v>
      </c>
      <c r="K647" s="127" t="s">
        <v>90</v>
      </c>
      <c r="L647" s="208">
        <v>199</v>
      </c>
      <c r="M647" s="237">
        <f>_xlfn.LET(
  _xlpm.analyte, SensorLab[[#This Row],[Analyte]],
  _xlpm.raw, N(SensorLab[[#This Row],[Raw_Value]]),
  _xlpm.scaleF, IFERROR(
    _xlfn.XLOOKUP(_xlpm.analyte, CalibrationCoefficients[Analyte], CalibrationCoefficients[ScaleFactor]),
    1
  ),
  IF(AND(_xlpm.analyte&lt;&gt;"", ISNUMBER(_xlpm.raw)), _xlpm.raw * _xlpm.scaleF, "NA")
)</f>
        <v>19.900000000000002</v>
      </c>
      <c r="N647" s="41"/>
      <c r="O647" s="41">
        <v>19.899999999999999</v>
      </c>
      <c r="P647" s="41"/>
      <c r="Q647" s="208" cm="1">
        <f t="array" ref="Q647">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19.899999999999999</v>
      </c>
      <c r="R647" s="237" cm="1">
        <f t="array" ref="R64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20.008870000000002</v>
      </c>
      <c r="S647" s="238" cm="1">
        <f t="array" ref="S64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19.972290000000001</v>
      </c>
      <c r="T647" s="238" cm="1">
        <f t="array" ref="T64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-4.027709999999999</v>
      </c>
      <c r="U647" s="41" t="str" cm="1">
        <f t="array" ref="U64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19.85269 and 19.94731</v>
      </c>
      <c r="V647" s="22"/>
    </row>
    <row r="648" spans="10:22" x14ac:dyDescent="0.15">
      <c r="J648" s="190" t="s">
        <v>261</v>
      </c>
      <c r="K648" s="191" t="s">
        <v>43</v>
      </c>
      <c r="L648" s="208">
        <v>223</v>
      </c>
      <c r="M648" s="237">
        <f>_xlfn.LET(
  _xlpm.analyte, SensorLab[[#This Row],[Analyte]],
  _xlpm.raw, N(SensorLab[[#This Row],[Raw_Value]]),
  _xlpm.scaleF, IFERROR(
    _xlfn.XLOOKUP(_xlpm.analyte, CalibrationCoefficients[Analyte], CalibrationCoefficients[ScaleFactor]),
    1
  ),
  IF(AND(_xlpm.analyte&lt;&gt;"", ISNUMBER(_xlpm.raw)), _xlpm.raw * _xlpm.scaleF, "NA")
)</f>
        <v>22.3</v>
      </c>
      <c r="N648" s="41"/>
      <c r="O648" s="41">
        <v>22.3</v>
      </c>
      <c r="P648" s="41"/>
      <c r="Q648" s="208" cm="1">
        <f t="array" ref="Q64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22.3</v>
      </c>
      <c r="R648" s="237" cm="1">
        <f t="array" ref="R64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22.286490000000001</v>
      </c>
      <c r="S648" s="238" cm="1">
        <f t="array" ref="S64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22.299900000000001</v>
      </c>
      <c r="T648" s="238" cm="1">
        <f t="array" ref="T64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1E-4</v>
      </c>
      <c r="U648" s="41" t="str" cm="1">
        <f t="array" ref="U64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22.30000 and 22.30000</v>
      </c>
      <c r="V648" s="22"/>
    </row>
    <row r="649" spans="10:22" x14ac:dyDescent="0.15">
      <c r="J649" s="190" t="s">
        <v>261</v>
      </c>
      <c r="K649" s="191" t="s">
        <v>45</v>
      </c>
      <c r="L649" s="208">
        <v>5.1999999999999995E-4</v>
      </c>
      <c r="M649" s="237">
        <f>_xlfn.LET(
  _xlpm.analyte, SensorLab[[#This Row],[Analyte]],
  _xlpm.raw, N(SensorLab[[#This Row],[Raw_Value]]),
  _xlpm.scaleF, IFERROR(
    _xlfn.XLOOKUP(_xlpm.analyte, CalibrationCoefficients[Analyte], CalibrationCoefficients[ScaleFactor]),
    1
  ),
  IF(AND(_xlpm.analyte&lt;&gt;"", ISNUMBER(_xlpm.raw)), _xlpm.raw * _xlpm.scaleF, "NA")
)</f>
        <v>5.1999999999999995E-4</v>
      </c>
      <c r="N649" s="41"/>
      <c r="O649" s="41">
        <v>0.71</v>
      </c>
      <c r="P649" s="41"/>
      <c r="Q649" s="208" cm="1">
        <f t="array" ref="Q649">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0.71</v>
      </c>
      <c r="R649" s="237" cm="1">
        <f t="array" ref="R64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0.60409999999999997</v>
      </c>
      <c r="S649" s="238" cm="1">
        <f t="array" ref="S64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0.6</v>
      </c>
      <c r="T649" s="238" cm="1">
        <f t="array" ref="T64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0.11</v>
      </c>
      <c r="U649" s="41" t="str" cm="1">
        <f t="array" ref="U64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0.11000)</v>
      </c>
      <c r="V649" s="22"/>
    </row>
    <row r="650" spans="10:22" x14ac:dyDescent="0.15">
      <c r="J650" s="190" t="s">
        <v>261</v>
      </c>
      <c r="K650" s="127" t="s">
        <v>0</v>
      </c>
      <c r="L650" s="208">
        <v>50.19</v>
      </c>
      <c r="M650" s="237">
        <f>_xlfn.LET(
  _xlpm.analyte, SensorLab[[#This Row],[Analyte]],
  _xlpm.raw, N(SensorLab[[#This Row],[Raw_Value]]),
  _xlpm.scaleF, IFERROR(
    _xlfn.XLOOKUP(_xlpm.analyte, CalibrationCoefficients[Analyte], CalibrationCoefficients[ScaleFactor]),
    1
  ),
  IF(AND(_xlpm.analyte&lt;&gt;"", ISNUMBER(_xlpm.raw)), _xlpm.raw * _xlpm.scaleF, "NA")
)</f>
        <v>50.19</v>
      </c>
      <c r="N650" s="41"/>
      <c r="O650" s="41">
        <v>60</v>
      </c>
      <c r="P650" s="41"/>
      <c r="Q650" s="208" cm="1">
        <f t="array" ref="Q65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60</v>
      </c>
      <c r="R650" s="237" cm="1">
        <f t="array" ref="R65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60</v>
      </c>
      <c r="S650" s="238" cm="1">
        <f t="array" ref="S65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60</v>
      </c>
      <c r="T650" s="238" cm="1">
        <f t="array" ref="T65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650" s="41" t="str" cm="1">
        <f t="array" ref="U65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60.00000 and 54.04100</v>
      </c>
      <c r="V650" s="22"/>
    </row>
    <row r="651" spans="10:22" x14ac:dyDescent="0.15">
      <c r="J651" s="190" t="s">
        <v>261</v>
      </c>
      <c r="K651" s="127" t="s">
        <v>5</v>
      </c>
      <c r="L651" s="208">
        <v>34.4</v>
      </c>
      <c r="M651" s="237">
        <f>_xlfn.LET(
  _xlpm.analyte, SensorLab[[#This Row],[Analyte]],
  _xlpm.raw, N(SensorLab[[#This Row],[Raw_Value]]),
  _xlpm.scaleF, IFERROR(
    _xlfn.XLOOKUP(_xlpm.analyte, CalibrationCoefficients[Analyte], CalibrationCoefficients[ScaleFactor]),
    1
  ),
  IF(AND(_xlpm.analyte&lt;&gt;"", ISNUMBER(_xlpm.raw)), _xlpm.raw * _xlpm.scaleF, "NA")
)</f>
        <v>34.4</v>
      </c>
      <c r="N651" s="41"/>
      <c r="O651" s="41">
        <v>27.5</v>
      </c>
      <c r="P651" s="41"/>
      <c r="Q651" s="208" cm="1">
        <f t="array" ref="Q651">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27.5</v>
      </c>
      <c r="R651" s="237" cm="1">
        <f t="array" ref="R65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27.5</v>
      </c>
      <c r="S651" s="238" cm="1">
        <f t="array" ref="S65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27.5</v>
      </c>
      <c r="T651" s="238" cm="1">
        <f t="array" ref="T65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651" s="41" t="str" cm="1">
        <f t="array" ref="U65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31.74983 and 27.50000</v>
      </c>
      <c r="V651" s="22"/>
    </row>
    <row r="652" spans="10:22" x14ac:dyDescent="0.15">
      <c r="J652" s="190" t="s">
        <v>261</v>
      </c>
      <c r="K652" s="127" t="s">
        <v>6</v>
      </c>
      <c r="L652" s="208">
        <v>15.41</v>
      </c>
      <c r="M652" s="237">
        <f>_xlfn.LET(
  _xlpm.analyte, SensorLab[[#This Row],[Analyte]],
  _xlpm.raw, N(SensorLab[[#This Row],[Raw_Value]]),
  _xlpm.scaleF, IFERROR(
    _xlfn.XLOOKUP(_xlpm.analyte, CalibrationCoefficients[Analyte], CalibrationCoefficients[ScaleFactor]),
    1
  ),
  IF(AND(_xlpm.analyte&lt;&gt;"", ISNUMBER(_xlpm.raw)), _xlpm.raw * _xlpm.scaleF, "NA")
)</f>
        <v>15.41</v>
      </c>
      <c r="N652" s="41"/>
      <c r="O652" s="41">
        <v>12.5</v>
      </c>
      <c r="P652" s="41"/>
      <c r="Q652" s="208" cm="1">
        <f t="array" ref="Q65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12.5</v>
      </c>
      <c r="R652" s="237" cm="1">
        <f t="array" ref="R65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12.5</v>
      </c>
      <c r="S652" s="238" cm="1">
        <f t="array" ref="S65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12.5</v>
      </c>
      <c r="T652" s="238" cm="1">
        <f t="array" ref="T65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652" s="41" t="str" cm="1">
        <f t="array" ref="U65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652" s="22"/>
    </row>
    <row r="653" spans="10:22" ht="11.25" thickBot="1" x14ac:dyDescent="0.2">
      <c r="J653" s="192" t="s">
        <v>261</v>
      </c>
      <c r="K653" s="193" t="s">
        <v>69</v>
      </c>
      <c r="L653" s="255" t="str" cm="1">
        <f t="array" ref="L653">_xlfn.LET(
  _xlpm.bs,L650, _xlpm.si,L651, _xlpm.c,L652,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M653" s="256" t="str" cm="1">
        <f t="array" ref="M653">_xlfn.LET(
  _xlpm.bs,M650, _xlpm.si,M651, _xlpm.c,M652,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N653" s="245" t="str" cm="1">
        <f t="array" ref="N653">_xlfn.LET(
  _xlpm.bs,N650, _xlpm.si,N651, _xlpm.c,N652,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653" s="245" t="str" cm="1">
        <f t="array" ref="O653">_xlfn.LET(
  _xlpm.bs,O650, _xlpm.si,O651, _xlpm.c,O652,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P653" s="245" t="str" cm="1">
        <f t="array" ref="P653">_xlfn.LET(
  _xlpm.bs,P650, _xlpm.si,P651, _xlpm.c,P652,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653" s="255" t="str" cm="1">
        <f t="array" ref="Q653">_xlfn.LET(
  _xlpm.bs,Q650, _xlpm.si,Q651, _xlpm.c,Q652,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R653" s="256" t="str" cm="1">
        <f t="array" ref="R653">_xlfn.LET(
  _xlpm.bs,R650, _xlpm.si,R651, _xlpm.c,R652,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S653" s="256" t="str" cm="1">
        <f t="array" ref="S653">_xlfn.LET(
  _xlpm.bs,S650, _xlpm.si,S651, _xlpm.c,S652,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T653" s="240" cm="1">
        <f t="array" ref="T65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653" s="229" t="str" cm="1">
        <f t="array" ref="U65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(Texture match: Sandy Loam)</v>
      </c>
      <c r="V653" s="22"/>
    </row>
    <row r="654" spans="10:22" x14ac:dyDescent="0.15">
      <c r="J654" s="190" t="s">
        <v>265</v>
      </c>
      <c r="K654" s="127" t="s">
        <v>39</v>
      </c>
      <c r="L654" s="208">
        <v>0</v>
      </c>
      <c r="M654"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654" s="41"/>
      <c r="O654" s="41"/>
      <c r="P654" s="41"/>
      <c r="Q654" s="208" t="str">
        <f>_xlfn.LET(
  _xlpm.tRaw, SensorLab[[#This Row],[Tarnab_Lab]],
  _xlpm.bRaw, SensorLab[[#This Row],[Bari_Lab]],
  _xlpm.mRaw, SensorLab[[#This Row],[ManuChar_Lab]],
  _xlpm.tIsNum, ISNUMBER(_xlpm.tRaw),
  _xlpm.bIsNum, ISNUMBER(_xlpm.bRaw),
  _xlpm.mIsNum, ISNUMBER(_xlpm.mRaw),
  _xlpm.t, IF(_xlpm.tIsNum, _xlpm.tRaw, ""),
  _xlpm.b, IF(_xlpm.bIsNum, _xlpm.bRaw, ""),
  _xlpm.m, IF(_xlpm.mIsNum, _xlpm.mRaw, ""),
  _xlpm.c, (--_xlpm.tIsNum) + (--_xlpm.bIsNum) + (--_xlpm.mIsNum),
  _xlpm.sumVals, IF(_xlpm.tIsNum, _xlpm.tRaw, 0) + IF(_xlpm.bIsNum, _xlpm.bRaw, 0) + IF(_xlpm.mIsNum, _xlpm.mRaw, 0),
  _xlpm.result,
    IF(_xlpm.c = 0, "",
      IF(_xlpm.c = 1,
         IF(_xlpm.tIsNum, _xlpm.t, IF(_xlpm.bIsNum, _xlpm.b, _xlpm.m)),
      IF(_xlpm.c = 2,
         _xlpm.sumVals / 2,
         MEDIAN(_xlpm.t, _xlpm.b, _xlpm.m)
      ))),
  _xlpm.result
)</f>
        <v/>
      </c>
      <c r="R654" s="239" cm="1">
        <f t="array" ref="R65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0.44663000000000003</v>
      </c>
      <c r="S654" s="241" cm="1">
        <f t="array" ref="S65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v>
      </c>
      <c r="T654" s="241" cm="1">
        <f t="array" ref="T65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-6</v>
      </c>
      <c r="U654" s="41" t="str" cm="1">
        <f t="array" ref="U65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0.44663 and 0.00000</v>
      </c>
      <c r="V654" s="22"/>
    </row>
    <row r="655" spans="10:22" x14ac:dyDescent="0.15">
      <c r="J655" s="190" t="s">
        <v>265</v>
      </c>
      <c r="K655" s="191" t="s">
        <v>40</v>
      </c>
      <c r="L655" s="208">
        <v>0</v>
      </c>
      <c r="M655"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655" s="41"/>
      <c r="O655" s="41"/>
      <c r="P655" s="41"/>
      <c r="Q655" s="208" t="str">
        <f>_xlfn.LET(
  _xlpm.tRaw, SensorLab[[#This Row],[Tarnab_Lab]],
  _xlpm.bRaw, SensorLab[[#This Row],[Bari_Lab]],
  _xlpm.mRaw, SensorLab[[#This Row],[ManuChar_Lab]],
  _xlpm.tIsNum, ISNUMBER(_xlpm.tRaw),
  _xlpm.bIsNum, ISNUMBER(_xlpm.bRaw),
  _xlpm.mIsNum, ISNUMBER(_xlpm.mRaw),
  _xlpm.t, IF(_xlpm.tIsNum, _xlpm.tRaw, ""),
  _xlpm.b, IF(_xlpm.bIsNum, _xlpm.bRaw, ""),
  _xlpm.m, IF(_xlpm.mIsNum, _xlpm.mRaw, ""),
  _xlpm.c, (--_xlpm.tIsNum) + (--_xlpm.bIsNum) + (--_xlpm.mIsNum),
  _xlpm.sumVals, IF(_xlpm.tIsNum, _xlpm.tRaw, 0) + IF(_xlpm.bIsNum, _xlpm.bRaw, 0) + IF(_xlpm.mIsNum, _xlpm.mRaw, 0),
  _xlpm.result,
    IF(_xlpm.c = 0, "",
      IF(_xlpm.c = 1,
         IF(_xlpm.tIsNum, _xlpm.t, IF(_xlpm.bIsNum, _xlpm.b, _xlpm.m)),
      IF(_xlpm.c = 2,
         _xlpm.sumVals / 2,
         MEDIAN(_xlpm.t, _xlpm.b, _xlpm.m)
      ))),
  _xlpm.result
)</f>
        <v/>
      </c>
      <c r="R655" s="237" cm="1">
        <f t="array" ref="R65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5.3140400000000003</v>
      </c>
      <c r="S655" s="238" cm="1">
        <f t="array" ref="S65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4.1240100000000002</v>
      </c>
      <c r="T655" s="238" cm="1">
        <f t="array" ref="T65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-0.87598999999999982</v>
      </c>
      <c r="U655" s="41" t="str" cm="1">
        <f t="array" ref="U65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5.70934 and 0.00000</v>
      </c>
      <c r="V655" s="22"/>
    </row>
    <row r="656" spans="10:22" x14ac:dyDescent="0.15">
      <c r="J656" s="190" t="s">
        <v>265</v>
      </c>
      <c r="K656" s="191" t="s">
        <v>41</v>
      </c>
      <c r="L656" s="208">
        <v>0</v>
      </c>
      <c r="M656"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656" s="41"/>
      <c r="O656" s="41"/>
      <c r="P656" s="41"/>
      <c r="Q656" s="208" t="str">
        <f>_xlfn.LET(
  _xlpm.tRaw, SensorLab[[#This Row],[Tarnab_Lab]],
  _xlpm.bRaw, SensorLab[[#This Row],[Bari_Lab]],
  _xlpm.mRaw, SensorLab[[#This Row],[ManuChar_Lab]],
  _xlpm.tIsNum, ISNUMBER(_xlpm.tRaw),
  _xlpm.bIsNum, ISNUMBER(_xlpm.bRaw),
  _xlpm.mIsNum, ISNUMBER(_xlpm.mRaw),
  _xlpm.t, IF(_xlpm.tIsNum, _xlpm.tRaw, ""),
  _xlpm.b, IF(_xlpm.bIsNum, _xlpm.bRaw, ""),
  _xlpm.m, IF(_xlpm.mIsNum, _xlpm.mRaw, ""),
  _xlpm.c, (--_xlpm.tIsNum) + (--_xlpm.bIsNum) + (--_xlpm.mIsNum),
  _xlpm.sumVals, IF(_xlpm.tIsNum, _xlpm.tRaw, 0) + IF(_xlpm.bIsNum, _xlpm.bRaw, 0) + IF(_xlpm.mIsNum, _xlpm.mRaw, 0),
  _xlpm.result,
    IF(_xlpm.c = 0, "",
      IF(_xlpm.c = 1,
         IF(_xlpm.tIsNum, _xlpm.t, IF(_xlpm.bIsNum, _xlpm.b, _xlpm.m)),
      IF(_xlpm.c = 2,
         _xlpm.sumVals / 2,
         MEDIAN(_xlpm.t, _xlpm.b, _xlpm.m)
      ))),
  _xlpm.result
)</f>
        <v/>
      </c>
      <c r="R656" s="237" cm="1">
        <f t="array" ref="R65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111.50391999999999</v>
      </c>
      <c r="S656" s="238" cm="1">
        <f t="array" ref="S65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97.80395</v>
      </c>
      <c r="T656" s="238" cm="1">
        <f t="array" ref="T65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-97.80395</v>
      </c>
      <c r="U656" s="41" t="str" cm="1">
        <f t="array" ref="U65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107.71054 and 0.00000</v>
      </c>
      <c r="V656" s="22"/>
    </row>
    <row r="657" spans="10:23" x14ac:dyDescent="0.15">
      <c r="J657" s="190" t="s">
        <v>265</v>
      </c>
      <c r="K657" s="127" t="s">
        <v>52</v>
      </c>
      <c r="L657" s="208">
        <v>63</v>
      </c>
      <c r="M657" s="237">
        <f>_xlfn.LET(
  _xlpm.analyte, SensorLab[[#This Row],[Analyte]],
  _xlpm.raw, N(SensorLab[[#This Row],[Raw_Value]]),
  _xlpm.scaleF, IFERROR(
    _xlfn.XLOOKUP(_xlpm.analyte, CalibrationCoefficients[Analyte], CalibrationCoefficients[ScaleFactor]),
    1
  ),
  IF(AND(_xlpm.analyte&lt;&gt;"", ISNUMBER(_xlpm.raw)), _xlpm.raw * _xlpm.scaleF, "NA")
)</f>
        <v>6.3E-2</v>
      </c>
      <c r="N657" s="41"/>
      <c r="O657" s="41"/>
      <c r="P657" s="41"/>
      <c r="Q657" s="208"/>
      <c r="R657" s="237" cm="1">
        <f t="array" ref="R65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0.95701000000000003</v>
      </c>
      <c r="S657" s="238" cm="1">
        <f t="array" ref="S65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0.92478000000000005</v>
      </c>
      <c r="T657" s="238" cm="1">
        <f t="array" ref="T65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-0.92478000000000005</v>
      </c>
      <c r="U657" s="41" t="str" cm="1">
        <f t="array" ref="U65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0.98668 and 0.00000</v>
      </c>
      <c r="V657" s="22"/>
    </row>
    <row r="658" spans="10:23" x14ac:dyDescent="0.15">
      <c r="J658" s="190" t="s">
        <v>265</v>
      </c>
      <c r="K658" s="127" t="s">
        <v>34</v>
      </c>
      <c r="L658" s="208">
        <v>70</v>
      </c>
      <c r="M658" s="237">
        <f>_xlfn.LET(
  _xlpm.analyte, SensorLab[[#This Row],[Analyte]],
  _xlpm.raw, N(SensorLab[[#This Row],[Raw_Value]]),
  _xlpm.scaleF, IFERROR(
    _xlfn.XLOOKUP(_xlpm.analyte, CalibrationCoefficients[Analyte], CalibrationCoefficients[ScaleFactor]),
    1
  ),
  IF(AND(_xlpm.analyte&lt;&gt;"", ISNUMBER(_xlpm.raw)), _xlpm.raw * _xlpm.scaleF, "NA")
)</f>
        <v>7</v>
      </c>
      <c r="N658" s="41"/>
      <c r="O658" s="41"/>
      <c r="P658" s="41"/>
      <c r="Q658" s="208"/>
      <c r="R658" s="237" cm="1">
        <f t="array" ref="R65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7.9037699999999997</v>
      </c>
      <c r="S658" s="238" cm="1">
        <f t="array" ref="S65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7.8708600000000004</v>
      </c>
      <c r="T658" s="238" cm="1">
        <f t="array" ref="T65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-7.8708600000000004</v>
      </c>
      <c r="U658" s="41" t="str" cm="1">
        <f t="array" ref="U65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7.81845 and 0.00000</v>
      </c>
      <c r="V658" s="22"/>
      <c r="W658" s="5"/>
    </row>
    <row r="659" spans="10:23" x14ac:dyDescent="0.15">
      <c r="J659" s="190" t="s">
        <v>265</v>
      </c>
      <c r="K659" s="127" t="s">
        <v>90</v>
      </c>
      <c r="L659" s="208">
        <v>192</v>
      </c>
      <c r="M659" s="237">
        <f>_xlfn.LET(
  _xlpm.analyte, SensorLab[[#This Row],[Analyte]],
  _xlpm.raw, N(SensorLab[[#This Row],[Raw_Value]]),
  _xlpm.scaleF, IFERROR(
    _xlfn.XLOOKUP(_xlpm.analyte, CalibrationCoefficients[Analyte], CalibrationCoefficients[ScaleFactor]),
    1
  ),
  IF(AND(_xlpm.analyte&lt;&gt;"", ISNUMBER(_xlpm.raw)), _xlpm.raw * _xlpm.scaleF, "NA")
)</f>
        <v>19.200000000000003</v>
      </c>
      <c r="N659" s="41"/>
      <c r="O659" s="41"/>
      <c r="P659" s="41"/>
      <c r="Q659" s="208"/>
      <c r="R659" s="237" cm="1">
        <f t="array" ref="R65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19.294409999999999</v>
      </c>
      <c r="S659" s="238" cm="1">
        <f t="array" ref="S65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19.257829999999998</v>
      </c>
      <c r="T659" s="238" cm="1">
        <f t="array" ref="T65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-4.7421700000000016</v>
      </c>
      <c r="U659" s="41" t="str" cm="1">
        <f t="array" ref="U65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19.13000 and 0.00000</v>
      </c>
      <c r="V659" s="22"/>
      <c r="W659" s="5"/>
    </row>
    <row r="660" spans="10:23" x14ac:dyDescent="0.15">
      <c r="J660" s="190" t="s">
        <v>265</v>
      </c>
      <c r="K660" s="191" t="s">
        <v>43</v>
      </c>
      <c r="L660" s="208">
        <v>158</v>
      </c>
      <c r="M660" s="237">
        <f>_xlfn.LET(
  _xlpm.analyte, SensorLab[[#This Row],[Analyte]],
  _xlpm.raw, N(SensorLab[[#This Row],[Raw_Value]]),
  _xlpm.scaleF, IFERROR(
    _xlfn.XLOOKUP(_xlpm.analyte, CalibrationCoefficients[Analyte], CalibrationCoefficients[ScaleFactor]),
    1
  ),
  IF(AND(_xlpm.analyte&lt;&gt;"", ISNUMBER(_xlpm.raw)), _xlpm.raw * _xlpm.scaleF, "NA")
)</f>
        <v>15.8</v>
      </c>
      <c r="N660" s="41"/>
      <c r="O660" s="41"/>
      <c r="P660" s="41"/>
      <c r="Q660" s="208"/>
      <c r="R660" s="237" cm="1">
        <f t="array" ref="R66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15.78487</v>
      </c>
      <c r="S660" s="238" cm="1">
        <f t="array" ref="S66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15.79828</v>
      </c>
      <c r="T660" s="238" cm="1">
        <f t="array" ref="T66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-15.79828</v>
      </c>
      <c r="U660" s="41" t="str" cm="1">
        <f t="array" ref="U66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15.80000 and 0.00000</v>
      </c>
      <c r="V660" s="22"/>
    </row>
    <row r="661" spans="10:23" x14ac:dyDescent="0.15">
      <c r="J661" s="190" t="s">
        <v>265</v>
      </c>
      <c r="K661" s="191" t="s">
        <v>45</v>
      </c>
      <c r="L661" s="208">
        <v>5.1999999999999995E-4</v>
      </c>
      <c r="M661" s="237">
        <f>_xlfn.LET(
  _xlpm.analyte, SensorLab[[#This Row],[Analyte]],
  _xlpm.raw, N(SensorLab[[#This Row],[Raw_Value]]),
  _xlpm.scaleF, IFERROR(
    _xlfn.XLOOKUP(_xlpm.analyte, CalibrationCoefficients[Analyte], CalibrationCoefficients[ScaleFactor]),
    1
  ),
  IF(AND(_xlpm.analyte&lt;&gt;"", ISNUMBER(_xlpm.raw)), _xlpm.raw * _xlpm.scaleF, "NA")
)</f>
        <v>5.1999999999999995E-4</v>
      </c>
      <c r="N661" s="41"/>
      <c r="O661" s="41"/>
      <c r="P661" s="41"/>
      <c r="Q661" s="208"/>
      <c r="R661" s="237" cm="1">
        <f t="array" ref="R66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0.60409999999999997</v>
      </c>
      <c r="S661" s="238" cm="1">
        <f t="array" ref="S66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0.6</v>
      </c>
      <c r="T661" s="238" cm="1">
        <f t="array" ref="T66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-0.6</v>
      </c>
      <c r="U661" s="41" t="str" cm="1">
        <f t="array" ref="U66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0.00000 and 0.00000</v>
      </c>
      <c r="V661" s="22"/>
    </row>
    <row r="662" spans="10:23" x14ac:dyDescent="0.15">
      <c r="J662" s="190" t="s">
        <v>265</v>
      </c>
      <c r="K662" s="127" t="s">
        <v>0</v>
      </c>
      <c r="L662" s="208">
        <v>50.78</v>
      </c>
      <c r="M662" s="237">
        <f>_xlfn.LET(
  _xlpm.analyte, SensorLab[[#This Row],[Analyte]],
  _xlpm.raw, N(SensorLab[[#This Row],[Raw_Value]]),
  _xlpm.scaleF, IFERROR(
    _xlfn.XLOOKUP(_xlpm.analyte, CalibrationCoefficients[Analyte], CalibrationCoefficients[ScaleFactor]),
    1
  ),
  IF(AND(_xlpm.analyte&lt;&gt;"", ISNUMBER(_xlpm.raw)), _xlpm.raw * _xlpm.scaleF, "NA")
)</f>
        <v>50.78</v>
      </c>
      <c r="N662" s="41"/>
      <c r="O662" s="41"/>
      <c r="P662" s="41"/>
      <c r="Q662" s="208"/>
      <c r="R662" s="237" cm="1">
        <f t="array" ref="R66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662" s="238" cm="1">
        <f t="array" ref="S66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662" s="238" cm="1">
        <f t="array" ref="T66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-23</v>
      </c>
      <c r="U662" s="41" t="str" cm="1">
        <f t="array" ref="U66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14.82772 and 0.00000</v>
      </c>
      <c r="V662" s="22"/>
    </row>
    <row r="663" spans="10:23" x14ac:dyDescent="0.15">
      <c r="J663" s="190" t="s">
        <v>265</v>
      </c>
      <c r="K663" s="127" t="s">
        <v>5</v>
      </c>
      <c r="L663" s="208">
        <v>34.090000000000003</v>
      </c>
      <c r="M663" s="237">
        <f>_xlfn.LET(
  _xlpm.analyte, SensorLab[[#This Row],[Analyte]],
  _xlpm.raw, N(SensorLab[[#This Row],[Raw_Value]]),
  _xlpm.scaleF, IFERROR(
    _xlfn.XLOOKUP(_xlpm.analyte, CalibrationCoefficients[Analyte], CalibrationCoefficients[ScaleFactor]),
    1
  ),
  IF(AND(_xlpm.analyte&lt;&gt;"", ISNUMBER(_xlpm.raw)), _xlpm.raw * _xlpm.scaleF, "NA")
)</f>
        <v>34.090000000000003</v>
      </c>
      <c r="N663" s="41"/>
      <c r="O663" s="41"/>
      <c r="P663" s="41"/>
      <c r="Q663" s="208"/>
      <c r="R663" s="237" cm="1">
        <f t="array" ref="R66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663" s="238" cm="1">
        <f t="array" ref="S66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663" s="238" cm="1">
        <f t="array" ref="T66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-28</v>
      </c>
      <c r="U663" s="41" t="str" cm="1">
        <f t="array" ref="U66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31.81163 and 0.00000</v>
      </c>
      <c r="V663" s="22"/>
    </row>
    <row r="664" spans="10:23" x14ac:dyDescent="0.15">
      <c r="J664" s="190" t="s">
        <v>265</v>
      </c>
      <c r="K664" s="127" t="s">
        <v>6</v>
      </c>
      <c r="L664" s="208">
        <v>15.13</v>
      </c>
      <c r="M664" s="237">
        <f>_xlfn.LET(
  _xlpm.analyte, SensorLab[[#This Row],[Analyte]],
  _xlpm.raw, N(SensorLab[[#This Row],[Raw_Value]]),
  _xlpm.scaleF, IFERROR(
    _xlfn.XLOOKUP(_xlpm.analyte, CalibrationCoefficients[Analyte], CalibrationCoefficients[ScaleFactor]),
    1
  ),
  IF(AND(_xlpm.analyte&lt;&gt;"", ISNUMBER(_xlpm.raw)), _xlpm.raw * _xlpm.scaleF, "NA")
)</f>
        <v>15.13</v>
      </c>
      <c r="N664" s="41"/>
      <c r="O664" s="41"/>
      <c r="P664" s="41"/>
      <c r="Q664" s="208"/>
      <c r="R664" s="237" cm="1">
        <f t="array" ref="R66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664" s="238" cm="1">
        <f t="array" ref="S66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664" s="238" cm="1">
        <f t="array" ref="T66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v>
      </c>
      <c r="U664" s="41" t="str" cm="1">
        <f t="array" ref="U66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12.10554 and 0.00000</v>
      </c>
      <c r="V664" s="22"/>
    </row>
    <row r="665" spans="10:23" ht="11.25" thickBot="1" x14ac:dyDescent="0.2">
      <c r="J665" s="192" t="s">
        <v>265</v>
      </c>
      <c r="K665" s="193" t="s">
        <v>69</v>
      </c>
      <c r="L665" s="255" t="str" cm="1">
        <f t="array" ref="L665">_xlfn.LET(
  _xlpm.bs,L662, _xlpm.si,L663, _xlpm.c,L664,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M665" s="256" t="str" cm="1">
        <f t="array" ref="M665">_xlfn.LET(
  _xlpm.bs,M662, _xlpm.si,M663, _xlpm.c,M664,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N665" s="245" t="str" cm="1">
        <f t="array" ref="N665">_xlfn.LET(
  _xlpm.bs,N662, _xlpm.si,N663, _xlpm.c,N664,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665" s="245" t="str" cm="1">
        <f t="array" ref="O665">_xlfn.LET(
  _xlpm.bs,O662, _xlpm.si,O663, _xlpm.c,O664,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P665" s="245" t="str" cm="1">
        <f t="array" ref="P665">_xlfn.LET(
  _xlpm.bs,P662, _xlpm.si,P663, _xlpm.c,P664,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665" s="255" t="str" cm="1">
        <f t="array" ref="Q665">_xlfn.LET(
  _xlpm.bs,Q662, _xlpm.si,Q663, _xlpm.c,Q664,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R665" s="256" t="str" cm="1">
        <f t="array" ref="R665">_xlfn.LET(
  _xlpm.bs,R662, _xlpm.si,R663, _xlpm.c,R664,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S665" s="256" t="str" cm="1">
        <f t="array" ref="S665">_xlfn.LET(
  _xlpm.bs,S662, _xlpm.si,S663, _xlpm.c,S664,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T665" s="240" cm="1">
        <f t="array" ref="T66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v>
      </c>
      <c r="U665" s="229" t="str" cm="1">
        <f t="array" ref="U66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#N/A</v>
      </c>
      <c r="V665" s="22"/>
    </row>
    <row r="666" spans="10:23" x14ac:dyDescent="0.15">
      <c r="J666" s="190" t="s">
        <v>266</v>
      </c>
      <c r="K666" s="127" t="s">
        <v>39</v>
      </c>
      <c r="L666" s="208">
        <v>0</v>
      </c>
      <c r="M666"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666" s="41"/>
      <c r="O666" s="41">
        <v>2</v>
      </c>
      <c r="P666" s="41"/>
      <c r="Q666" s="207" cm="1">
        <f t="array" ref="Q66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v>
      </c>
      <c r="R666" s="239" cm="1">
        <f t="array" ref="R66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0.44663000000000003</v>
      </c>
      <c r="S666" s="241" cm="1">
        <f t="array" ref="S66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v>
      </c>
      <c r="T666" s="241" cm="1">
        <f t="array" ref="T66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-8</v>
      </c>
      <c r="U666" s="41" t="str" cm="1">
        <f t="array" ref="U66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1.17402 and 0.44663</v>
      </c>
      <c r="V666" s="22"/>
    </row>
    <row r="667" spans="10:23" x14ac:dyDescent="0.15">
      <c r="J667" s="190" t="s">
        <v>266</v>
      </c>
      <c r="K667" s="191" t="s">
        <v>40</v>
      </c>
      <c r="L667" s="208">
        <v>27</v>
      </c>
      <c r="M667" s="237">
        <f>_xlfn.LET(
  _xlpm.analyte, SensorLab[[#This Row],[Analyte]],
  _xlpm.raw, N(SensorLab[[#This Row],[Raw_Value]]),
  _xlpm.scaleF, IFERROR(
    _xlfn.XLOOKUP(_xlpm.analyte, CalibrationCoefficients[Analyte], CalibrationCoefficients[ScaleFactor]),
    1
  ),
  IF(AND(_xlpm.analyte&lt;&gt;"", ISNUMBER(_xlpm.raw)), _xlpm.raw * _xlpm.scaleF, "NA")
)</f>
        <v>27</v>
      </c>
      <c r="N667" s="41"/>
      <c r="O667" s="41">
        <v>6.12</v>
      </c>
      <c r="P667" s="41"/>
      <c r="Q667" s="208" cm="1">
        <f t="array" ref="Q667">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6.12</v>
      </c>
      <c r="R667" s="237" cm="1">
        <f t="array" ref="R66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5.9895899999999997</v>
      </c>
      <c r="S667" s="238" cm="1">
        <f t="array" ref="S66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4.7995599999999996</v>
      </c>
      <c r="T667" s="238" cm="1">
        <f t="array" ref="T66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-1.2004400000000004</v>
      </c>
      <c r="U667" s="41" t="str" cm="1">
        <f t="array" ref="U66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6.07762 and 7.19762</v>
      </c>
      <c r="V667" s="22"/>
    </row>
    <row r="668" spans="10:23" x14ac:dyDescent="0.15">
      <c r="J668" s="190" t="s">
        <v>266</v>
      </c>
      <c r="K668" s="191" t="s">
        <v>41</v>
      </c>
      <c r="L668" s="208">
        <v>19</v>
      </c>
      <c r="M668" s="237">
        <f>_xlfn.LET(
  _xlpm.analyte, SensorLab[[#This Row],[Analyte]],
  _xlpm.raw, N(SensorLab[[#This Row],[Raw_Value]]),
  _xlpm.scaleF, IFERROR(
    _xlfn.XLOOKUP(_xlpm.analyte, CalibrationCoefficients[Analyte], CalibrationCoefficients[ScaleFactor]),
    1
  ),
  IF(AND(_xlpm.analyte&lt;&gt;"", ISNUMBER(_xlpm.raw)), _xlpm.raw * _xlpm.scaleF, "NA")
)</f>
        <v>19</v>
      </c>
      <c r="N668" s="41"/>
      <c r="O668" s="41">
        <v>218</v>
      </c>
      <c r="P668" s="41"/>
      <c r="Q668" s="208" cm="1">
        <f t="array" ref="Q66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218</v>
      </c>
      <c r="R668" s="237" cm="1">
        <f t="array" ref="R66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117.47356000000001</v>
      </c>
      <c r="S668" s="238" cm="1">
        <f t="array" ref="S66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103.77359</v>
      </c>
      <c r="T668" s="238" cm="1">
        <f t="array" ref="T66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114.22641</v>
      </c>
      <c r="U668" s="41" t="str" cm="1">
        <f t="array" ref="U66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157.91959 and 117.23345</v>
      </c>
      <c r="V668" s="22"/>
    </row>
    <row r="669" spans="10:23" x14ac:dyDescent="0.15">
      <c r="J669" s="190" t="s">
        <v>266</v>
      </c>
      <c r="K669" s="127" t="s">
        <v>52</v>
      </c>
      <c r="L669" s="208">
        <v>145</v>
      </c>
      <c r="M669" s="237">
        <f>_xlfn.LET(
  _xlpm.analyte, SensorLab[[#This Row],[Analyte]],
  _xlpm.raw, N(SensorLab[[#This Row],[Raw_Value]]),
  _xlpm.scaleF, IFERROR(
    _xlfn.XLOOKUP(_xlpm.analyte, CalibrationCoefficients[Analyte], CalibrationCoefficients[ScaleFactor]),
    1
  ),
  IF(AND(_xlpm.analyte&lt;&gt;"", ISNUMBER(_xlpm.raw)), _xlpm.raw * _xlpm.scaleF, "NA")
)</f>
        <v>0.14499999999999999</v>
      </c>
      <c r="N669" s="41"/>
      <c r="O669" s="41">
        <v>1.03</v>
      </c>
      <c r="P669" s="41"/>
      <c r="Q669" s="208" cm="1">
        <f t="array" ref="Q669">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1.03</v>
      </c>
      <c r="R669" s="237" cm="1">
        <f t="array" ref="R66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1.01075</v>
      </c>
      <c r="S669" s="238" cm="1">
        <f t="array" ref="S66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0.97851999999999995</v>
      </c>
      <c r="T669" s="238" cm="1">
        <f t="array" ref="T66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5.1479999999999998E-2</v>
      </c>
      <c r="U669" s="41" t="str" cm="1">
        <f t="array" ref="U66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1.00440 and 1.10440</v>
      </c>
      <c r="V669" s="22"/>
    </row>
    <row r="670" spans="10:23" x14ac:dyDescent="0.15">
      <c r="J670" s="190" t="s">
        <v>266</v>
      </c>
      <c r="K670" s="127" t="s">
        <v>34</v>
      </c>
      <c r="L670" s="208">
        <v>76</v>
      </c>
      <c r="M670" s="237">
        <f>_xlfn.LET(
  _xlpm.analyte, SensorLab[[#This Row],[Analyte]],
  _xlpm.raw, N(SensorLab[[#This Row],[Raw_Value]]),
  _xlpm.scaleF, IFERROR(
    _xlfn.XLOOKUP(_xlpm.analyte, CalibrationCoefficients[Analyte], CalibrationCoefficients[ScaleFactor]),
    1
  ),
  IF(AND(_xlpm.analyte&lt;&gt;"", ISNUMBER(_xlpm.raw)), _xlpm.raw * _xlpm.scaleF, "NA")
)</f>
        <v>7.6000000000000005</v>
      </c>
      <c r="N670" s="41"/>
      <c r="O670" s="41">
        <v>8.2899999999999991</v>
      </c>
      <c r="P670" s="41"/>
      <c r="Q670" s="208" cm="1">
        <f t="array" ref="Q67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8.2899999999999991</v>
      </c>
      <c r="R670" s="237" cm="1">
        <f t="array" ref="R67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7.8763500000000004</v>
      </c>
      <c r="S670" s="238" cm="1">
        <f t="array" ref="S67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7.8434400000000002</v>
      </c>
      <c r="T670" s="238" cm="1">
        <f t="array" ref="T67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0.44656000000000001</v>
      </c>
      <c r="U670" s="41" t="str" cm="1">
        <f t="array" ref="U67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7.96881 and 7.98758</v>
      </c>
      <c r="V670" s="22"/>
    </row>
    <row r="671" spans="10:23" x14ac:dyDescent="0.15">
      <c r="J671" s="190" t="s">
        <v>266</v>
      </c>
      <c r="K671" s="127" t="s">
        <v>90</v>
      </c>
      <c r="L671" s="208">
        <v>155</v>
      </c>
      <c r="M671" s="237">
        <f>_xlfn.LET(
  _xlpm.analyte, SensorLab[[#This Row],[Analyte]],
  _xlpm.raw, N(SensorLab[[#This Row],[Raw_Value]]),
  _xlpm.scaleF, IFERROR(
    _xlfn.XLOOKUP(_xlpm.analyte, CalibrationCoefficients[Analyte], CalibrationCoefficients[ScaleFactor]),
    1
  ),
  IF(AND(_xlpm.analyte&lt;&gt;"", ISNUMBER(_xlpm.raw)), _xlpm.raw * _xlpm.scaleF, "NA")
)</f>
        <v>15.5</v>
      </c>
      <c r="N671" s="41"/>
      <c r="O671" s="41">
        <v>15.5</v>
      </c>
      <c r="P671" s="41"/>
      <c r="Q671" s="208" cm="1">
        <f t="array" ref="Q671">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15.5</v>
      </c>
      <c r="R671" s="237" cm="1">
        <f t="array" ref="R67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15.517989999999999</v>
      </c>
      <c r="S671" s="238" cm="1">
        <f t="array" ref="S67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15.48141</v>
      </c>
      <c r="T671" s="238" cm="1">
        <f t="array" ref="T67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-8.5185899999999997</v>
      </c>
      <c r="U671" s="41" t="str" cm="1">
        <f t="array" ref="U67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0.01859)</v>
      </c>
      <c r="V671" s="22"/>
    </row>
    <row r="672" spans="10:23" x14ac:dyDescent="0.15">
      <c r="J672" s="190" t="s">
        <v>266</v>
      </c>
      <c r="K672" s="191" t="s">
        <v>43</v>
      </c>
      <c r="L672" s="208">
        <v>227</v>
      </c>
      <c r="M672" s="237">
        <f>_xlfn.LET(
  _xlpm.analyte, SensorLab[[#This Row],[Analyte]],
  _xlpm.raw, N(SensorLab[[#This Row],[Raw_Value]]),
  _xlpm.scaleF, IFERROR(
    _xlfn.XLOOKUP(_xlpm.analyte, CalibrationCoefficients[Analyte], CalibrationCoefficients[ScaleFactor]),
    1
  ),
  IF(AND(_xlpm.analyte&lt;&gt;"", ISNUMBER(_xlpm.raw)), _xlpm.raw * _xlpm.scaleF, "NA")
)</f>
        <v>22.700000000000003</v>
      </c>
      <c r="N672" s="41"/>
      <c r="O672" s="41">
        <v>22.7</v>
      </c>
      <c r="P672" s="41"/>
      <c r="Q672" s="208" cm="1">
        <f t="array" ref="Q67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22.7</v>
      </c>
      <c r="R672" s="237" cm="1">
        <f t="array" ref="R67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22.686589999999999</v>
      </c>
      <c r="S672" s="238" cm="1">
        <f t="array" ref="S67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22.7</v>
      </c>
      <c r="T672" s="238" cm="1">
        <f t="array" ref="T67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672" s="41" t="str" cm="1">
        <f t="array" ref="U67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672" s="22"/>
    </row>
    <row r="673" spans="10:22" x14ac:dyDescent="0.15">
      <c r="J673" s="190" t="s">
        <v>266</v>
      </c>
      <c r="K673" s="191" t="s">
        <v>45</v>
      </c>
      <c r="L673" s="208">
        <v>5.1719999999999999E-4</v>
      </c>
      <c r="M673" s="237">
        <f>_xlfn.LET(
  _xlpm.analyte, SensorLab[[#This Row],[Analyte]],
  _xlpm.raw, N(SensorLab[[#This Row],[Raw_Value]]),
  _xlpm.scaleF, IFERROR(
    _xlfn.XLOOKUP(_xlpm.analyte, CalibrationCoefficients[Analyte], CalibrationCoefficients[ScaleFactor]),
    1
  ),
  IF(AND(_xlpm.analyte&lt;&gt;"", ISNUMBER(_xlpm.raw)), _xlpm.raw * _xlpm.scaleF, "NA")
)</f>
        <v>5.1719999999999999E-4</v>
      </c>
      <c r="N673" s="41"/>
      <c r="O673" s="41">
        <v>0.85</v>
      </c>
      <c r="P673" s="41"/>
      <c r="Q673" s="208" cm="1">
        <f t="array" ref="Q673">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0.85</v>
      </c>
      <c r="R673" s="237" cm="1">
        <f t="array" ref="R67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0.60387999999999997</v>
      </c>
      <c r="S673" s="238" cm="1">
        <f t="array" ref="S67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0.59977999999999998</v>
      </c>
      <c r="T673" s="238" cm="1">
        <f t="array" ref="T67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-2.1999999999999797E-4</v>
      </c>
      <c r="U673" s="41" t="str" cm="1">
        <f t="array" ref="U67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0.25022)</v>
      </c>
      <c r="V673" s="22"/>
    </row>
    <row r="674" spans="10:22" x14ac:dyDescent="0.15">
      <c r="J674" s="190" t="s">
        <v>266</v>
      </c>
      <c r="K674" s="127" t="s">
        <v>0</v>
      </c>
      <c r="L674" s="208">
        <v>50.18</v>
      </c>
      <c r="M674" s="237">
        <f>_xlfn.LET(
  _xlpm.analyte, SensorLab[[#This Row],[Analyte]],
  _xlpm.raw, N(SensorLab[[#This Row],[Raw_Value]]),
  _xlpm.scaleF, IFERROR(
    _xlfn.XLOOKUP(_xlpm.analyte, CalibrationCoefficients[Analyte], CalibrationCoefficients[ScaleFactor]),
    1
  ),
  IF(AND(_xlpm.analyte&lt;&gt;"", ISNUMBER(_xlpm.raw)), _xlpm.raw * _xlpm.scaleF, "NA")
)</f>
        <v>50.18</v>
      </c>
      <c r="N674" s="41"/>
      <c r="O674" s="41">
        <v>15</v>
      </c>
      <c r="P674" s="41"/>
      <c r="Q674" s="208" cm="1">
        <f t="array" ref="Q67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15</v>
      </c>
      <c r="R674" s="237" cm="1">
        <f t="array" ref="R67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15</v>
      </c>
      <c r="S674" s="238" cm="1">
        <f t="array" ref="S67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15</v>
      </c>
      <c r="T674" s="238" cm="1">
        <f t="array" ref="T67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674" s="41" t="str" cm="1">
        <f t="array" ref="U67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674" s="22"/>
    </row>
    <row r="675" spans="10:22" x14ac:dyDescent="0.15">
      <c r="J675" s="190" t="s">
        <v>266</v>
      </c>
      <c r="K675" s="127" t="s">
        <v>5</v>
      </c>
      <c r="L675" s="208">
        <v>34.4</v>
      </c>
      <c r="M675" s="237">
        <f>_xlfn.LET(
  _xlpm.analyte, SensorLab[[#This Row],[Analyte]],
  _xlpm.raw, N(SensorLab[[#This Row],[Raw_Value]]),
  _xlpm.scaleF, IFERROR(
    _xlfn.XLOOKUP(_xlpm.analyte, CalibrationCoefficients[Analyte], CalibrationCoefficients[ScaleFactor]),
    1
  ),
  IF(AND(_xlpm.analyte&lt;&gt;"", ISNUMBER(_xlpm.raw)), _xlpm.raw * _xlpm.scaleF, "NA")
)</f>
        <v>34.4</v>
      </c>
      <c r="N675" s="41"/>
      <c r="O675" s="41">
        <v>72.5</v>
      </c>
      <c r="P675" s="41"/>
      <c r="Q675" s="208" cm="1">
        <f t="array" ref="Q675">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72.5</v>
      </c>
      <c r="R675" s="237" cm="1">
        <f t="array" ref="R67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72.5</v>
      </c>
      <c r="S675" s="238" cm="1">
        <f t="array" ref="S67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72.5</v>
      </c>
      <c r="T675" s="238" cm="1">
        <f t="array" ref="T67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675" s="41" t="str" cm="1">
        <f t="array" ref="U67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72.50000 and 66.34983</v>
      </c>
      <c r="V675" s="22"/>
    </row>
    <row r="676" spans="10:22" x14ac:dyDescent="0.15">
      <c r="J676" s="190" t="s">
        <v>266</v>
      </c>
      <c r="K676" s="127" t="s">
        <v>6</v>
      </c>
      <c r="L676" s="208">
        <v>15.42</v>
      </c>
      <c r="M676" s="237">
        <f>_xlfn.LET(
  _xlpm.analyte, SensorLab[[#This Row],[Analyte]],
  _xlpm.raw, N(SensorLab[[#This Row],[Raw_Value]]),
  _xlpm.scaleF, IFERROR(
    _xlfn.XLOOKUP(_xlpm.analyte, CalibrationCoefficients[Analyte], CalibrationCoefficients[ScaleFactor]),
    1
  ),
  IF(AND(_xlpm.analyte&lt;&gt;"", ISNUMBER(_xlpm.raw)), _xlpm.raw * _xlpm.scaleF, "NA")
)</f>
        <v>15.42</v>
      </c>
      <c r="N676" s="41"/>
      <c r="O676" s="41">
        <v>12.5</v>
      </c>
      <c r="P676" s="41"/>
      <c r="Q676" s="208" cm="1">
        <f t="array" ref="Q67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12.5</v>
      </c>
      <c r="R676" s="237" cm="1">
        <f t="array" ref="R67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12.5</v>
      </c>
      <c r="S676" s="238" cm="1">
        <f t="array" ref="S67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12.5</v>
      </c>
      <c r="T676" s="238" cm="1">
        <f t="array" ref="T67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676" s="41" t="str" cm="1">
        <f t="array" ref="U67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676" s="22"/>
    </row>
    <row r="677" spans="10:22" ht="11.25" thickBot="1" x14ac:dyDescent="0.2">
      <c r="J677" s="192" t="s">
        <v>266</v>
      </c>
      <c r="K677" s="193" t="s">
        <v>69</v>
      </c>
      <c r="L677" s="255" t="str" cm="1">
        <f t="array" ref="L677">_xlfn.LET(
  _xlpm.bs,L674, _xlpm.si,L675, _xlpm.c,L676,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M677" s="256" t="str" cm="1">
        <f t="array" ref="M677">_xlfn.LET(
  _xlpm.bs,M674, _xlpm.si,M675, _xlpm.c,M676,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N677" s="245" t="str" cm="1">
        <f t="array" ref="N677">_xlfn.LET(
  _xlpm.bs,N674, _xlpm.si,N675, _xlpm.c,N676,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677" s="245" t="str" cm="1">
        <f t="array" ref="O677">_xlfn.LET(
  _xlpm.bs,O674, _xlpm.si,O675, _xlpm.c,O676,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P677" s="245" t="str" cm="1">
        <f t="array" ref="P677">_xlfn.LET(
  _xlpm.bs,P674, _xlpm.si,P675, _xlpm.c,P676,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677" s="255" t="str" cm="1">
        <f t="array" ref="Q677">_xlfn.LET(
  _xlpm.bs,Q674, _xlpm.si,Q675, _xlpm.c,Q676,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R677" s="256" t="str" cm="1">
        <f t="array" ref="R677">_xlfn.LET(
  _xlpm.bs,R674, _xlpm.si,R675, _xlpm.c,R676,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S677" s="256" t="str" cm="1">
        <f t="array" ref="S677">_xlfn.LET(
  _xlpm.bs,S674, _xlpm.si,S675, _xlpm.c,S676,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T677" s="240" cm="1">
        <f t="array" ref="T67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677" s="229" t="str" cm="1">
        <f t="array" ref="U67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(Texture match: Silt Loam)</v>
      </c>
      <c r="V677" s="22"/>
    </row>
    <row r="678" spans="10:22" x14ac:dyDescent="0.15">
      <c r="J678" s="190" t="s">
        <v>267</v>
      </c>
      <c r="K678" s="127" t="s">
        <v>39</v>
      </c>
      <c r="L678" s="208">
        <v>0</v>
      </c>
      <c r="M678"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678" s="41"/>
      <c r="O678" s="41"/>
      <c r="P678" s="41"/>
      <c r="Q678" s="208" t="str">
        <f>_xlfn.LET(
  _xlpm.tRaw, SensorLab[[#This Row],[Tarnab_Lab]],
  _xlpm.bRaw, SensorLab[[#This Row],[Bari_Lab]],
  _xlpm.mRaw, SensorLab[[#This Row],[ManuChar_Lab]],
  _xlpm.tIsNum, ISNUMBER(_xlpm.tRaw),
  _xlpm.bIsNum, ISNUMBER(_xlpm.bRaw),
  _xlpm.mIsNum, ISNUMBER(_xlpm.mRaw),
  _xlpm.t, IF(_xlpm.tIsNum, _xlpm.tRaw, ""),
  _xlpm.b, IF(_xlpm.bIsNum, _xlpm.bRaw, ""),
  _xlpm.m, IF(_xlpm.mIsNum, _xlpm.mRaw, ""),
  _xlpm.c, (--_xlpm.tIsNum) + (--_xlpm.bIsNum) + (--_xlpm.mIsNum),
  _xlpm.sumVals, IF(_xlpm.tIsNum, _xlpm.tRaw, 0) + IF(_xlpm.bIsNum, _xlpm.bRaw, 0) + IF(_xlpm.mIsNum, _xlpm.mRaw, 0),
  _xlpm.result,
    IF(_xlpm.c = 0, "",
      IF(_xlpm.c = 1,
         IF(_xlpm.tIsNum, _xlpm.t, IF(_xlpm.bIsNum, _xlpm.b, _xlpm.m)),
      IF(_xlpm.c = 2,
         _xlpm.sumVals / 2,
         MEDIAN(_xlpm.t, _xlpm.b, _xlpm.m)
      ))),
  _xlpm.result
)</f>
        <v/>
      </c>
      <c r="R678" s="239" cm="1">
        <f t="array" ref="R67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0.44663000000000003</v>
      </c>
      <c r="S678" s="241" cm="1">
        <f t="array" ref="S67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v>
      </c>
      <c r="T678" s="241" cm="1">
        <f t="array" ref="T67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-6</v>
      </c>
      <c r="U678" s="41" t="str" cm="1">
        <f t="array" ref="U67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0.44663 and 0.00000</v>
      </c>
      <c r="V678" s="22"/>
    </row>
    <row r="679" spans="10:22" x14ac:dyDescent="0.15">
      <c r="J679" s="190" t="s">
        <v>267</v>
      </c>
      <c r="K679" s="191" t="s">
        <v>40</v>
      </c>
      <c r="L679" s="208">
        <v>0</v>
      </c>
      <c r="M679"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679" s="41"/>
      <c r="O679" s="41"/>
      <c r="P679" s="41"/>
      <c r="Q679" s="208" t="str">
        <f>_xlfn.LET(
  _xlpm.tRaw, SensorLab[[#This Row],[Tarnab_Lab]],
  _xlpm.bRaw, SensorLab[[#This Row],[Bari_Lab]],
  _xlpm.mRaw, SensorLab[[#This Row],[ManuChar_Lab]],
  _xlpm.tIsNum, ISNUMBER(_xlpm.tRaw),
  _xlpm.bIsNum, ISNUMBER(_xlpm.bRaw),
  _xlpm.mIsNum, ISNUMBER(_xlpm.mRaw),
  _xlpm.t, IF(_xlpm.tIsNum, _xlpm.tRaw, ""),
  _xlpm.b, IF(_xlpm.bIsNum, _xlpm.bRaw, ""),
  _xlpm.m, IF(_xlpm.mIsNum, _xlpm.mRaw, ""),
  _xlpm.c, (--_xlpm.tIsNum) + (--_xlpm.bIsNum) + (--_xlpm.mIsNum),
  _xlpm.sumVals, IF(_xlpm.tIsNum, _xlpm.tRaw, 0) + IF(_xlpm.bIsNum, _xlpm.bRaw, 0) + IF(_xlpm.mIsNum, _xlpm.mRaw, 0),
  _xlpm.result,
    IF(_xlpm.c = 0, "",
      IF(_xlpm.c = 1,
         IF(_xlpm.tIsNum, _xlpm.t, IF(_xlpm.bIsNum, _xlpm.b, _xlpm.m)),
      IF(_xlpm.c = 2,
         _xlpm.sumVals / 2,
         MEDIAN(_xlpm.t, _xlpm.b, _xlpm.m)
      ))),
  _xlpm.result
)</f>
        <v/>
      </c>
      <c r="R679" s="237" cm="1">
        <f t="array" ref="R67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5.3140400000000003</v>
      </c>
      <c r="S679" s="238" cm="1">
        <f t="array" ref="S67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4.1240100000000002</v>
      </c>
      <c r="T679" s="238" cm="1">
        <f t="array" ref="T67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-0.87598999999999982</v>
      </c>
      <c r="U679" s="41" t="str" cm="1">
        <f t="array" ref="U67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5.70934 and 0.00000</v>
      </c>
      <c r="V679" s="22"/>
    </row>
    <row r="680" spans="10:22" x14ac:dyDescent="0.15">
      <c r="J680" s="190" t="s">
        <v>267</v>
      </c>
      <c r="K680" s="191" t="s">
        <v>41</v>
      </c>
      <c r="L680" s="208">
        <v>0</v>
      </c>
      <c r="M680"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680" s="41"/>
      <c r="O680" s="41"/>
      <c r="P680" s="41"/>
      <c r="Q680" s="208" t="str">
        <f>_xlfn.LET(
  _xlpm.tRaw, SensorLab[[#This Row],[Tarnab_Lab]],
  _xlpm.bRaw, SensorLab[[#This Row],[Bari_Lab]],
  _xlpm.mRaw, SensorLab[[#This Row],[ManuChar_Lab]],
  _xlpm.tIsNum, ISNUMBER(_xlpm.tRaw),
  _xlpm.bIsNum, ISNUMBER(_xlpm.bRaw),
  _xlpm.mIsNum, ISNUMBER(_xlpm.mRaw),
  _xlpm.t, IF(_xlpm.tIsNum, _xlpm.tRaw, ""),
  _xlpm.b, IF(_xlpm.bIsNum, _xlpm.bRaw, ""),
  _xlpm.m, IF(_xlpm.mIsNum, _xlpm.mRaw, ""),
  _xlpm.c, (--_xlpm.tIsNum) + (--_xlpm.bIsNum) + (--_xlpm.mIsNum),
  _xlpm.sumVals, IF(_xlpm.tIsNum, _xlpm.tRaw, 0) + IF(_xlpm.bIsNum, _xlpm.bRaw, 0) + IF(_xlpm.mIsNum, _xlpm.mRaw, 0),
  _xlpm.result,
    IF(_xlpm.c = 0, "",
      IF(_xlpm.c = 1,
         IF(_xlpm.tIsNum, _xlpm.t, IF(_xlpm.bIsNum, _xlpm.b, _xlpm.m)),
      IF(_xlpm.c = 2,
         _xlpm.sumVals / 2,
         MEDIAN(_xlpm.t, _xlpm.b, _xlpm.m)
      ))),
  _xlpm.result
)</f>
        <v/>
      </c>
      <c r="R680" s="237" cm="1">
        <f t="array" ref="R68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111.50391999999999</v>
      </c>
      <c r="S680" s="238" cm="1">
        <f t="array" ref="S68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97.80395</v>
      </c>
      <c r="T680" s="238" cm="1">
        <f t="array" ref="T68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-97.80395</v>
      </c>
      <c r="U680" s="41" t="str" cm="1">
        <f t="array" ref="U68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107.71054 and 0.00000</v>
      </c>
      <c r="V680" s="22"/>
    </row>
    <row r="681" spans="10:22" x14ac:dyDescent="0.15">
      <c r="J681" s="190" t="s">
        <v>267</v>
      </c>
      <c r="K681" s="127" t="s">
        <v>52</v>
      </c>
      <c r="L681" s="208">
        <v>22</v>
      </c>
      <c r="M681" s="237">
        <f>_xlfn.LET(
  _xlpm.analyte, SensorLab[[#This Row],[Analyte]],
  _xlpm.raw, N(SensorLab[[#This Row],[Raw_Value]]),
  _xlpm.scaleF, IFERROR(
    _xlfn.XLOOKUP(_xlpm.analyte, CalibrationCoefficients[Analyte], CalibrationCoefficients[ScaleFactor]),
    1
  ),
  IF(AND(_xlpm.analyte&lt;&gt;"", ISNUMBER(_xlpm.raw)), _xlpm.raw * _xlpm.scaleF, "NA")
)</f>
        <v>2.1999999999999999E-2</v>
      </c>
      <c r="N681" s="41"/>
      <c r="O681" s="41"/>
      <c r="P681" s="41"/>
      <c r="Q681" s="208"/>
      <c r="R681" s="237" cm="1">
        <f t="array" ref="R68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0.93013999999999997</v>
      </c>
      <c r="S681" s="238" cm="1">
        <f t="array" ref="S68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0.89790999999999999</v>
      </c>
      <c r="T681" s="238" cm="1">
        <f t="array" ref="T68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-0.89790999999999999</v>
      </c>
      <c r="U681" s="41" t="str" cm="1">
        <f t="array" ref="U68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0.97783 and 0.00000</v>
      </c>
      <c r="V681" s="22"/>
    </row>
    <row r="682" spans="10:22" x14ac:dyDescent="0.15">
      <c r="J682" s="190" t="s">
        <v>267</v>
      </c>
      <c r="K682" s="127" t="s">
        <v>34</v>
      </c>
      <c r="L682" s="208">
        <v>77</v>
      </c>
      <c r="M682" s="237">
        <f>_xlfn.LET(
  _xlpm.analyte, SensorLab[[#This Row],[Analyte]],
  _xlpm.raw, N(SensorLab[[#This Row],[Raw_Value]]),
  _xlpm.scaleF, IFERROR(
    _xlfn.XLOOKUP(_xlpm.analyte, CalibrationCoefficients[Analyte], CalibrationCoefficients[ScaleFactor]),
    1
  ),
  IF(AND(_xlpm.analyte&lt;&gt;"", ISNUMBER(_xlpm.raw)), _xlpm.raw * _xlpm.scaleF, "NA")
)</f>
        <v>7.7</v>
      </c>
      <c r="N682" s="41"/>
      <c r="O682" s="41"/>
      <c r="P682" s="41"/>
      <c r="Q682" s="208"/>
      <c r="R682" s="237" cm="1">
        <f t="array" ref="R68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7.8717800000000002</v>
      </c>
      <c r="S682" s="238" cm="1">
        <f t="array" ref="S68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7.83887</v>
      </c>
      <c r="T682" s="238" cm="1">
        <f t="array" ref="T68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-7.83887</v>
      </c>
      <c r="U682" s="41" t="str" cm="1">
        <f t="array" ref="U68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7.78243 and 0.00000</v>
      </c>
      <c r="V682" s="22"/>
    </row>
    <row r="683" spans="10:22" x14ac:dyDescent="0.15">
      <c r="J683" s="190" t="s">
        <v>267</v>
      </c>
      <c r="K683" s="127" t="s">
        <v>90</v>
      </c>
      <c r="L683" s="208">
        <v>181</v>
      </c>
      <c r="M683" s="237">
        <f>_xlfn.LET(
  _xlpm.analyte, SensorLab[[#This Row],[Analyte]],
  _xlpm.raw, N(SensorLab[[#This Row],[Raw_Value]]),
  _xlpm.scaleF, IFERROR(
    _xlfn.XLOOKUP(_xlpm.analyte, CalibrationCoefficients[Analyte], CalibrationCoefficients[ScaleFactor]),
    1
  ),
  IF(AND(_xlpm.analyte&lt;&gt;"", ISNUMBER(_xlpm.raw)), _xlpm.raw * _xlpm.scaleF, "NA")
)</f>
        <v>18.100000000000001</v>
      </c>
      <c r="N683" s="41"/>
      <c r="O683" s="41"/>
      <c r="P683" s="41"/>
      <c r="Q683" s="208"/>
      <c r="R683" s="237" cm="1">
        <f t="array" ref="R68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18.171690000000002</v>
      </c>
      <c r="S683" s="238" cm="1">
        <f t="array" ref="S68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18.135110000000001</v>
      </c>
      <c r="T683" s="238" cm="1">
        <f t="array" ref="T68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-5.864889999999999</v>
      </c>
      <c r="U683" s="41" t="str" cm="1">
        <f t="array" ref="U68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18.03000 and 0.00000</v>
      </c>
      <c r="V683" s="22"/>
    </row>
    <row r="684" spans="10:22" x14ac:dyDescent="0.15">
      <c r="J684" s="190" t="s">
        <v>267</v>
      </c>
      <c r="K684" s="191" t="s">
        <v>43</v>
      </c>
      <c r="L684" s="208">
        <v>173</v>
      </c>
      <c r="M684" s="237">
        <f>_xlfn.LET(
  _xlpm.analyte, SensorLab[[#This Row],[Analyte]],
  _xlpm.raw, N(SensorLab[[#This Row],[Raw_Value]]),
  _xlpm.scaleF, IFERROR(
    _xlfn.XLOOKUP(_xlpm.analyte, CalibrationCoefficients[Analyte], CalibrationCoefficients[ScaleFactor]),
    1
  ),
  IF(AND(_xlpm.analyte&lt;&gt;"", ISNUMBER(_xlpm.raw)), _xlpm.raw * _xlpm.scaleF, "NA")
)</f>
        <v>17.3</v>
      </c>
      <c r="N684" s="41"/>
      <c r="O684" s="41"/>
      <c r="P684" s="41"/>
      <c r="Q684" s="208"/>
      <c r="R684" s="237" cm="1">
        <f t="array" ref="R68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17.285240000000002</v>
      </c>
      <c r="S684" s="238" cm="1">
        <f t="array" ref="S68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17.298649999999999</v>
      </c>
      <c r="T684" s="238" cm="1">
        <f t="array" ref="T68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-17.298649999999999</v>
      </c>
      <c r="U684" s="41" t="str" cm="1">
        <f t="array" ref="U68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17.30000 and 0.00000</v>
      </c>
      <c r="V684" s="22"/>
    </row>
    <row r="685" spans="10:22" x14ac:dyDescent="0.15">
      <c r="J685" s="190" t="s">
        <v>267</v>
      </c>
      <c r="K685" s="191" t="s">
        <v>45</v>
      </c>
      <c r="L685" s="208">
        <v>5.1999999999999995E-4</v>
      </c>
      <c r="M685" s="237">
        <f>_xlfn.LET(
  _xlpm.analyte, SensorLab[[#This Row],[Analyte]],
  _xlpm.raw, N(SensorLab[[#This Row],[Raw_Value]]),
  _xlpm.scaleF, IFERROR(
    _xlfn.XLOOKUP(_xlpm.analyte, CalibrationCoefficients[Analyte], CalibrationCoefficients[ScaleFactor]),
    1
  ),
  IF(AND(_xlpm.analyte&lt;&gt;"", ISNUMBER(_xlpm.raw)), _xlpm.raw * _xlpm.scaleF, "NA")
)</f>
        <v>5.1999999999999995E-4</v>
      </c>
      <c r="N685" s="41"/>
      <c r="O685" s="41"/>
      <c r="P685" s="41"/>
      <c r="Q685" s="208"/>
      <c r="R685" s="237" cm="1">
        <f t="array" ref="R68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0.60409999999999997</v>
      </c>
      <c r="S685" s="238" cm="1">
        <f t="array" ref="S68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0.6</v>
      </c>
      <c r="T685" s="238" cm="1">
        <f t="array" ref="T68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-0.6</v>
      </c>
      <c r="U685" s="41" t="str" cm="1">
        <f t="array" ref="U68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0.00000 and 0.00000</v>
      </c>
      <c r="V685" s="22"/>
    </row>
    <row r="686" spans="10:22" x14ac:dyDescent="0.15">
      <c r="J686" s="190" t="s">
        <v>267</v>
      </c>
      <c r="K686" s="127" t="s">
        <v>0</v>
      </c>
      <c r="L686" s="208">
        <v>50.76</v>
      </c>
      <c r="M686" s="237">
        <f>_xlfn.LET(
  _xlpm.analyte, SensorLab[[#This Row],[Analyte]],
  _xlpm.raw, N(SensorLab[[#This Row],[Raw_Value]]),
  _xlpm.scaleF, IFERROR(
    _xlfn.XLOOKUP(_xlpm.analyte, CalibrationCoefficients[Analyte], CalibrationCoefficients[ScaleFactor]),
    1
  ),
  IF(AND(_xlpm.analyte&lt;&gt;"", ISNUMBER(_xlpm.raw)), _xlpm.raw * _xlpm.scaleF, "NA")
)</f>
        <v>50.76</v>
      </c>
      <c r="N686" s="41"/>
      <c r="O686" s="41"/>
      <c r="P686" s="41"/>
      <c r="Q686" s="208"/>
      <c r="R686" s="237" cm="1">
        <f t="array" ref="R68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686" s="238" cm="1">
        <f t="array" ref="S68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686" s="238" cm="1">
        <f t="array" ref="T68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-23</v>
      </c>
      <c r="U686" s="41" t="str" cm="1">
        <f t="array" ref="U68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14.83156 and 0.00000</v>
      </c>
      <c r="V686" s="22"/>
    </row>
    <row r="687" spans="10:22" x14ac:dyDescent="0.15">
      <c r="J687" s="190" t="s">
        <v>267</v>
      </c>
      <c r="K687" s="127" t="s">
        <v>5</v>
      </c>
      <c r="L687" s="208">
        <v>34.1</v>
      </c>
      <c r="M687" s="237">
        <f>_xlfn.LET(
  _xlpm.analyte, SensorLab[[#This Row],[Analyte]],
  _xlpm.raw, N(SensorLab[[#This Row],[Raw_Value]]),
  _xlpm.scaleF, IFERROR(
    _xlfn.XLOOKUP(_xlpm.analyte, CalibrationCoefficients[Analyte], CalibrationCoefficients[ScaleFactor]),
    1
  ),
  IF(AND(_xlpm.analyte&lt;&gt;"", ISNUMBER(_xlpm.raw)), _xlpm.raw * _xlpm.scaleF, "NA")
)</f>
        <v>34.1</v>
      </c>
      <c r="N687" s="41"/>
      <c r="O687" s="41"/>
      <c r="P687" s="41"/>
      <c r="Q687" s="208"/>
      <c r="R687" s="237" cm="1">
        <f t="array" ref="R68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687" s="238" cm="1">
        <f t="array" ref="S68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687" s="238" cm="1">
        <f t="array" ref="T68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-28</v>
      </c>
      <c r="U687" s="41" t="str" cm="1">
        <f t="array" ref="U68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31.80963 and 0.00000</v>
      </c>
      <c r="V687" s="22"/>
    </row>
    <row r="688" spans="10:22" x14ac:dyDescent="0.15">
      <c r="J688" s="190" t="s">
        <v>267</v>
      </c>
      <c r="K688" s="127" t="s">
        <v>6</v>
      </c>
      <c r="L688" s="208">
        <v>15.14</v>
      </c>
      <c r="M688" s="237">
        <f>_xlfn.LET(
  _xlpm.analyte, SensorLab[[#This Row],[Analyte]],
  _xlpm.raw, N(SensorLab[[#This Row],[Raw_Value]]),
  _xlpm.scaleF, IFERROR(
    _xlfn.XLOOKUP(_xlpm.analyte, CalibrationCoefficients[Analyte], CalibrationCoefficients[ScaleFactor]),
    1
  ),
  IF(AND(_xlpm.analyte&lt;&gt;"", ISNUMBER(_xlpm.raw)), _xlpm.raw * _xlpm.scaleF, "NA")
)</f>
        <v>15.14</v>
      </c>
      <c r="N688" s="41"/>
      <c r="O688" s="41"/>
      <c r="P688" s="41"/>
      <c r="Q688" s="208"/>
      <c r="R688" s="237" cm="1">
        <f t="array" ref="R68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688" s="238" cm="1">
        <f t="array" ref="S68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688" s="238" cm="1">
        <f t="array" ref="T68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v>
      </c>
      <c r="U688" s="41" t="str" cm="1">
        <f t="array" ref="U68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12.10317 and 0.00000</v>
      </c>
      <c r="V688" s="22"/>
    </row>
    <row r="689" spans="10:22" ht="11.25" thickBot="1" x14ac:dyDescent="0.2">
      <c r="J689" s="192" t="s">
        <v>267</v>
      </c>
      <c r="K689" s="193" t="s">
        <v>69</v>
      </c>
      <c r="L689" s="255" t="str" cm="1">
        <f t="array" ref="L689">_xlfn.LET(
  _xlpm.bs,L686, _xlpm.si,L687, _xlpm.c,L688,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M689" s="256" t="str" cm="1">
        <f t="array" ref="M689">_xlfn.LET(
  _xlpm.bs,M686, _xlpm.si,M687, _xlpm.c,M688,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N689" s="245" t="str" cm="1">
        <f t="array" ref="N689">_xlfn.LET(
  _xlpm.bs,N686, _xlpm.si,N687, _xlpm.c,N688,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689" s="245" t="str" cm="1">
        <f t="array" ref="O689">_xlfn.LET(
  _xlpm.bs,O686, _xlpm.si,O687, _xlpm.c,O688,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P689" s="245" t="str" cm="1">
        <f t="array" ref="P689">_xlfn.LET(
  _xlpm.bs,P686, _xlpm.si,P687, _xlpm.c,P688,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689" s="255" t="str" cm="1">
        <f t="array" ref="Q689">_xlfn.LET(
  _xlpm.bs,Q686, _xlpm.si,Q687, _xlpm.c,Q688,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R689" s="256" t="str" cm="1">
        <f t="array" ref="R689">_xlfn.LET(
  _xlpm.bs,R686, _xlpm.si,R687, _xlpm.c,R688,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S689" s="256" t="str" cm="1">
        <f t="array" ref="S689">_xlfn.LET(
  _xlpm.bs,S686, _xlpm.si,S687, _xlpm.c,S688,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T689" s="240" cm="1">
        <f t="array" ref="T68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v>
      </c>
      <c r="U689" s="229" t="str" cm="1">
        <f t="array" ref="U68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#N/A</v>
      </c>
      <c r="V689" s="22"/>
    </row>
    <row r="690" spans="10:22" x14ac:dyDescent="0.15">
      <c r="J690" s="190" t="s">
        <v>268</v>
      </c>
      <c r="K690" s="127" t="s">
        <v>39</v>
      </c>
      <c r="L690" s="208">
        <v>0</v>
      </c>
      <c r="M690"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690" s="41"/>
      <c r="O690" s="41"/>
      <c r="P690" s="41"/>
      <c r="Q690" s="208" t="str">
        <f>_xlfn.LET(
  _xlpm.tRaw, SensorLab[[#This Row],[Tarnab_Lab]],
  _xlpm.bRaw, SensorLab[[#This Row],[Bari_Lab]],
  _xlpm.mRaw, SensorLab[[#This Row],[ManuChar_Lab]],
  _xlpm.tIsNum, ISNUMBER(_xlpm.tRaw),
  _xlpm.bIsNum, ISNUMBER(_xlpm.bRaw),
  _xlpm.mIsNum, ISNUMBER(_xlpm.mRaw),
  _xlpm.t, IF(_xlpm.tIsNum, _xlpm.tRaw, ""),
  _xlpm.b, IF(_xlpm.bIsNum, _xlpm.bRaw, ""),
  _xlpm.m, IF(_xlpm.mIsNum, _xlpm.mRaw, ""),
  _xlpm.c, (--_xlpm.tIsNum) + (--_xlpm.bIsNum) + (--_xlpm.mIsNum),
  _xlpm.sumVals, IF(_xlpm.tIsNum, _xlpm.tRaw, 0) + IF(_xlpm.bIsNum, _xlpm.bRaw, 0) + IF(_xlpm.mIsNum, _xlpm.mRaw, 0),
  _xlpm.result,
    IF(_xlpm.c = 0, "",
      IF(_xlpm.c = 1,
         IF(_xlpm.tIsNum, _xlpm.t, IF(_xlpm.bIsNum, _xlpm.b, _xlpm.m)),
      IF(_xlpm.c = 2,
         _xlpm.sumVals / 2,
         MEDIAN(_xlpm.t, _xlpm.b, _xlpm.m)
      ))),
  _xlpm.result
)</f>
        <v/>
      </c>
      <c r="R690" s="239" cm="1">
        <f t="array" ref="R69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0.44663000000000003</v>
      </c>
      <c r="S690" s="241" cm="1">
        <f t="array" ref="S69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v>
      </c>
      <c r="T690" s="241" cm="1">
        <f t="array" ref="T69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-6</v>
      </c>
      <c r="U690" s="41" t="str" cm="1">
        <f t="array" ref="U69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0.44663 and 0.00000</v>
      </c>
      <c r="V690" s="22"/>
    </row>
    <row r="691" spans="10:22" x14ac:dyDescent="0.15">
      <c r="J691" s="190" t="s">
        <v>268</v>
      </c>
      <c r="K691" s="191" t="s">
        <v>40</v>
      </c>
      <c r="L691" s="208">
        <v>47</v>
      </c>
      <c r="M691" s="237">
        <f>_xlfn.LET(
  _xlpm.analyte, SensorLab[[#This Row],[Analyte]],
  _xlpm.raw, N(SensorLab[[#This Row],[Raw_Value]]),
  _xlpm.scaleF, IFERROR(
    _xlfn.XLOOKUP(_xlpm.analyte, CalibrationCoefficients[Analyte], CalibrationCoefficients[ScaleFactor]),
    1
  ),
  IF(AND(_xlpm.analyte&lt;&gt;"", ISNUMBER(_xlpm.raw)), _xlpm.raw * _xlpm.scaleF, "NA")
)</f>
        <v>47</v>
      </c>
      <c r="N691" s="41"/>
      <c r="O691" s="41"/>
      <c r="P691" s="41"/>
      <c r="Q691" s="208"/>
      <c r="R691" s="237" cm="1">
        <f t="array" ref="R69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6.4899899999999997</v>
      </c>
      <c r="S691" s="238" cm="1">
        <f t="array" ref="S69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5.2999599999999996</v>
      </c>
      <c r="T691" s="238" cm="1">
        <f t="array" ref="T69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-5.2999599999999996</v>
      </c>
      <c r="U691" s="41" t="str" cm="1">
        <f t="array" ref="U69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6.35041 and 0.00000</v>
      </c>
      <c r="V691" s="22"/>
    </row>
    <row r="692" spans="10:22" x14ac:dyDescent="0.15">
      <c r="J692" s="190" t="s">
        <v>268</v>
      </c>
      <c r="K692" s="191" t="s">
        <v>41</v>
      </c>
      <c r="L692" s="208">
        <v>40</v>
      </c>
      <c r="M692" s="237">
        <f>_xlfn.LET(
  _xlpm.analyte, SensorLab[[#This Row],[Analyte]],
  _xlpm.raw, N(SensorLab[[#This Row],[Raw_Value]]),
  _xlpm.scaleF, IFERROR(
    _xlfn.XLOOKUP(_xlpm.analyte, CalibrationCoefficients[Analyte], CalibrationCoefficients[ScaleFactor]),
    1
  ),
  IF(AND(_xlpm.analyte&lt;&gt;"", ISNUMBER(_xlpm.raw)), _xlpm.raw * _xlpm.scaleF, "NA")
)</f>
        <v>40</v>
      </c>
      <c r="N692" s="41"/>
      <c r="O692" s="41"/>
      <c r="P692" s="41"/>
      <c r="Q692" s="208"/>
      <c r="R692" s="237" cm="1">
        <f t="array" ref="R69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124.07158</v>
      </c>
      <c r="S692" s="238" cm="1">
        <f t="array" ref="S69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110.37161</v>
      </c>
      <c r="T692" s="238" cm="1">
        <f t="array" ref="T69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-110.37161</v>
      </c>
      <c r="U692" s="41" t="str" cm="1">
        <f t="array" ref="U69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121.48507 and 0.00000</v>
      </c>
      <c r="V692" s="22"/>
    </row>
    <row r="693" spans="10:22" x14ac:dyDescent="0.15">
      <c r="J693" s="190" t="s">
        <v>268</v>
      </c>
      <c r="K693" s="127" t="s">
        <v>52</v>
      </c>
      <c r="L693" s="208">
        <v>188</v>
      </c>
      <c r="M693" s="237">
        <f>_xlfn.LET(
  _xlpm.analyte, SensorLab[[#This Row],[Analyte]],
  _xlpm.raw, N(SensorLab[[#This Row],[Raw_Value]]),
  _xlpm.scaleF, IFERROR(
    _xlfn.XLOOKUP(_xlpm.analyte, CalibrationCoefficients[Analyte], CalibrationCoefficients[ScaleFactor]),
    1
  ),
  IF(AND(_xlpm.analyte&lt;&gt;"", ISNUMBER(_xlpm.raw)), _xlpm.raw * _xlpm.scaleF, "NA")
)</f>
        <v>0.188</v>
      </c>
      <c r="N693" s="41"/>
      <c r="O693" s="41"/>
      <c r="P693" s="41"/>
      <c r="Q693" s="208"/>
      <c r="R693" s="237" cm="1">
        <f t="array" ref="R69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1.0389299999999999</v>
      </c>
      <c r="S693" s="238" cm="1">
        <f t="array" ref="S69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1.0066999999999999</v>
      </c>
      <c r="T693" s="238" cm="1">
        <f t="array" ref="T69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-1.0066999999999999</v>
      </c>
      <c r="U693" s="41" t="str" cm="1">
        <f t="array" ref="U69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1.01369 and 0.00000</v>
      </c>
      <c r="V693" s="22"/>
    </row>
    <row r="694" spans="10:22" x14ac:dyDescent="0.15">
      <c r="J694" s="190" t="s">
        <v>268</v>
      </c>
      <c r="K694" s="127" t="s">
        <v>34</v>
      </c>
      <c r="L694" s="208">
        <v>79</v>
      </c>
      <c r="M694" s="237">
        <f>_xlfn.LET(
  _xlpm.analyte, SensorLab[[#This Row],[Analyte]],
  _xlpm.raw, N(SensorLab[[#This Row],[Raw_Value]]),
  _xlpm.scaleF, IFERROR(
    _xlfn.XLOOKUP(_xlpm.analyte, CalibrationCoefficients[Analyte], CalibrationCoefficients[ScaleFactor]),
    1
  ),
  IF(AND(_xlpm.analyte&lt;&gt;"", ISNUMBER(_xlpm.raw)), _xlpm.raw * _xlpm.scaleF, "NA")
)</f>
        <v>7.9</v>
      </c>
      <c r="N694" s="41"/>
      <c r="O694" s="41"/>
      <c r="P694" s="41"/>
      <c r="Q694" s="208"/>
      <c r="R694" s="237" cm="1">
        <f t="array" ref="R69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7.8626399999999999</v>
      </c>
      <c r="S694" s="238" cm="1">
        <f t="array" ref="S69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7.8297299999999996</v>
      </c>
      <c r="T694" s="238" cm="1">
        <f t="array" ref="T69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-7.8297299999999996</v>
      </c>
      <c r="U694" s="41" t="str" cm="1">
        <f t="array" ref="U69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7.77214 and 0.00000</v>
      </c>
      <c r="V694" s="22"/>
    </row>
    <row r="695" spans="10:22" x14ac:dyDescent="0.15">
      <c r="J695" s="190" t="s">
        <v>268</v>
      </c>
      <c r="K695" s="127" t="s">
        <v>90</v>
      </c>
      <c r="L695" s="208">
        <v>187</v>
      </c>
      <c r="M695" s="237">
        <f>_xlfn.LET(
  _xlpm.analyte, SensorLab[[#This Row],[Analyte]],
  _xlpm.raw, N(SensorLab[[#This Row],[Raw_Value]]),
  _xlpm.scaleF, IFERROR(
    _xlfn.XLOOKUP(_xlpm.analyte, CalibrationCoefficients[Analyte], CalibrationCoefficients[ScaleFactor]),
    1
  ),
  IF(AND(_xlpm.analyte&lt;&gt;"", ISNUMBER(_xlpm.raw)), _xlpm.raw * _xlpm.scaleF, "NA")
)</f>
        <v>18.7</v>
      </c>
      <c r="N695" s="41"/>
      <c r="O695" s="41"/>
      <c r="P695" s="41"/>
      <c r="Q695" s="208"/>
      <c r="R695" s="237" cm="1">
        <f t="array" ref="R69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18.784079999999999</v>
      </c>
      <c r="S695" s="238" cm="1">
        <f t="array" ref="S69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18.747499999999999</v>
      </c>
      <c r="T695" s="238" cm="1">
        <f t="array" ref="T69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-5.2525000000000013</v>
      </c>
      <c r="U695" s="41" t="str" cm="1">
        <f t="array" ref="U69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18.63000 and 0.00000</v>
      </c>
      <c r="V695" s="22"/>
    </row>
    <row r="696" spans="10:22" x14ac:dyDescent="0.15">
      <c r="J696" s="190" t="s">
        <v>268</v>
      </c>
      <c r="K696" s="191" t="s">
        <v>43</v>
      </c>
      <c r="L696" s="208">
        <v>264</v>
      </c>
      <c r="M696" s="237">
        <f>_xlfn.LET(
  _xlpm.analyte, SensorLab[[#This Row],[Analyte]],
  _xlpm.raw, N(SensorLab[[#This Row],[Raw_Value]]),
  _xlpm.scaleF, IFERROR(
    _xlfn.XLOOKUP(_xlpm.analyte, CalibrationCoefficients[Analyte], CalibrationCoefficients[ScaleFactor]),
    1
  ),
  IF(AND(_xlpm.analyte&lt;&gt;"", ISNUMBER(_xlpm.raw)), _xlpm.raw * _xlpm.scaleF, "NA")
)</f>
        <v>26.400000000000002</v>
      </c>
      <c r="N696" s="41"/>
      <c r="O696" s="41"/>
      <c r="P696" s="41"/>
      <c r="Q696" s="208"/>
      <c r="R696" s="237" cm="1">
        <f t="array" ref="R69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26.387519999999999</v>
      </c>
      <c r="S696" s="238" cm="1">
        <f t="array" ref="S69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26.400929999999999</v>
      </c>
      <c r="T696" s="238" cm="1">
        <f t="array" ref="T69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-26.400929999999999</v>
      </c>
      <c r="U696" s="41" t="str" cm="1">
        <f t="array" ref="U69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26.40000 and 0.00000</v>
      </c>
      <c r="V696" s="22"/>
    </row>
    <row r="697" spans="10:22" x14ac:dyDescent="0.15">
      <c r="J697" s="190" t="s">
        <v>268</v>
      </c>
      <c r="K697" s="191" t="s">
        <v>45</v>
      </c>
      <c r="L697" s="208">
        <v>5.1719999999999999E-4</v>
      </c>
      <c r="M697" s="237">
        <f>_xlfn.LET(
  _xlpm.analyte, SensorLab[[#This Row],[Analyte]],
  _xlpm.raw, N(SensorLab[[#This Row],[Raw_Value]]),
  _xlpm.scaleF, IFERROR(
    _xlfn.XLOOKUP(_xlpm.analyte, CalibrationCoefficients[Analyte], CalibrationCoefficients[ScaleFactor]),
    1
  ),
  IF(AND(_xlpm.analyte&lt;&gt;"", ISNUMBER(_xlpm.raw)), _xlpm.raw * _xlpm.scaleF, "NA")
)</f>
        <v>5.1719999999999999E-4</v>
      </c>
      <c r="N697" s="41"/>
      <c r="O697" s="41"/>
      <c r="P697" s="41"/>
      <c r="Q697" s="208"/>
      <c r="R697" s="237" cm="1">
        <f t="array" ref="R69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0.60387999999999997</v>
      </c>
      <c r="S697" s="238" cm="1">
        <f t="array" ref="S69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0.59977999999999998</v>
      </c>
      <c r="T697" s="238" cm="1">
        <f t="array" ref="T69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-0.59977999999999998</v>
      </c>
      <c r="U697" s="41" t="str" cm="1">
        <f t="array" ref="U69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0.00000 and 0.00000</v>
      </c>
      <c r="V697" s="22"/>
    </row>
    <row r="698" spans="10:22" x14ac:dyDescent="0.15">
      <c r="J698" s="190" t="s">
        <v>268</v>
      </c>
      <c r="K698" s="127" t="s">
        <v>0</v>
      </c>
      <c r="L698" s="208">
        <v>49.14</v>
      </c>
      <c r="M698" s="237">
        <f>_xlfn.LET(
  _xlpm.analyte, SensorLab[[#This Row],[Analyte]],
  _xlpm.raw, N(SensorLab[[#This Row],[Raw_Value]]),
  _xlpm.scaleF, IFERROR(
    _xlfn.XLOOKUP(_xlpm.analyte, CalibrationCoefficients[Analyte], CalibrationCoefficients[ScaleFactor]),
    1
  ),
  IF(AND(_xlpm.analyte&lt;&gt;"", ISNUMBER(_xlpm.raw)), _xlpm.raw * _xlpm.scaleF, "NA")
)</f>
        <v>49.14</v>
      </c>
      <c r="N698" s="41"/>
      <c r="O698" s="41"/>
      <c r="P698" s="41"/>
      <c r="Q698" s="208"/>
      <c r="R698" s="237" cm="1">
        <f t="array" ref="R69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698" s="238" cm="1">
        <f t="array" ref="S69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698" s="238" cm="1">
        <f t="array" ref="T69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-23</v>
      </c>
      <c r="U698" s="41" t="str" cm="1">
        <f t="array" ref="U69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15.14260 and 0.00000</v>
      </c>
      <c r="V698" s="22"/>
    </row>
    <row r="699" spans="10:22" x14ac:dyDescent="0.15">
      <c r="J699" s="190" t="s">
        <v>268</v>
      </c>
      <c r="K699" s="127" t="s">
        <v>5</v>
      </c>
      <c r="L699" s="208">
        <v>34.96</v>
      </c>
      <c r="M699" s="237">
        <f>_xlfn.LET(
  _xlpm.analyte, SensorLab[[#This Row],[Analyte]],
  _xlpm.raw, N(SensorLab[[#This Row],[Raw_Value]]),
  _xlpm.scaleF, IFERROR(
    _xlfn.XLOOKUP(_xlpm.analyte, CalibrationCoefficients[Analyte], CalibrationCoefficients[ScaleFactor]),
    1
  ),
  IF(AND(_xlpm.analyte&lt;&gt;"", ISNUMBER(_xlpm.raw)), _xlpm.raw * _xlpm.scaleF, "NA")
)</f>
        <v>34.96</v>
      </c>
      <c r="N699" s="41"/>
      <c r="O699" s="41"/>
      <c r="P699" s="41"/>
      <c r="Q699" s="208"/>
      <c r="R699" s="237" cm="1">
        <f t="array" ref="R69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699" s="238" cm="1">
        <f t="array" ref="S69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699" s="238" cm="1">
        <f t="array" ref="T69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-28</v>
      </c>
      <c r="U699" s="41" t="str" cm="1">
        <f t="array" ref="U69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31.63821 and 0.00000</v>
      </c>
      <c r="V699" s="22"/>
    </row>
    <row r="700" spans="10:22" x14ac:dyDescent="0.15">
      <c r="J700" s="190" t="s">
        <v>268</v>
      </c>
      <c r="K700" s="127" t="s">
        <v>6</v>
      </c>
      <c r="L700" s="208">
        <v>15.9</v>
      </c>
      <c r="M700" s="237">
        <f>_xlfn.LET(
  _xlpm.analyte, SensorLab[[#This Row],[Analyte]],
  _xlpm.raw, N(SensorLab[[#This Row],[Raw_Value]]),
  _xlpm.scaleF, IFERROR(
    _xlfn.XLOOKUP(_xlpm.analyte, CalibrationCoefficients[Analyte], CalibrationCoefficients[ScaleFactor]),
    1
  ),
  IF(AND(_xlpm.analyte&lt;&gt;"", ISNUMBER(_xlpm.raw)), _xlpm.raw * _xlpm.scaleF, "NA")
)</f>
        <v>15.9</v>
      </c>
      <c r="N700" s="41"/>
      <c r="O700" s="41"/>
      <c r="P700" s="41"/>
      <c r="Q700" s="208"/>
      <c r="R700" s="237" cm="1">
        <f t="array" ref="R70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700" s="238" cm="1">
        <f t="array" ref="S70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700" s="238" cm="1">
        <f t="array" ref="T70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v>
      </c>
      <c r="U700" s="41" t="str" cm="1">
        <f t="array" ref="U70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11.92347 and 0.00000</v>
      </c>
      <c r="V700" s="22"/>
    </row>
    <row r="701" spans="10:22" ht="11.25" thickBot="1" x14ac:dyDescent="0.2">
      <c r="J701" s="192" t="s">
        <v>268</v>
      </c>
      <c r="K701" s="193" t="s">
        <v>69</v>
      </c>
      <c r="L701" s="255" t="str" cm="1">
        <f t="array" ref="L701">_xlfn.LET(
  _xlpm.bs,L698, _xlpm.si,L699, _xlpm.c,L700,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M701" s="256" t="str" cm="1">
        <f t="array" ref="M701">_xlfn.LET(
  _xlpm.bs,M698, _xlpm.si,M699, _xlpm.c,M700,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N701" s="245" t="str" cm="1">
        <f t="array" ref="N701">_xlfn.LET(
  _xlpm.bs,N698, _xlpm.si,N699, _xlpm.c,N700,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701" s="245" t="str" cm="1">
        <f t="array" ref="O701">_xlfn.LET(
  _xlpm.bs,O698, _xlpm.si,O699, _xlpm.c,O700,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P701" s="245" t="str" cm="1">
        <f t="array" ref="P701">_xlfn.LET(
  _xlpm.bs,P698, _xlpm.si,P699, _xlpm.c,P700,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701" s="255" t="str" cm="1">
        <f t="array" ref="Q701">_xlfn.LET(
  _xlpm.bs,Q698, _xlpm.si,Q699, _xlpm.c,Q700,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R701" s="256" t="str" cm="1">
        <f t="array" ref="R701">_xlfn.LET(
  _xlpm.bs,R698, _xlpm.si,R699, _xlpm.c,R700,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S701" s="256" t="str" cm="1">
        <f t="array" ref="S701">_xlfn.LET(
  _xlpm.bs,S698, _xlpm.si,S699, _xlpm.c,S700,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T701" s="240" cm="1">
        <f t="array" ref="T70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v>
      </c>
      <c r="U701" s="229" t="str" cm="1">
        <f t="array" ref="U70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#N/A</v>
      </c>
      <c r="V701" s="22"/>
    </row>
    <row r="702" spans="10:22" x14ac:dyDescent="0.15">
      <c r="J702" s="190" t="s">
        <v>269</v>
      </c>
      <c r="K702" s="127" t="s">
        <v>39</v>
      </c>
      <c r="L702" s="208">
        <v>0</v>
      </c>
      <c r="M702"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702" s="41"/>
      <c r="O702" s="41"/>
      <c r="P702" s="41"/>
      <c r="Q702" s="208" t="str">
        <f>_xlfn.LET(
  _xlpm.tRaw, SensorLab[[#This Row],[Tarnab_Lab]],
  _xlpm.bRaw, SensorLab[[#This Row],[Bari_Lab]],
  _xlpm.mRaw, SensorLab[[#This Row],[ManuChar_Lab]],
  _xlpm.tIsNum, ISNUMBER(_xlpm.tRaw),
  _xlpm.bIsNum, ISNUMBER(_xlpm.bRaw),
  _xlpm.mIsNum, ISNUMBER(_xlpm.mRaw),
  _xlpm.t, IF(_xlpm.tIsNum, _xlpm.tRaw, ""),
  _xlpm.b, IF(_xlpm.bIsNum, _xlpm.bRaw, ""),
  _xlpm.m, IF(_xlpm.mIsNum, _xlpm.mRaw, ""),
  _xlpm.c, (--_xlpm.tIsNum) + (--_xlpm.bIsNum) + (--_xlpm.mIsNum),
  _xlpm.sumVals, IF(_xlpm.tIsNum, _xlpm.tRaw, 0) + IF(_xlpm.bIsNum, _xlpm.bRaw, 0) + IF(_xlpm.mIsNum, _xlpm.mRaw, 0),
  _xlpm.result,
    IF(_xlpm.c = 0, "",
      IF(_xlpm.c = 1,
         IF(_xlpm.tIsNum, _xlpm.t, IF(_xlpm.bIsNum, _xlpm.b, _xlpm.m)),
      IF(_xlpm.c = 2,
         _xlpm.sumVals / 2,
         MEDIAN(_xlpm.t, _xlpm.b, _xlpm.m)
      ))),
  _xlpm.result
)</f>
        <v/>
      </c>
      <c r="R702" s="239" cm="1">
        <f t="array" ref="R70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0.44663000000000003</v>
      </c>
      <c r="S702" s="241" cm="1">
        <f t="array" ref="S70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v>
      </c>
      <c r="T702" s="241" cm="1">
        <f t="array" ref="T70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-6</v>
      </c>
      <c r="U702" s="41" t="str" cm="1">
        <f t="array" ref="U70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0.44663 and 0.00000</v>
      </c>
      <c r="V702" s="22"/>
    </row>
    <row r="703" spans="10:22" x14ac:dyDescent="0.15">
      <c r="J703" s="190" t="s">
        <v>269</v>
      </c>
      <c r="K703" s="191" t="s">
        <v>40</v>
      </c>
      <c r="L703" s="208">
        <v>0</v>
      </c>
      <c r="M703"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703" s="41"/>
      <c r="O703" s="41"/>
      <c r="P703" s="41"/>
      <c r="Q703" s="208" t="str">
        <f>_xlfn.LET(
  _xlpm.tRaw, SensorLab[[#This Row],[Tarnab_Lab]],
  _xlpm.bRaw, SensorLab[[#This Row],[Bari_Lab]],
  _xlpm.mRaw, SensorLab[[#This Row],[ManuChar_Lab]],
  _xlpm.tIsNum, ISNUMBER(_xlpm.tRaw),
  _xlpm.bIsNum, ISNUMBER(_xlpm.bRaw),
  _xlpm.mIsNum, ISNUMBER(_xlpm.mRaw),
  _xlpm.t, IF(_xlpm.tIsNum, _xlpm.tRaw, ""),
  _xlpm.b, IF(_xlpm.bIsNum, _xlpm.bRaw, ""),
  _xlpm.m, IF(_xlpm.mIsNum, _xlpm.mRaw, ""),
  _xlpm.c, (--_xlpm.tIsNum) + (--_xlpm.bIsNum) + (--_xlpm.mIsNum),
  _xlpm.sumVals, IF(_xlpm.tIsNum, _xlpm.tRaw, 0) + IF(_xlpm.bIsNum, _xlpm.bRaw, 0) + IF(_xlpm.mIsNum, _xlpm.mRaw, 0),
  _xlpm.result,
    IF(_xlpm.c = 0, "",
      IF(_xlpm.c = 1,
         IF(_xlpm.tIsNum, _xlpm.t, IF(_xlpm.bIsNum, _xlpm.b, _xlpm.m)),
      IF(_xlpm.c = 2,
         _xlpm.sumVals / 2,
         MEDIAN(_xlpm.t, _xlpm.b, _xlpm.m)
      ))),
  _xlpm.result
)</f>
        <v/>
      </c>
      <c r="R703" s="237" cm="1">
        <f t="array" ref="R70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5.3140400000000003</v>
      </c>
      <c r="S703" s="238" cm="1">
        <f t="array" ref="S70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4.1240100000000002</v>
      </c>
      <c r="T703" s="238" cm="1">
        <f t="array" ref="T70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-0.87598999999999982</v>
      </c>
      <c r="U703" s="41" t="str" cm="1">
        <f t="array" ref="U70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5.70934 and 0.00000</v>
      </c>
      <c r="V703" s="22"/>
    </row>
    <row r="704" spans="10:22" x14ac:dyDescent="0.15">
      <c r="J704" s="190" t="s">
        <v>269</v>
      </c>
      <c r="K704" s="191" t="s">
        <v>41</v>
      </c>
      <c r="L704" s="208">
        <v>0</v>
      </c>
      <c r="M704"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704" s="41"/>
      <c r="O704" s="41"/>
      <c r="P704" s="41"/>
      <c r="Q704" s="208"/>
      <c r="R704" s="237" cm="1">
        <f t="array" ref="R70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111.50391999999999</v>
      </c>
      <c r="S704" s="238" cm="1">
        <f t="array" ref="S70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97.80395</v>
      </c>
      <c r="T704" s="238" cm="1">
        <f t="array" ref="T70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-97.80395</v>
      </c>
      <c r="U704" s="41" t="str" cm="1">
        <f t="array" ref="U70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107.71054 and 0.00000</v>
      </c>
      <c r="V704" s="22"/>
    </row>
    <row r="705" spans="10:23" x14ac:dyDescent="0.15">
      <c r="J705" s="190" t="s">
        <v>269</v>
      </c>
      <c r="K705" s="127" t="s">
        <v>52</v>
      </c>
      <c r="L705" s="208">
        <v>38</v>
      </c>
      <c r="M705" s="237">
        <f>_xlfn.LET(
  _xlpm.analyte, SensorLab[[#This Row],[Analyte]],
  _xlpm.raw, N(SensorLab[[#This Row],[Raw_Value]]),
  _xlpm.scaleF, IFERROR(
    _xlfn.XLOOKUP(_xlpm.analyte, CalibrationCoefficients[Analyte], CalibrationCoefficients[ScaleFactor]),
    1
  ),
  IF(AND(_xlpm.analyte&lt;&gt;"", ISNUMBER(_xlpm.raw)), _xlpm.raw * _xlpm.scaleF, "NA")
)</f>
        <v>3.7999999999999999E-2</v>
      </c>
      <c r="N705" s="41"/>
      <c r="O705" s="41"/>
      <c r="P705" s="41"/>
      <c r="Q705" s="208"/>
      <c r="R705" s="237" cm="1">
        <f t="array" ref="R70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0.94062999999999997</v>
      </c>
      <c r="S705" s="238" cm="1">
        <f t="array" ref="S70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0.90839999999999999</v>
      </c>
      <c r="T705" s="238" cm="1">
        <f t="array" ref="T70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-0.90839999999999999</v>
      </c>
      <c r="U705" s="41" t="str" cm="1">
        <f t="array" ref="U70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0.98128 and 0.00000</v>
      </c>
      <c r="V705" s="22"/>
    </row>
    <row r="706" spans="10:23" x14ac:dyDescent="0.15">
      <c r="J706" s="190" t="s">
        <v>269</v>
      </c>
      <c r="K706" s="127" t="s">
        <v>34</v>
      </c>
      <c r="L706" s="208">
        <v>73</v>
      </c>
      <c r="M706" s="237">
        <f>_xlfn.LET(
  _xlpm.analyte, SensorLab[[#This Row],[Analyte]],
  _xlpm.raw, N(SensorLab[[#This Row],[Raw_Value]]),
  _xlpm.scaleF, IFERROR(
    _xlfn.XLOOKUP(_xlpm.analyte, CalibrationCoefficients[Analyte], CalibrationCoefficients[ScaleFactor]),
    1
  ),
  IF(AND(_xlpm.analyte&lt;&gt;"", ISNUMBER(_xlpm.raw)), _xlpm.raw * _xlpm.scaleF, "NA")
)</f>
        <v>7.3000000000000007</v>
      </c>
      <c r="N706" s="41"/>
      <c r="O706" s="41"/>
      <c r="P706" s="41"/>
      <c r="Q706" s="208"/>
      <c r="R706" s="237" cm="1">
        <f t="array" ref="R70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7.8900600000000001</v>
      </c>
      <c r="S706" s="238" cm="1">
        <f t="array" ref="S70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7.8571499999999999</v>
      </c>
      <c r="T706" s="238" cm="1">
        <f t="array" ref="T70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-7.8571499999999999</v>
      </c>
      <c r="U706" s="41" t="str" cm="1">
        <f t="array" ref="U70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7.80301 and 0.00000</v>
      </c>
      <c r="V706" s="22"/>
      <c r="W706" s="5"/>
    </row>
    <row r="707" spans="10:23" x14ac:dyDescent="0.15">
      <c r="J707" s="190" t="s">
        <v>269</v>
      </c>
      <c r="K707" s="127" t="s">
        <v>90</v>
      </c>
      <c r="L707" s="208">
        <v>169</v>
      </c>
      <c r="M707" s="237">
        <f>_xlfn.LET(
  _xlpm.analyte, SensorLab[[#This Row],[Analyte]],
  _xlpm.raw, N(SensorLab[[#This Row],[Raw_Value]]),
  _xlpm.scaleF, IFERROR(
    _xlfn.XLOOKUP(_xlpm.analyte, CalibrationCoefficients[Analyte], CalibrationCoefficients[ScaleFactor]),
    1
  ),
  IF(AND(_xlpm.analyte&lt;&gt;"", ISNUMBER(_xlpm.raw)), _xlpm.raw * _xlpm.scaleF, "NA")
)</f>
        <v>16.900000000000002</v>
      </c>
      <c r="N707" s="41"/>
      <c r="O707" s="41"/>
      <c r="P707" s="41"/>
      <c r="Q707" s="208"/>
      <c r="R707" s="237" cm="1">
        <f t="array" ref="R70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16.946899999999999</v>
      </c>
      <c r="S707" s="238" cm="1">
        <f t="array" ref="S70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16.910319999999999</v>
      </c>
      <c r="T707" s="238" cm="1">
        <f t="array" ref="T70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-7.0896800000000013</v>
      </c>
      <c r="U707" s="41" t="str" cm="1">
        <f t="array" ref="U70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16.83000 and 0.00000</v>
      </c>
      <c r="V707" s="22"/>
      <c r="W707" s="5"/>
    </row>
    <row r="708" spans="10:23" x14ac:dyDescent="0.15">
      <c r="J708" s="190" t="s">
        <v>269</v>
      </c>
      <c r="K708" s="191" t="s">
        <v>43</v>
      </c>
      <c r="L708" s="208">
        <v>179</v>
      </c>
      <c r="M708" s="237">
        <f>_xlfn.LET(
  _xlpm.analyte, SensorLab[[#This Row],[Analyte]],
  _xlpm.raw, N(SensorLab[[#This Row],[Raw_Value]]),
  _xlpm.scaleF, IFERROR(
    _xlfn.XLOOKUP(_xlpm.analyte, CalibrationCoefficients[Analyte], CalibrationCoefficients[ScaleFactor]),
    1
  ),
  IF(AND(_xlpm.analyte&lt;&gt;"", ISNUMBER(_xlpm.raw)), _xlpm.raw * _xlpm.scaleF, "NA")
)</f>
        <v>17.900000000000002</v>
      </c>
      <c r="N708" s="41"/>
      <c r="O708" s="41"/>
      <c r="P708" s="41"/>
      <c r="Q708" s="208"/>
      <c r="R708" s="237" cm="1">
        <f t="array" ref="R70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17.885390000000001</v>
      </c>
      <c r="S708" s="238" cm="1">
        <f t="array" ref="S70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17.898800000000001</v>
      </c>
      <c r="T708" s="238" cm="1">
        <f t="array" ref="T70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-17.898800000000001</v>
      </c>
      <c r="U708" s="41" t="str" cm="1">
        <f t="array" ref="U70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17.90000 and 0.00000</v>
      </c>
      <c r="V708" s="22"/>
    </row>
    <row r="709" spans="10:23" x14ac:dyDescent="0.15">
      <c r="J709" s="190" t="s">
        <v>269</v>
      </c>
      <c r="K709" s="191" t="s">
        <v>45</v>
      </c>
      <c r="L709" s="208">
        <v>5.1999999999999995E-4</v>
      </c>
      <c r="M709" s="237">
        <f>_xlfn.LET(
  _xlpm.analyte, SensorLab[[#This Row],[Analyte]],
  _xlpm.raw, N(SensorLab[[#This Row],[Raw_Value]]),
  _xlpm.scaleF, IFERROR(
    _xlfn.XLOOKUP(_xlpm.analyte, CalibrationCoefficients[Analyte], CalibrationCoefficients[ScaleFactor]),
    1
  ),
  IF(AND(_xlpm.analyte&lt;&gt;"", ISNUMBER(_xlpm.raw)), _xlpm.raw * _xlpm.scaleF, "NA")
)</f>
        <v>5.1999999999999995E-4</v>
      </c>
      <c r="N709" s="41"/>
      <c r="O709" s="41"/>
      <c r="P709" s="41"/>
      <c r="Q709" s="208"/>
      <c r="R709" s="237" cm="1">
        <f t="array" ref="R70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0.60409999999999997</v>
      </c>
      <c r="S709" s="238" cm="1">
        <f t="array" ref="S70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0.6</v>
      </c>
      <c r="T709" s="238" cm="1">
        <f t="array" ref="T70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-0.6</v>
      </c>
      <c r="U709" s="41" t="str" cm="1">
        <f t="array" ref="U70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0.00000 and 0.00000</v>
      </c>
      <c r="V709" s="22"/>
    </row>
    <row r="710" spans="10:23" x14ac:dyDescent="0.15">
      <c r="J710" s="190" t="s">
        <v>269</v>
      </c>
      <c r="K710" s="127" t="s">
        <v>0</v>
      </c>
      <c r="L710" s="208">
        <v>50.75</v>
      </c>
      <c r="M710" s="237">
        <f>_xlfn.LET(
  _xlpm.analyte, SensorLab[[#This Row],[Analyte]],
  _xlpm.raw, N(SensorLab[[#This Row],[Raw_Value]]),
  _xlpm.scaleF, IFERROR(
    _xlfn.XLOOKUP(_xlpm.analyte, CalibrationCoefficients[Analyte], CalibrationCoefficients[ScaleFactor]),
    1
  ),
  IF(AND(_xlpm.analyte&lt;&gt;"", ISNUMBER(_xlpm.raw)), _xlpm.raw * _xlpm.scaleF, "NA")
)</f>
        <v>50.75</v>
      </c>
      <c r="N710" s="41"/>
      <c r="O710" s="41"/>
      <c r="P710" s="41"/>
      <c r="Q710" s="208"/>
      <c r="R710" s="237" cm="1">
        <f t="array" ref="R71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710" s="238" cm="1">
        <f t="array" ref="S71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710" s="238" cm="1">
        <f t="array" ref="T71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-23</v>
      </c>
      <c r="U710" s="41" t="str" cm="1">
        <f t="array" ref="U71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14.83348 and 0.00000</v>
      </c>
      <c r="V710" s="22"/>
    </row>
    <row r="711" spans="10:23" x14ac:dyDescent="0.15">
      <c r="J711" s="190" t="s">
        <v>269</v>
      </c>
      <c r="K711" s="127" t="s">
        <v>5</v>
      </c>
      <c r="L711" s="208">
        <v>34.1</v>
      </c>
      <c r="M711" s="237">
        <f>_xlfn.LET(
  _xlpm.analyte, SensorLab[[#This Row],[Analyte]],
  _xlpm.raw, N(SensorLab[[#This Row],[Raw_Value]]),
  _xlpm.scaleF, IFERROR(
    _xlfn.XLOOKUP(_xlpm.analyte, CalibrationCoefficients[Analyte], CalibrationCoefficients[ScaleFactor]),
    1
  ),
  IF(AND(_xlpm.analyte&lt;&gt;"", ISNUMBER(_xlpm.raw)), _xlpm.raw * _xlpm.scaleF, "NA")
)</f>
        <v>34.1</v>
      </c>
      <c r="N711" s="41"/>
      <c r="O711" s="41"/>
      <c r="P711" s="41"/>
      <c r="Q711" s="208"/>
      <c r="R711" s="237" cm="1">
        <f t="array" ref="R71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711" s="238" cm="1">
        <f t="array" ref="S71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711" s="238" cm="1">
        <f t="array" ref="T71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-28</v>
      </c>
      <c r="U711" s="41" t="str" cm="1">
        <f t="array" ref="U71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31.80963 and 0.00000</v>
      </c>
      <c r="V711" s="22"/>
    </row>
    <row r="712" spans="10:23" x14ac:dyDescent="0.15">
      <c r="J712" s="190" t="s">
        <v>269</v>
      </c>
      <c r="K712" s="127" t="s">
        <v>6</v>
      </c>
      <c r="L712" s="208">
        <v>15.15</v>
      </c>
      <c r="M712" s="237">
        <f>_xlfn.LET(
  _xlpm.analyte, SensorLab[[#This Row],[Analyte]],
  _xlpm.raw, N(SensorLab[[#This Row],[Raw_Value]]),
  _xlpm.scaleF, IFERROR(
    _xlfn.XLOOKUP(_xlpm.analyte, CalibrationCoefficients[Analyte], CalibrationCoefficients[ScaleFactor]),
    1
  ),
  IF(AND(_xlpm.analyte&lt;&gt;"", ISNUMBER(_xlpm.raw)), _xlpm.raw * _xlpm.scaleF, "NA")
)</f>
        <v>15.15</v>
      </c>
      <c r="N712" s="41"/>
      <c r="O712" s="41"/>
      <c r="P712" s="41"/>
      <c r="Q712" s="208"/>
      <c r="R712" s="237" cm="1">
        <f t="array" ref="R71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712" s="238" cm="1">
        <f t="array" ref="S71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712" s="238" cm="1">
        <f t="array" ref="T71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v>
      </c>
      <c r="U712" s="41" t="str" cm="1">
        <f t="array" ref="U71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12.10081 and 0.00000</v>
      </c>
      <c r="V712" s="22"/>
    </row>
    <row r="713" spans="10:23" ht="11.25" thickBot="1" x14ac:dyDescent="0.2">
      <c r="J713" s="192" t="s">
        <v>269</v>
      </c>
      <c r="K713" s="193" t="s">
        <v>69</v>
      </c>
      <c r="L713" s="255" t="str" cm="1">
        <f t="array" ref="L713">_xlfn.LET(
  _xlpm.bs,L710, _xlpm.si,L711, _xlpm.c,L712,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M713" s="256" t="str" cm="1">
        <f t="array" ref="M713">_xlfn.LET(
  _xlpm.bs,M710, _xlpm.si,M711, _xlpm.c,M712,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N713" s="245" t="str" cm="1">
        <f t="array" ref="N713">_xlfn.LET(
  _xlpm.bs,N710, _xlpm.si,N711, _xlpm.c,N712,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713" s="245" t="str" cm="1">
        <f t="array" ref="O713">_xlfn.LET(
  _xlpm.bs,O710, _xlpm.si,O711, _xlpm.c,O712,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P713" s="245" t="str" cm="1">
        <f t="array" ref="P713">_xlfn.LET(
  _xlpm.bs,P710, _xlpm.si,P711, _xlpm.c,P712,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713" s="255" t="str" cm="1">
        <f t="array" ref="Q713">_xlfn.LET(
  _xlpm.bs,Q710, _xlpm.si,Q711, _xlpm.c,Q712,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R713" s="256" t="str" cm="1">
        <f t="array" ref="R713">_xlfn.LET(
  _xlpm.bs,R710, _xlpm.si,R711, _xlpm.c,R712,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S713" s="256" t="str" cm="1">
        <f t="array" ref="S713">_xlfn.LET(
  _xlpm.bs,S710, _xlpm.si,S711, _xlpm.c,S712,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T713" s="240" cm="1">
        <f t="array" ref="T71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v>
      </c>
      <c r="U713" s="229" t="str" cm="1">
        <f t="array" ref="U71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#N/A</v>
      </c>
      <c r="V713" s="22"/>
    </row>
    <row r="714" spans="10:23" x14ac:dyDescent="0.15">
      <c r="J714" s="190" t="s">
        <v>270</v>
      </c>
      <c r="K714" s="127" t="s">
        <v>39</v>
      </c>
      <c r="L714" s="208">
        <v>1</v>
      </c>
      <c r="M714" s="237">
        <f>_xlfn.LET(
  _xlpm.analyte, SensorLab[[#This Row],[Analyte]],
  _xlpm.raw, N(SensorLab[[#This Row],[Raw_Value]]),
  _xlpm.scaleF, IFERROR(
    _xlfn.XLOOKUP(_xlpm.analyte, CalibrationCoefficients[Analyte], CalibrationCoefficients[ScaleFactor]),
    1
  ),
  IF(AND(_xlpm.analyte&lt;&gt;"", ISNUMBER(_xlpm.raw)), _xlpm.raw * _xlpm.scaleF, "NA")
)</f>
        <v>1</v>
      </c>
      <c r="N714" s="41"/>
      <c r="O714" s="41">
        <v>0.38997999999999999</v>
      </c>
      <c r="P714" s="41"/>
      <c r="Q714" s="207" cm="1">
        <f t="array" ref="Q71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0.38997999999999999</v>
      </c>
      <c r="R714" s="239" cm="1">
        <f t="array" ref="R71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0.58699999999999997</v>
      </c>
      <c r="S714" s="241" cm="1">
        <f t="array" ref="S71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2.1403699999999999</v>
      </c>
      <c r="T714" s="241" cm="1">
        <f t="array" ref="T71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-5.8596300000000001</v>
      </c>
      <c r="U714" s="41" t="str" cm="1">
        <f t="array" ref="U71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0.58700 and 0.58354</v>
      </c>
      <c r="V714" s="22"/>
    </row>
    <row r="715" spans="10:23" x14ac:dyDescent="0.15">
      <c r="J715" s="190" t="s">
        <v>270</v>
      </c>
      <c r="K715" s="191" t="s">
        <v>40</v>
      </c>
      <c r="L715" s="208">
        <v>48</v>
      </c>
      <c r="M715" s="237">
        <f>_xlfn.LET(
  _xlpm.analyte, SensorLab[[#This Row],[Analyte]],
  _xlpm.raw, N(SensorLab[[#This Row],[Raw_Value]]),
  _xlpm.scaleF, IFERROR(
    _xlfn.XLOOKUP(_xlpm.analyte, CalibrationCoefficients[Analyte], CalibrationCoefficients[ScaleFactor]),
    1
  ),
  IF(AND(_xlpm.analyte&lt;&gt;"", ISNUMBER(_xlpm.raw)), _xlpm.raw * _xlpm.scaleF, "NA")
)</f>
        <v>48</v>
      </c>
      <c r="N715" s="41"/>
      <c r="O715" s="41">
        <v>2.8</v>
      </c>
      <c r="P715" s="41"/>
      <c r="Q715" s="208" cm="1">
        <f t="array" ref="Q715">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2.8</v>
      </c>
      <c r="R715" s="237" cm="1">
        <f t="array" ref="R71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6.5150100000000002</v>
      </c>
      <c r="S715" s="238" cm="1">
        <f t="array" ref="S71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5.32498</v>
      </c>
      <c r="T715" s="238" cm="1">
        <f t="array" ref="T71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-2.5249799999999998</v>
      </c>
      <c r="U715" s="41" t="str" cm="1">
        <f t="array" ref="U71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6.36405 and 4.50832</v>
      </c>
      <c r="V715" s="22"/>
    </row>
    <row r="716" spans="10:23" x14ac:dyDescent="0.15">
      <c r="J716" s="190" t="s">
        <v>270</v>
      </c>
      <c r="K716" s="191" t="s">
        <v>41</v>
      </c>
      <c r="L716" s="208">
        <v>41</v>
      </c>
      <c r="M716" s="237">
        <f>_xlfn.LET(
  _xlpm.analyte, SensorLab[[#This Row],[Analyte]],
  _xlpm.raw, N(SensorLab[[#This Row],[Raw_Value]]),
  _xlpm.scaleF, IFERROR(
    _xlfn.XLOOKUP(_xlpm.analyte, CalibrationCoefficients[Analyte], CalibrationCoefficients[ScaleFactor]),
    1
  ),
  IF(AND(_xlpm.analyte&lt;&gt;"", ISNUMBER(_xlpm.raw)), _xlpm.raw * _xlpm.scaleF, "NA")
)</f>
        <v>41</v>
      </c>
      <c r="N716" s="41"/>
      <c r="O716" s="41">
        <v>128</v>
      </c>
      <c r="P716" s="41"/>
      <c r="Q716" s="208" cm="1">
        <f t="array" ref="Q71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128</v>
      </c>
      <c r="R716" s="237" cm="1">
        <f t="array" ref="R71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124.38578</v>
      </c>
      <c r="S716" s="238" cm="1">
        <f t="array" ref="S71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110.68581</v>
      </c>
      <c r="T716" s="238" cm="1">
        <f t="array" ref="T71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17.31419</v>
      </c>
      <c r="U716" s="41" t="str" cm="1">
        <f t="array" ref="U71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121.82944 and 124.80944</v>
      </c>
      <c r="V716" s="22"/>
    </row>
    <row r="717" spans="10:23" x14ac:dyDescent="0.15">
      <c r="J717" s="190" t="s">
        <v>270</v>
      </c>
      <c r="K717" s="127" t="s">
        <v>52</v>
      </c>
      <c r="L717" s="208">
        <v>190</v>
      </c>
      <c r="M717" s="237">
        <f>_xlfn.LET(
  _xlpm.analyte, SensorLab[[#This Row],[Analyte]],
  _xlpm.raw, N(SensorLab[[#This Row],[Raw_Value]]),
  _xlpm.scaleF, IFERROR(
    _xlfn.XLOOKUP(_xlpm.analyte, CalibrationCoefficients[Analyte], CalibrationCoefficients[ScaleFactor]),
    1
  ),
  IF(AND(_xlpm.analyte&lt;&gt;"", ISNUMBER(_xlpm.raw)), _xlpm.raw * _xlpm.scaleF, "NA")
)</f>
        <v>0.19</v>
      </c>
      <c r="N717" s="41"/>
      <c r="O717" s="41">
        <v>0.91</v>
      </c>
      <c r="P717" s="41"/>
      <c r="Q717" s="208" cm="1">
        <f t="array" ref="Q717">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0.91</v>
      </c>
      <c r="R717" s="237" cm="1">
        <f t="array" ref="R71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1.0402400000000001</v>
      </c>
      <c r="S717" s="238" cm="1">
        <f t="array" ref="S71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1.0080100000000001</v>
      </c>
      <c r="T717" s="238" cm="1">
        <f t="array" ref="T71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-9.801E-2</v>
      </c>
      <c r="U717" s="41" t="str" cm="1">
        <f t="array" ref="U71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1.01412 and 1.11412</v>
      </c>
      <c r="V717" s="22"/>
    </row>
    <row r="718" spans="10:23" x14ac:dyDescent="0.15">
      <c r="J718" s="190" t="s">
        <v>270</v>
      </c>
      <c r="K718" s="127" t="s">
        <v>34</v>
      </c>
      <c r="L718" s="208">
        <v>65</v>
      </c>
      <c r="M718" s="237">
        <f>_xlfn.LET(
  _xlpm.analyte, SensorLab[[#This Row],[Analyte]],
  _xlpm.raw, N(SensorLab[[#This Row],[Raw_Value]]),
  _xlpm.scaleF, IFERROR(
    _xlfn.XLOOKUP(_xlpm.analyte, CalibrationCoefficients[Analyte], CalibrationCoefficients[ScaleFactor]),
    1
  ),
  IF(AND(_xlpm.analyte&lt;&gt;"", ISNUMBER(_xlpm.raw)), _xlpm.raw * _xlpm.scaleF, "NA")
)</f>
        <v>6.5</v>
      </c>
      <c r="N718" s="41"/>
      <c r="O718" s="41">
        <v>7.71</v>
      </c>
      <c r="P718" s="41"/>
      <c r="Q718" s="208" cm="1">
        <f t="array" ref="Q71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7.71</v>
      </c>
      <c r="R718" s="237" cm="1">
        <f t="array" ref="R71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7.9266199999999998</v>
      </c>
      <c r="S718" s="238" cm="1">
        <f t="array" ref="S71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7.8937099999999996</v>
      </c>
      <c r="T718" s="238" cm="1">
        <f t="array" ref="T71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-0.18371000000000001</v>
      </c>
      <c r="U718" s="41" t="str" cm="1">
        <f t="array" ref="U71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-0.18371)</v>
      </c>
      <c r="V718" s="22"/>
    </row>
    <row r="719" spans="10:23" x14ac:dyDescent="0.15">
      <c r="J719" s="190" t="s">
        <v>270</v>
      </c>
      <c r="K719" s="127" t="s">
        <v>90</v>
      </c>
      <c r="L719" s="208">
        <v>150</v>
      </c>
      <c r="M719" s="237">
        <f>_xlfn.LET(
  _xlpm.analyte, SensorLab[[#This Row],[Analyte]],
  _xlpm.raw, N(SensorLab[[#This Row],[Raw_Value]]),
  _xlpm.scaleF, IFERROR(
    _xlfn.XLOOKUP(_xlpm.analyte, CalibrationCoefficients[Analyte], CalibrationCoefficients[ScaleFactor]),
    1
  ),
  IF(AND(_xlpm.analyte&lt;&gt;"", ISNUMBER(_xlpm.raw)), _xlpm.raw * _xlpm.scaleF, "NA")
)</f>
        <v>15</v>
      </c>
      <c r="N719" s="41"/>
      <c r="O719" s="41">
        <v>15</v>
      </c>
      <c r="P719" s="41"/>
      <c r="Q719" s="208" cm="1">
        <f t="array" ref="Q719">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15</v>
      </c>
      <c r="R719" s="237" cm="1">
        <f t="array" ref="R71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15.00766</v>
      </c>
      <c r="S719" s="238" cm="1">
        <f t="array" ref="S71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14.971080000000001</v>
      </c>
      <c r="T719" s="238" cm="1">
        <f t="array" ref="T71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-9.0289199999999994</v>
      </c>
      <c r="U719" s="41" t="str" cm="1">
        <f t="array" ref="U71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0.02892)</v>
      </c>
      <c r="V719" s="22"/>
    </row>
    <row r="720" spans="10:23" x14ac:dyDescent="0.15">
      <c r="J720" s="190" t="s">
        <v>270</v>
      </c>
      <c r="K720" s="191" t="s">
        <v>43</v>
      </c>
      <c r="L720" s="208">
        <v>332</v>
      </c>
      <c r="M720" s="237">
        <f>_xlfn.LET(
  _xlpm.analyte, SensorLab[[#This Row],[Analyte]],
  _xlpm.raw, N(SensorLab[[#This Row],[Raw_Value]]),
  _xlpm.scaleF, IFERROR(
    _xlfn.XLOOKUP(_xlpm.analyte, CalibrationCoefficients[Analyte], CalibrationCoefficients[ScaleFactor]),
    1
  ),
  IF(AND(_xlpm.analyte&lt;&gt;"", ISNUMBER(_xlpm.raw)), _xlpm.raw * _xlpm.scaleF, "NA")
)</f>
        <v>33.200000000000003</v>
      </c>
      <c r="N720" s="41"/>
      <c r="O720" s="41">
        <v>33.200000000000003</v>
      </c>
      <c r="P720" s="41"/>
      <c r="Q720" s="208" cm="1">
        <f t="array" ref="Q72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33.200000000000003</v>
      </c>
      <c r="R720" s="237" cm="1">
        <f t="array" ref="R72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33.189219999999999</v>
      </c>
      <c r="S720" s="238" cm="1">
        <f t="array" ref="S72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33.202629999999999</v>
      </c>
      <c r="T720" s="238" cm="1">
        <f t="array" ref="T72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3.2026299999999992</v>
      </c>
      <c r="U720" s="41" t="str" cm="1">
        <f t="array" ref="U72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33.20000 and 33.20000</v>
      </c>
      <c r="V720" s="22"/>
    </row>
    <row r="721" spans="10:22" x14ac:dyDescent="0.15">
      <c r="J721" s="190" t="s">
        <v>270</v>
      </c>
      <c r="K721" s="191" t="s">
        <v>45</v>
      </c>
      <c r="L721" s="208">
        <v>6.0340000000000003E-4</v>
      </c>
      <c r="M721" s="237">
        <f>_xlfn.LET(
  _xlpm.analyte, SensorLab[[#This Row],[Analyte]],
  _xlpm.raw, N(SensorLab[[#This Row],[Raw_Value]]),
  _xlpm.scaleF, IFERROR(
    _xlfn.XLOOKUP(_xlpm.analyte, CalibrationCoefficients[Analyte], CalibrationCoefficients[ScaleFactor]),
    1
  ),
  IF(AND(_xlpm.analyte&lt;&gt;"", ISNUMBER(_xlpm.raw)), _xlpm.raw * _xlpm.scaleF, "NA")
)</f>
        <v>6.0340000000000003E-4</v>
      </c>
      <c r="N721" s="41"/>
      <c r="O721" s="41">
        <v>1.06</v>
      </c>
      <c r="P721" s="41"/>
      <c r="Q721" s="208" cm="1">
        <f t="array" ref="Q721">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1.06</v>
      </c>
      <c r="R721" s="237" cm="1">
        <f t="array" ref="R72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0.61068999999999996</v>
      </c>
      <c r="S721" s="238" cm="1">
        <f t="array" ref="S72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0.60658999999999996</v>
      </c>
      <c r="T721" s="238" cm="1">
        <f t="array" ref="T72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0.45340999999999998</v>
      </c>
      <c r="U721" s="41" t="str" cm="1">
        <f t="array" ref="U72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0.79838 and 1.32162</v>
      </c>
      <c r="V721" s="22"/>
    </row>
    <row r="722" spans="10:22" x14ac:dyDescent="0.15">
      <c r="J722" s="190" t="s">
        <v>270</v>
      </c>
      <c r="K722" s="127" t="s">
        <v>0</v>
      </c>
      <c r="L722" s="208">
        <v>21.711091418976203</v>
      </c>
      <c r="M722" s="237">
        <f>_xlfn.LET(
  _xlpm.analyte, SensorLab[[#This Row],[Analyte]],
  _xlpm.raw, N(SensorLab[[#This Row],[Raw_Value]]),
  _xlpm.scaleF, IFERROR(
    _xlfn.XLOOKUP(_xlpm.analyte, CalibrationCoefficients[Analyte], CalibrationCoefficients[ScaleFactor]),
    1
  ),
  IF(AND(_xlpm.analyte&lt;&gt;"", ISNUMBER(_xlpm.raw)), _xlpm.raw * _xlpm.scaleF, "NA")
)</f>
        <v>21.711091418976203</v>
      </c>
      <c r="N722" s="41"/>
      <c r="O722" s="41">
        <v>30</v>
      </c>
      <c r="P722" s="41"/>
      <c r="Q722" s="208" cm="1">
        <f t="array" ref="Q72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30</v>
      </c>
      <c r="R722" s="237" cm="1">
        <f t="array" ref="R72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30</v>
      </c>
      <c r="S722" s="238" cm="1">
        <f t="array" ref="S72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30</v>
      </c>
      <c r="T722" s="238" cm="1">
        <f t="array" ref="T72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722" s="41" t="str" cm="1">
        <f t="array" ref="U72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722" s="22"/>
    </row>
    <row r="723" spans="10:22" x14ac:dyDescent="0.15">
      <c r="J723" s="190" t="s">
        <v>270</v>
      </c>
      <c r="K723" s="127" t="s">
        <v>5</v>
      </c>
      <c r="L723" s="208">
        <v>58.529665731876968</v>
      </c>
      <c r="M723" s="237">
        <f>_xlfn.LET(
  _xlpm.analyte, SensorLab[[#This Row],[Analyte]],
  _xlpm.raw, N(SensorLab[[#This Row],[Raw_Value]]),
  _xlpm.scaleF, IFERROR(
    _xlfn.XLOOKUP(_xlpm.analyte, CalibrationCoefficients[Analyte], CalibrationCoefficients[ScaleFactor]),
    1
  ),
  IF(AND(_xlpm.analyte&lt;&gt;"", ISNUMBER(_xlpm.raw)), _xlpm.raw * _xlpm.scaleF, "NA")
)</f>
        <v>58.529665731876968</v>
      </c>
      <c r="N723" s="41"/>
      <c r="O723" s="41">
        <v>50</v>
      </c>
      <c r="P723" s="41"/>
      <c r="Q723" s="208" cm="1">
        <f t="array" ref="Q723">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50</v>
      </c>
      <c r="R723" s="237" cm="1">
        <f t="array" ref="R72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50</v>
      </c>
      <c r="S723" s="238" cm="1">
        <f t="array" ref="S72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50</v>
      </c>
      <c r="T723" s="238" cm="1">
        <f t="array" ref="T72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723" s="41" t="str" cm="1">
        <f t="array" ref="U72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723" s="22"/>
    </row>
    <row r="724" spans="10:22" x14ac:dyDescent="0.15">
      <c r="J724" s="190" t="s">
        <v>270</v>
      </c>
      <c r="K724" s="127" t="s">
        <v>6</v>
      </c>
      <c r="L724" s="208">
        <v>19.759242849146833</v>
      </c>
      <c r="M724" s="237">
        <f>_xlfn.LET(
  _xlpm.analyte, SensorLab[[#This Row],[Analyte]],
  _xlpm.raw, N(SensorLab[[#This Row],[Raw_Value]]),
  _xlpm.scaleF, IFERROR(
    _xlfn.XLOOKUP(_xlpm.analyte, CalibrationCoefficients[Analyte], CalibrationCoefficients[ScaleFactor]),
    1
  ),
  IF(AND(_xlpm.analyte&lt;&gt;"", ISNUMBER(_xlpm.raw)), _xlpm.raw * _xlpm.scaleF, "NA")
)</f>
        <v>19.759242849146833</v>
      </c>
      <c r="N724" s="41"/>
      <c r="O724" s="41">
        <v>20</v>
      </c>
      <c r="P724" s="41"/>
      <c r="Q724" s="208" cm="1">
        <f t="array" ref="Q72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20</v>
      </c>
      <c r="R724" s="237" cm="1">
        <f t="array" ref="R72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20</v>
      </c>
      <c r="S724" s="238" cm="1">
        <f t="array" ref="S72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20</v>
      </c>
      <c r="T724" s="238" cm="1">
        <f t="array" ref="T72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724" s="41" t="str" cm="1">
        <f t="array" ref="U72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724" s="22"/>
    </row>
    <row r="725" spans="10:22" ht="11.25" thickBot="1" x14ac:dyDescent="0.2">
      <c r="J725" s="192" t="s">
        <v>270</v>
      </c>
      <c r="K725" s="193" t="s">
        <v>69</v>
      </c>
      <c r="L725" s="255" t="str" cm="1">
        <f t="array" ref="L725">_xlfn.LET(
  _xlpm.bs,L722, _xlpm.si,L723, _xlpm.c,L724,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M725" s="256" t="str" cm="1">
        <f t="array" ref="M725">_xlfn.LET(
  _xlpm.bs,M722, _xlpm.si,M723, _xlpm.c,M724,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N725" s="245" t="str" cm="1">
        <f t="array" ref="N725">_xlfn.LET(
  _xlpm.bs,N722, _xlpm.si,N723, _xlpm.c,N724,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725" s="245" t="str" cm="1">
        <f t="array" ref="O725">_xlfn.LET(
  _xlpm.bs,O722, _xlpm.si,O723, _xlpm.c,O724,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P725" s="245" t="str" cm="1">
        <f t="array" ref="P725">_xlfn.LET(
  _xlpm.bs,P722, _xlpm.si,P723, _xlpm.c,P724,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725" s="255" t="str" cm="1">
        <f t="array" ref="Q725">_xlfn.LET(
  _xlpm.bs,Q722, _xlpm.si,Q723, _xlpm.c,Q724,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R725" s="256" t="str" cm="1">
        <f t="array" ref="R725">_xlfn.LET(
  _xlpm.bs,R722, _xlpm.si,R723, _xlpm.c,R724,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S725" s="256" t="str" cm="1">
        <f t="array" ref="S725">_xlfn.LET(
  _xlpm.bs,S722, _xlpm.si,S723, _xlpm.c,S724,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T725" s="240" cm="1">
        <f t="array" ref="T72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725" s="229" t="str" cm="1">
        <f t="array" ref="U72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(Texture match: Loam)</v>
      </c>
      <c r="V725" s="22"/>
    </row>
    <row r="726" spans="10:22" x14ac:dyDescent="0.15">
      <c r="J726" s="190" t="s">
        <v>271</v>
      </c>
      <c r="K726" s="127" t="s">
        <v>39</v>
      </c>
      <c r="L726" s="208">
        <v>0</v>
      </c>
      <c r="M726"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726" s="41"/>
      <c r="O726" s="41"/>
      <c r="P726" s="41"/>
      <c r="Q726" s="208" t="str">
        <f>_xlfn.LET(
  _xlpm.tRaw, SensorLab[[#This Row],[Tarnab_Lab]],
  _xlpm.bRaw, SensorLab[[#This Row],[Bari_Lab]],
  _xlpm.mRaw, SensorLab[[#This Row],[ManuChar_Lab]],
  _xlpm.tIsNum, ISNUMBER(_xlpm.tRaw),
  _xlpm.bIsNum, ISNUMBER(_xlpm.bRaw),
  _xlpm.mIsNum, ISNUMBER(_xlpm.mRaw),
  _xlpm.t, IF(_xlpm.tIsNum, _xlpm.tRaw, ""),
  _xlpm.b, IF(_xlpm.bIsNum, _xlpm.bRaw, ""),
  _xlpm.m, IF(_xlpm.mIsNum, _xlpm.mRaw, ""),
  _xlpm.c, (--_xlpm.tIsNum) + (--_xlpm.bIsNum) + (--_xlpm.mIsNum),
  _xlpm.sumVals, IF(_xlpm.tIsNum, _xlpm.tRaw, 0) + IF(_xlpm.bIsNum, _xlpm.bRaw, 0) + IF(_xlpm.mIsNum, _xlpm.mRaw, 0),
  _xlpm.result,
    IF(_xlpm.c = 0, "",
      IF(_xlpm.c = 1,
         IF(_xlpm.tIsNum, _xlpm.t, IF(_xlpm.bIsNum, _xlpm.b, _xlpm.m)),
      IF(_xlpm.c = 2,
         _xlpm.sumVals / 2,
         MEDIAN(_xlpm.t, _xlpm.b, _xlpm.m)
      ))),
  _xlpm.result
)</f>
        <v/>
      </c>
      <c r="R726" s="239" cm="1">
        <f t="array" ref="R72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0.44663000000000003</v>
      </c>
      <c r="S726" s="241" cm="1">
        <f t="array" ref="S72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v>
      </c>
      <c r="T726" s="241" cm="1">
        <f t="array" ref="T72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-6</v>
      </c>
      <c r="U726" s="41" t="str" cm="1">
        <f t="array" ref="U72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0.44663 and 0.00000</v>
      </c>
      <c r="V726" s="22"/>
    </row>
    <row r="727" spans="10:22" x14ac:dyDescent="0.15">
      <c r="J727" s="190" t="s">
        <v>271</v>
      </c>
      <c r="K727" s="191" t="s">
        <v>40</v>
      </c>
      <c r="L727" s="208">
        <v>0</v>
      </c>
      <c r="M727"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727" s="41"/>
      <c r="O727" s="41"/>
      <c r="P727" s="41"/>
      <c r="Q727" s="208" t="str">
        <f>_xlfn.LET(
  _xlpm.tRaw, SensorLab[[#This Row],[Tarnab_Lab]],
  _xlpm.bRaw, SensorLab[[#This Row],[Bari_Lab]],
  _xlpm.mRaw, SensorLab[[#This Row],[ManuChar_Lab]],
  _xlpm.tIsNum, ISNUMBER(_xlpm.tRaw),
  _xlpm.bIsNum, ISNUMBER(_xlpm.bRaw),
  _xlpm.mIsNum, ISNUMBER(_xlpm.mRaw),
  _xlpm.t, IF(_xlpm.tIsNum, _xlpm.tRaw, ""),
  _xlpm.b, IF(_xlpm.bIsNum, _xlpm.bRaw, ""),
  _xlpm.m, IF(_xlpm.mIsNum, _xlpm.mRaw, ""),
  _xlpm.c, (--_xlpm.tIsNum) + (--_xlpm.bIsNum) + (--_xlpm.mIsNum),
  _xlpm.sumVals, IF(_xlpm.tIsNum, _xlpm.tRaw, 0) + IF(_xlpm.bIsNum, _xlpm.bRaw, 0) + IF(_xlpm.mIsNum, _xlpm.mRaw, 0),
  _xlpm.result,
    IF(_xlpm.c = 0, "",
      IF(_xlpm.c = 1,
         IF(_xlpm.tIsNum, _xlpm.t, IF(_xlpm.bIsNum, _xlpm.b, _xlpm.m)),
      IF(_xlpm.c = 2,
         _xlpm.sumVals / 2,
         MEDIAN(_xlpm.t, _xlpm.b, _xlpm.m)
      ))),
  _xlpm.result
)</f>
        <v/>
      </c>
      <c r="R727" s="237" cm="1">
        <f t="array" ref="R72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5.3140400000000003</v>
      </c>
      <c r="S727" s="238" cm="1">
        <f t="array" ref="S72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4.1240100000000002</v>
      </c>
      <c r="T727" s="238" cm="1">
        <f t="array" ref="T72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-0.87598999999999982</v>
      </c>
      <c r="U727" s="41" t="str" cm="1">
        <f t="array" ref="U72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5.70934 and 0.00000</v>
      </c>
      <c r="V727" s="22"/>
    </row>
    <row r="728" spans="10:22" x14ac:dyDescent="0.15">
      <c r="J728" s="190" t="s">
        <v>271</v>
      </c>
      <c r="K728" s="191" t="s">
        <v>41</v>
      </c>
      <c r="L728" s="208">
        <v>0</v>
      </c>
      <c r="M728"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728" s="41"/>
      <c r="O728" s="41"/>
      <c r="P728" s="41"/>
      <c r="Q728" s="208" t="str">
        <f>_xlfn.LET(
  _xlpm.tRaw, SensorLab[[#This Row],[Tarnab_Lab]],
  _xlpm.bRaw, SensorLab[[#This Row],[Bari_Lab]],
  _xlpm.mRaw, SensorLab[[#This Row],[ManuChar_Lab]],
  _xlpm.tIsNum, ISNUMBER(_xlpm.tRaw),
  _xlpm.bIsNum, ISNUMBER(_xlpm.bRaw),
  _xlpm.mIsNum, ISNUMBER(_xlpm.mRaw),
  _xlpm.t, IF(_xlpm.tIsNum, _xlpm.tRaw, ""),
  _xlpm.b, IF(_xlpm.bIsNum, _xlpm.bRaw, ""),
  _xlpm.m, IF(_xlpm.mIsNum, _xlpm.mRaw, ""),
  _xlpm.c, (--_xlpm.tIsNum) + (--_xlpm.bIsNum) + (--_xlpm.mIsNum),
  _xlpm.sumVals, IF(_xlpm.tIsNum, _xlpm.tRaw, 0) + IF(_xlpm.bIsNum, _xlpm.bRaw, 0) + IF(_xlpm.mIsNum, _xlpm.mRaw, 0),
  _xlpm.result,
    IF(_xlpm.c = 0, "",
      IF(_xlpm.c = 1,
         IF(_xlpm.tIsNum, _xlpm.t, IF(_xlpm.bIsNum, _xlpm.b, _xlpm.m)),
      IF(_xlpm.c = 2,
         _xlpm.sumVals / 2,
         MEDIAN(_xlpm.t, _xlpm.b, _xlpm.m)
      ))),
  _xlpm.result
)</f>
        <v/>
      </c>
      <c r="R728" s="237" cm="1">
        <f t="array" ref="R72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111.50391999999999</v>
      </c>
      <c r="S728" s="238" cm="1">
        <f t="array" ref="S72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97.80395</v>
      </c>
      <c r="T728" s="238" cm="1">
        <f t="array" ref="T72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-97.80395</v>
      </c>
      <c r="U728" s="41" t="str" cm="1">
        <f t="array" ref="U72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107.71054 and 0.00000</v>
      </c>
      <c r="V728" s="22"/>
    </row>
    <row r="729" spans="10:22" x14ac:dyDescent="0.15">
      <c r="J729" s="190" t="s">
        <v>271</v>
      </c>
      <c r="K729" s="127" t="s">
        <v>52</v>
      </c>
      <c r="L729" s="208">
        <v>0</v>
      </c>
      <c r="M729"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729" s="41"/>
      <c r="O729" s="41"/>
      <c r="P729" s="41"/>
      <c r="Q729" s="208"/>
      <c r="R729" s="237" cm="1">
        <f t="array" ref="R72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0.91573000000000004</v>
      </c>
      <c r="S729" s="238" cm="1">
        <f t="array" ref="S72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0.88349999999999995</v>
      </c>
      <c r="T729" s="238" cm="1">
        <f t="array" ref="T72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-0.88349999999999995</v>
      </c>
      <c r="U729" s="41" t="str" cm="1">
        <f t="array" ref="U72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0.97307 and 0.00000</v>
      </c>
      <c r="V729" s="22"/>
    </row>
    <row r="730" spans="10:22" x14ac:dyDescent="0.15">
      <c r="J730" s="190" t="s">
        <v>271</v>
      </c>
      <c r="K730" s="127" t="s">
        <v>34</v>
      </c>
      <c r="L730" s="208">
        <v>73</v>
      </c>
      <c r="M730" s="237">
        <f>_xlfn.LET(
  _xlpm.analyte, SensorLab[[#This Row],[Analyte]],
  _xlpm.raw, N(SensorLab[[#This Row],[Raw_Value]]),
  _xlpm.scaleF, IFERROR(
    _xlfn.XLOOKUP(_xlpm.analyte, CalibrationCoefficients[Analyte], CalibrationCoefficients[ScaleFactor]),
    1
  ),
  IF(AND(_xlpm.analyte&lt;&gt;"", ISNUMBER(_xlpm.raw)), _xlpm.raw * _xlpm.scaleF, "NA")
)</f>
        <v>7.3000000000000007</v>
      </c>
      <c r="N730" s="41"/>
      <c r="O730" s="41"/>
      <c r="P730" s="41"/>
      <c r="Q730" s="208"/>
      <c r="R730" s="237" cm="1">
        <f t="array" ref="R73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7.8900600000000001</v>
      </c>
      <c r="S730" s="238" cm="1">
        <f t="array" ref="S73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7.8571499999999999</v>
      </c>
      <c r="T730" s="238" cm="1">
        <f t="array" ref="T73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-7.8571499999999999</v>
      </c>
      <c r="U730" s="41" t="str" cm="1">
        <f t="array" ref="U73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7.80301 and 0.00000</v>
      </c>
      <c r="V730" s="22"/>
    </row>
    <row r="731" spans="10:22" x14ac:dyDescent="0.15">
      <c r="J731" s="190" t="s">
        <v>271</v>
      </c>
      <c r="K731" s="127" t="s">
        <v>90</v>
      </c>
      <c r="L731" s="208">
        <v>164</v>
      </c>
      <c r="M731" s="237">
        <f>_xlfn.LET(
  _xlpm.analyte, SensorLab[[#This Row],[Analyte]],
  _xlpm.raw, N(SensorLab[[#This Row],[Raw_Value]]),
  _xlpm.scaleF, IFERROR(
    _xlfn.XLOOKUP(_xlpm.analyte, CalibrationCoefficients[Analyte], CalibrationCoefficients[ScaleFactor]),
    1
  ),
  IF(AND(_xlpm.analyte&lt;&gt;"", ISNUMBER(_xlpm.raw)), _xlpm.raw * _xlpm.scaleF, "NA")
)</f>
        <v>16.400000000000002</v>
      </c>
      <c r="N731" s="41"/>
      <c r="O731" s="41"/>
      <c r="P731" s="41"/>
      <c r="Q731" s="208"/>
      <c r="R731" s="237" cm="1">
        <f t="array" ref="R73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16.436579999999999</v>
      </c>
      <c r="S731" s="238" cm="1">
        <f t="array" ref="S73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16.399999999999999</v>
      </c>
      <c r="T731" s="238" cm="1">
        <f t="array" ref="T73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-7.6000000000000014</v>
      </c>
      <c r="U731" s="41" t="str" cm="1">
        <f t="array" ref="U73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16.33000 and 0.00000</v>
      </c>
      <c r="V731" s="22"/>
    </row>
    <row r="732" spans="10:22" x14ac:dyDescent="0.15">
      <c r="J732" s="190" t="s">
        <v>271</v>
      </c>
      <c r="K732" s="191" t="s">
        <v>43</v>
      </c>
      <c r="L732" s="208">
        <v>149</v>
      </c>
      <c r="M732" s="237">
        <f>_xlfn.LET(
  _xlpm.analyte, SensorLab[[#This Row],[Analyte]],
  _xlpm.raw, N(SensorLab[[#This Row],[Raw_Value]]),
  _xlpm.scaleF, IFERROR(
    _xlfn.XLOOKUP(_xlpm.analyte, CalibrationCoefficients[Analyte], CalibrationCoefficients[ScaleFactor]),
    1
  ),
  IF(AND(_xlpm.analyte&lt;&gt;"", ISNUMBER(_xlpm.raw)), _xlpm.raw * _xlpm.scaleF, "NA")
)</f>
        <v>14.9</v>
      </c>
      <c r="N732" s="41"/>
      <c r="O732" s="41"/>
      <c r="P732" s="41"/>
      <c r="Q732" s="208"/>
      <c r="R732" s="237" cm="1">
        <f t="array" ref="R73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14.884639999999999</v>
      </c>
      <c r="S732" s="238" cm="1">
        <f t="array" ref="S73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14.89805</v>
      </c>
      <c r="T732" s="238" cm="1">
        <f t="array" ref="T73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-0.10195000000000043</v>
      </c>
      <c r="U732" s="41" t="str" cm="1">
        <f t="array" ref="U73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14.90000 and 0.00000</v>
      </c>
      <c r="V732" s="22"/>
    </row>
    <row r="733" spans="10:22" x14ac:dyDescent="0.15">
      <c r="J733" s="190" t="s">
        <v>271</v>
      </c>
      <c r="K733" s="191" t="s">
        <v>45</v>
      </c>
      <c r="L733" s="208">
        <v>5.1999999999999995E-4</v>
      </c>
      <c r="M733" s="237">
        <f>_xlfn.LET(
  _xlpm.analyte, SensorLab[[#This Row],[Analyte]],
  _xlpm.raw, N(SensorLab[[#This Row],[Raw_Value]]),
  _xlpm.scaleF, IFERROR(
    _xlfn.XLOOKUP(_xlpm.analyte, CalibrationCoefficients[Analyte], CalibrationCoefficients[ScaleFactor]),
    1
  ),
  IF(AND(_xlpm.analyte&lt;&gt;"", ISNUMBER(_xlpm.raw)), _xlpm.raw * _xlpm.scaleF, "NA")
)</f>
        <v>5.1999999999999995E-4</v>
      </c>
      <c r="N733" s="41"/>
      <c r="O733" s="41"/>
      <c r="P733" s="41"/>
      <c r="Q733" s="208"/>
      <c r="R733" s="237" cm="1">
        <f t="array" ref="R73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0.60409999999999997</v>
      </c>
      <c r="S733" s="238" cm="1">
        <f t="array" ref="S73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0.6</v>
      </c>
      <c r="T733" s="238" cm="1">
        <f t="array" ref="T73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-0.6</v>
      </c>
      <c r="U733" s="41" t="str" cm="1">
        <f t="array" ref="U73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0.00000 and 0.00000</v>
      </c>
      <c r="V733" s="22"/>
    </row>
    <row r="734" spans="10:22" x14ac:dyDescent="0.15">
      <c r="J734" s="190" t="s">
        <v>271</v>
      </c>
      <c r="K734" s="127" t="s">
        <v>0</v>
      </c>
      <c r="L734" s="208">
        <v>50.78</v>
      </c>
      <c r="M734" s="237">
        <f>_xlfn.LET(
  _xlpm.analyte, SensorLab[[#This Row],[Analyte]],
  _xlpm.raw, N(SensorLab[[#This Row],[Raw_Value]]),
  _xlpm.scaleF, IFERROR(
    _xlfn.XLOOKUP(_xlpm.analyte, CalibrationCoefficients[Analyte], CalibrationCoefficients[ScaleFactor]),
    1
  ),
  IF(AND(_xlpm.analyte&lt;&gt;"", ISNUMBER(_xlpm.raw)), _xlpm.raw * _xlpm.scaleF, "NA")
)</f>
        <v>50.78</v>
      </c>
      <c r="N734" s="41"/>
      <c r="O734" s="41"/>
      <c r="P734" s="41"/>
      <c r="Q734" s="208"/>
      <c r="R734" s="237" cm="1">
        <f t="array" ref="R73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734" s="238" cm="1">
        <f t="array" ref="S73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734" s="238" cm="1">
        <f t="array" ref="T73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-23</v>
      </c>
      <c r="U734" s="41" t="str" cm="1">
        <f t="array" ref="U73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14.82772 and 0.00000</v>
      </c>
      <c r="V734" s="22"/>
    </row>
    <row r="735" spans="10:22" x14ac:dyDescent="0.15">
      <c r="J735" s="190" t="s">
        <v>271</v>
      </c>
      <c r="K735" s="127" t="s">
        <v>5</v>
      </c>
      <c r="L735" s="208">
        <v>34.090000000000003</v>
      </c>
      <c r="M735" s="237">
        <f>_xlfn.LET(
  _xlpm.analyte, SensorLab[[#This Row],[Analyte]],
  _xlpm.raw, N(SensorLab[[#This Row],[Raw_Value]]),
  _xlpm.scaleF, IFERROR(
    _xlfn.XLOOKUP(_xlpm.analyte, CalibrationCoefficients[Analyte], CalibrationCoefficients[ScaleFactor]),
    1
  ),
  IF(AND(_xlpm.analyte&lt;&gt;"", ISNUMBER(_xlpm.raw)), _xlpm.raw * _xlpm.scaleF, "NA")
)</f>
        <v>34.090000000000003</v>
      </c>
      <c r="N735" s="41"/>
      <c r="O735" s="41"/>
      <c r="P735" s="41"/>
      <c r="Q735" s="208"/>
      <c r="R735" s="237" cm="1">
        <f t="array" ref="R73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735" s="238" cm="1">
        <f t="array" ref="S73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735" s="238" cm="1">
        <f t="array" ref="T73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-28</v>
      </c>
      <c r="U735" s="41" t="str" cm="1">
        <f t="array" ref="U73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31.81163 and 0.00000</v>
      </c>
      <c r="V735" s="22"/>
    </row>
    <row r="736" spans="10:22" x14ac:dyDescent="0.15">
      <c r="J736" s="190" t="s">
        <v>271</v>
      </c>
      <c r="K736" s="127" t="s">
        <v>6</v>
      </c>
      <c r="L736" s="208">
        <v>15.13</v>
      </c>
      <c r="M736" s="237">
        <f>_xlfn.LET(
  _xlpm.analyte, SensorLab[[#This Row],[Analyte]],
  _xlpm.raw, N(SensorLab[[#This Row],[Raw_Value]]),
  _xlpm.scaleF, IFERROR(
    _xlfn.XLOOKUP(_xlpm.analyte, CalibrationCoefficients[Analyte], CalibrationCoefficients[ScaleFactor]),
    1
  ),
  IF(AND(_xlpm.analyte&lt;&gt;"", ISNUMBER(_xlpm.raw)), _xlpm.raw * _xlpm.scaleF, "NA")
)</f>
        <v>15.13</v>
      </c>
      <c r="N736" s="41"/>
      <c r="O736" s="41"/>
      <c r="P736" s="41"/>
      <c r="Q736" s="208"/>
      <c r="R736" s="237" cm="1">
        <f t="array" ref="R73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736" s="238" cm="1">
        <f t="array" ref="S73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736" s="238" cm="1">
        <f t="array" ref="T73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v>
      </c>
      <c r="U736" s="41" t="str" cm="1">
        <f t="array" ref="U73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12.10554 and 0.00000</v>
      </c>
      <c r="V736" s="22"/>
    </row>
    <row r="737" spans="10:22" ht="11.25" thickBot="1" x14ac:dyDescent="0.2">
      <c r="J737" s="192" t="s">
        <v>271</v>
      </c>
      <c r="K737" s="193" t="s">
        <v>69</v>
      </c>
      <c r="L737" s="255" t="str" cm="1">
        <f t="array" ref="L737">_xlfn.LET(
  _xlpm.bs,L734, _xlpm.si,L735, _xlpm.c,L736,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M737" s="256" t="str" cm="1">
        <f t="array" ref="M737">_xlfn.LET(
  _xlpm.bs,M734, _xlpm.si,M735, _xlpm.c,M736,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N737" s="245" t="str" cm="1">
        <f t="array" ref="N737">_xlfn.LET(
  _xlpm.bs,N734, _xlpm.si,N735, _xlpm.c,N736,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737" s="245" t="str" cm="1">
        <f t="array" ref="O737">_xlfn.LET(
  _xlpm.bs,O734, _xlpm.si,O735, _xlpm.c,O736,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P737" s="245" t="str" cm="1">
        <f t="array" ref="P737">_xlfn.LET(
  _xlpm.bs,P734, _xlpm.si,P735, _xlpm.c,P736,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737" s="255" t="str" cm="1">
        <f t="array" ref="Q737">_xlfn.LET(
  _xlpm.bs,Q734, _xlpm.si,Q735, _xlpm.c,Q736,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R737" s="256" t="str" cm="1">
        <f t="array" ref="R737">_xlfn.LET(
  _xlpm.bs,R734, _xlpm.si,R735, _xlpm.c,R736,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S737" s="256" t="str" cm="1">
        <f t="array" ref="S737">_xlfn.LET(
  _xlpm.bs,S734, _xlpm.si,S735, _xlpm.c,S736,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T737" s="240" cm="1">
        <f t="array" ref="T73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v>
      </c>
      <c r="U737" s="229" t="str" cm="1">
        <f t="array" ref="U73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#N/A</v>
      </c>
      <c r="V737" s="22"/>
    </row>
    <row r="738" spans="10:22" x14ac:dyDescent="0.15">
      <c r="J738" s="190" t="s">
        <v>272</v>
      </c>
      <c r="K738" s="127" t="s">
        <v>39</v>
      </c>
      <c r="L738" s="208">
        <v>0</v>
      </c>
      <c r="M738"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738" s="41"/>
      <c r="O738" s="41"/>
      <c r="P738" s="41"/>
      <c r="Q738" s="208" t="str">
        <f>_xlfn.LET(
  _xlpm.tRaw, SensorLab[[#This Row],[Tarnab_Lab]],
  _xlpm.bRaw, SensorLab[[#This Row],[Bari_Lab]],
  _xlpm.mRaw, SensorLab[[#This Row],[ManuChar_Lab]],
  _xlpm.tIsNum, ISNUMBER(_xlpm.tRaw),
  _xlpm.bIsNum, ISNUMBER(_xlpm.bRaw),
  _xlpm.mIsNum, ISNUMBER(_xlpm.mRaw),
  _xlpm.t, IF(_xlpm.tIsNum, _xlpm.tRaw, ""),
  _xlpm.b, IF(_xlpm.bIsNum, _xlpm.bRaw, ""),
  _xlpm.m, IF(_xlpm.mIsNum, _xlpm.mRaw, ""),
  _xlpm.c, (--_xlpm.tIsNum) + (--_xlpm.bIsNum) + (--_xlpm.mIsNum),
  _xlpm.sumVals, IF(_xlpm.tIsNum, _xlpm.tRaw, 0) + IF(_xlpm.bIsNum, _xlpm.bRaw, 0) + IF(_xlpm.mIsNum, _xlpm.mRaw, 0),
  _xlpm.result,
    IF(_xlpm.c = 0, "",
      IF(_xlpm.c = 1,
         IF(_xlpm.tIsNum, _xlpm.t, IF(_xlpm.bIsNum, _xlpm.b, _xlpm.m)),
      IF(_xlpm.c = 2,
         _xlpm.sumVals / 2,
         MEDIAN(_xlpm.t, _xlpm.b, _xlpm.m)
      ))),
  _xlpm.result
)</f>
        <v/>
      </c>
      <c r="R738" s="239" cm="1">
        <f t="array" ref="R73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0.44663000000000003</v>
      </c>
      <c r="S738" s="241" cm="1">
        <f t="array" ref="S73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v>
      </c>
      <c r="T738" s="241" cm="1">
        <f t="array" ref="T73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-6</v>
      </c>
      <c r="U738" s="41" t="str" cm="1">
        <f t="array" ref="U73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0.44663 and 0.00000</v>
      </c>
      <c r="V738" s="22"/>
    </row>
    <row r="739" spans="10:22" x14ac:dyDescent="0.15">
      <c r="J739" s="190" t="s">
        <v>272</v>
      </c>
      <c r="K739" s="191" t="s">
        <v>40</v>
      </c>
      <c r="L739" s="208">
        <v>0</v>
      </c>
      <c r="M739"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739" s="41"/>
      <c r="O739" s="41"/>
      <c r="P739" s="41"/>
      <c r="Q739" s="208" t="str">
        <f>_xlfn.LET(
  _xlpm.tRaw, SensorLab[[#This Row],[Tarnab_Lab]],
  _xlpm.bRaw, SensorLab[[#This Row],[Bari_Lab]],
  _xlpm.mRaw, SensorLab[[#This Row],[ManuChar_Lab]],
  _xlpm.tIsNum, ISNUMBER(_xlpm.tRaw),
  _xlpm.bIsNum, ISNUMBER(_xlpm.bRaw),
  _xlpm.mIsNum, ISNUMBER(_xlpm.mRaw),
  _xlpm.t, IF(_xlpm.tIsNum, _xlpm.tRaw, ""),
  _xlpm.b, IF(_xlpm.bIsNum, _xlpm.bRaw, ""),
  _xlpm.m, IF(_xlpm.mIsNum, _xlpm.mRaw, ""),
  _xlpm.c, (--_xlpm.tIsNum) + (--_xlpm.bIsNum) + (--_xlpm.mIsNum),
  _xlpm.sumVals, IF(_xlpm.tIsNum, _xlpm.tRaw, 0) + IF(_xlpm.bIsNum, _xlpm.bRaw, 0) + IF(_xlpm.mIsNum, _xlpm.mRaw, 0),
  _xlpm.result,
    IF(_xlpm.c = 0, "",
      IF(_xlpm.c = 1,
         IF(_xlpm.tIsNum, _xlpm.t, IF(_xlpm.bIsNum, _xlpm.b, _xlpm.m)),
      IF(_xlpm.c = 2,
         _xlpm.sumVals / 2,
         MEDIAN(_xlpm.t, _xlpm.b, _xlpm.m)
      ))),
  _xlpm.result
)</f>
        <v/>
      </c>
      <c r="R739" s="237" cm="1">
        <f t="array" ref="R73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5.3140400000000003</v>
      </c>
      <c r="S739" s="238" cm="1">
        <f t="array" ref="S73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4.1240100000000002</v>
      </c>
      <c r="T739" s="238" cm="1">
        <f t="array" ref="T73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-0.87598999999999982</v>
      </c>
      <c r="U739" s="41" t="str" cm="1">
        <f t="array" ref="U73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5.70934 and 0.00000</v>
      </c>
      <c r="V739" s="22"/>
    </row>
    <row r="740" spans="10:22" x14ac:dyDescent="0.15">
      <c r="J740" s="190" t="s">
        <v>272</v>
      </c>
      <c r="K740" s="191" t="s">
        <v>41</v>
      </c>
      <c r="L740" s="208">
        <v>0</v>
      </c>
      <c r="M740"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740" s="41"/>
      <c r="O740" s="41"/>
      <c r="P740" s="41"/>
      <c r="Q740" s="208"/>
      <c r="R740" s="237" cm="1">
        <f t="array" ref="R74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111.50391999999999</v>
      </c>
      <c r="S740" s="238" cm="1">
        <f t="array" ref="S74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97.80395</v>
      </c>
      <c r="T740" s="238" cm="1">
        <f t="array" ref="T74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-97.80395</v>
      </c>
      <c r="U740" s="41" t="str" cm="1">
        <f t="array" ref="U74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107.71054 and 0.00000</v>
      </c>
      <c r="V740" s="22"/>
    </row>
    <row r="741" spans="10:22" x14ac:dyDescent="0.15">
      <c r="J741" s="190" t="s">
        <v>272</v>
      </c>
      <c r="K741" s="127" t="s">
        <v>52</v>
      </c>
      <c r="L741" s="208">
        <v>58</v>
      </c>
      <c r="M741" s="237">
        <f>_xlfn.LET(
  _xlpm.analyte, SensorLab[[#This Row],[Analyte]],
  _xlpm.raw, N(SensorLab[[#This Row],[Raw_Value]]),
  _xlpm.scaleF, IFERROR(
    _xlfn.XLOOKUP(_xlpm.analyte, CalibrationCoefficients[Analyte], CalibrationCoefficients[ScaleFactor]),
    1
  ),
  IF(AND(_xlpm.analyte&lt;&gt;"", ISNUMBER(_xlpm.raw)), _xlpm.raw * _xlpm.scaleF, "NA")
)</f>
        <v>5.8000000000000003E-2</v>
      </c>
      <c r="N741" s="41"/>
      <c r="O741" s="41"/>
      <c r="P741" s="41"/>
      <c r="Q741" s="208"/>
      <c r="R741" s="237" cm="1">
        <f t="array" ref="R74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0.95374000000000003</v>
      </c>
      <c r="S741" s="238" cm="1">
        <f t="array" ref="S74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0.92151000000000005</v>
      </c>
      <c r="T741" s="238" cm="1">
        <f t="array" ref="T74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-0.92151000000000005</v>
      </c>
      <c r="U741" s="41" t="str" cm="1">
        <f t="array" ref="U74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0.98560 and 0.00000</v>
      </c>
      <c r="V741" s="22"/>
    </row>
    <row r="742" spans="10:22" x14ac:dyDescent="0.15">
      <c r="J742" s="190" t="s">
        <v>272</v>
      </c>
      <c r="K742" s="127" t="s">
        <v>34</v>
      </c>
      <c r="L742" s="208">
        <v>77</v>
      </c>
      <c r="M742" s="237">
        <f>_xlfn.LET(
  _xlpm.analyte, SensorLab[[#This Row],[Analyte]],
  _xlpm.raw, N(SensorLab[[#This Row],[Raw_Value]]),
  _xlpm.scaleF, IFERROR(
    _xlfn.XLOOKUP(_xlpm.analyte, CalibrationCoefficients[Analyte], CalibrationCoefficients[ScaleFactor]),
    1
  ),
  IF(AND(_xlpm.analyte&lt;&gt;"", ISNUMBER(_xlpm.raw)), _xlpm.raw * _xlpm.scaleF, "NA")
)</f>
        <v>7.7</v>
      </c>
      <c r="N742" s="41"/>
      <c r="O742" s="41"/>
      <c r="P742" s="41"/>
      <c r="Q742" s="208"/>
      <c r="R742" s="237" cm="1">
        <f t="array" ref="R74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7.8717800000000002</v>
      </c>
      <c r="S742" s="238" cm="1">
        <f t="array" ref="S74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7.83887</v>
      </c>
      <c r="T742" s="238" cm="1">
        <f t="array" ref="T74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-7.83887</v>
      </c>
      <c r="U742" s="41" t="str" cm="1">
        <f t="array" ref="U74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7.78243 and 0.00000</v>
      </c>
      <c r="V742" s="22"/>
    </row>
    <row r="743" spans="10:22" x14ac:dyDescent="0.15">
      <c r="J743" s="190" t="s">
        <v>272</v>
      </c>
      <c r="K743" s="127" t="s">
        <v>90</v>
      </c>
      <c r="L743" s="208">
        <v>140</v>
      </c>
      <c r="M743" s="237">
        <f>_xlfn.LET(
  _xlpm.analyte, SensorLab[[#This Row],[Analyte]],
  _xlpm.raw, N(SensorLab[[#This Row],[Raw_Value]]),
  _xlpm.scaleF, IFERROR(
    _xlfn.XLOOKUP(_xlpm.analyte, CalibrationCoefficients[Analyte], CalibrationCoefficients[ScaleFactor]),
    1
  ),
  IF(AND(_xlpm.analyte&lt;&gt;"", ISNUMBER(_xlpm.raw)), _xlpm.raw * _xlpm.scaleF, "NA")
)</f>
        <v>14</v>
      </c>
      <c r="N743" s="41"/>
      <c r="O743" s="41"/>
      <c r="P743" s="41"/>
      <c r="Q743" s="208"/>
      <c r="R743" s="237" cm="1">
        <f t="array" ref="R74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13.98701</v>
      </c>
      <c r="S743" s="238" cm="1">
        <f t="array" ref="S74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13.950430000000001</v>
      </c>
      <c r="T743" s="238" cm="1">
        <f t="array" ref="T74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-10.049569999999999</v>
      </c>
      <c r="U743" s="41" t="str" cm="1">
        <f t="array" ref="U74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13.93000 and 0.00000</v>
      </c>
      <c r="V743" s="22"/>
    </row>
    <row r="744" spans="10:22" x14ac:dyDescent="0.15">
      <c r="J744" s="190" t="s">
        <v>272</v>
      </c>
      <c r="K744" s="191" t="s">
        <v>43</v>
      </c>
      <c r="L744" s="208">
        <v>200</v>
      </c>
      <c r="M744" s="237">
        <f>_xlfn.LET(
  _xlpm.analyte, SensorLab[[#This Row],[Analyte]],
  _xlpm.raw, N(SensorLab[[#This Row],[Raw_Value]]),
  _xlpm.scaleF, IFERROR(
    _xlfn.XLOOKUP(_xlpm.analyte, CalibrationCoefficients[Analyte], CalibrationCoefficients[ScaleFactor]),
    1
  ),
  IF(AND(_xlpm.analyte&lt;&gt;"", ISNUMBER(_xlpm.raw)), _xlpm.raw * _xlpm.scaleF, "NA")
)</f>
        <v>20</v>
      </c>
      <c r="N744" s="41"/>
      <c r="O744" s="41"/>
      <c r="P744" s="41"/>
      <c r="Q744" s="208"/>
      <c r="R744" s="237" cm="1">
        <f t="array" ref="R74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19.98592</v>
      </c>
      <c r="S744" s="238" cm="1">
        <f t="array" ref="S74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19.99933</v>
      </c>
      <c r="T744" s="238" cm="1">
        <f t="array" ref="T74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-19.99933</v>
      </c>
      <c r="U744" s="41" t="str" cm="1">
        <f t="array" ref="U74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20.00000 and 0.00000</v>
      </c>
      <c r="V744" s="22"/>
    </row>
    <row r="745" spans="10:22" x14ac:dyDescent="0.15">
      <c r="J745" s="190" t="s">
        <v>272</v>
      </c>
      <c r="K745" s="191" t="s">
        <v>45</v>
      </c>
      <c r="L745" s="208">
        <v>5.1999999999999995E-4</v>
      </c>
      <c r="M745" s="237">
        <f>_xlfn.LET(
  _xlpm.analyte, SensorLab[[#This Row],[Analyte]],
  _xlpm.raw, N(SensorLab[[#This Row],[Raw_Value]]),
  _xlpm.scaleF, IFERROR(
    _xlfn.XLOOKUP(_xlpm.analyte, CalibrationCoefficients[Analyte], CalibrationCoefficients[ScaleFactor]),
    1
  ),
  IF(AND(_xlpm.analyte&lt;&gt;"", ISNUMBER(_xlpm.raw)), _xlpm.raw * _xlpm.scaleF, "NA")
)</f>
        <v>5.1999999999999995E-4</v>
      </c>
      <c r="N745" s="41"/>
      <c r="O745" s="41"/>
      <c r="P745" s="41"/>
      <c r="Q745" s="208"/>
      <c r="R745" s="237" cm="1">
        <f t="array" ref="R74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0.60409999999999997</v>
      </c>
      <c r="S745" s="238" cm="1">
        <f t="array" ref="S74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0.6</v>
      </c>
      <c r="T745" s="238" cm="1">
        <f t="array" ref="T74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-0.6</v>
      </c>
      <c r="U745" s="41" t="str" cm="1">
        <f t="array" ref="U74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0.00000 and 0.00000</v>
      </c>
      <c r="V745" s="22"/>
    </row>
    <row r="746" spans="10:22" x14ac:dyDescent="0.15">
      <c r="J746" s="190" t="s">
        <v>272</v>
      </c>
      <c r="K746" s="127" t="s">
        <v>0</v>
      </c>
      <c r="L746" s="208">
        <v>50.72</v>
      </c>
      <c r="M746" s="237">
        <f>_xlfn.LET(
  _xlpm.analyte, SensorLab[[#This Row],[Analyte]],
  _xlpm.raw, N(SensorLab[[#This Row],[Raw_Value]]),
  _xlpm.scaleF, IFERROR(
    _xlfn.XLOOKUP(_xlpm.analyte, CalibrationCoefficients[Analyte], CalibrationCoefficients[ScaleFactor]),
    1
  ),
  IF(AND(_xlpm.analyte&lt;&gt;"", ISNUMBER(_xlpm.raw)), _xlpm.raw * _xlpm.scaleF, "NA")
)</f>
        <v>50.72</v>
      </c>
      <c r="N746" s="41"/>
      <c r="O746" s="41"/>
      <c r="P746" s="41"/>
      <c r="Q746" s="208"/>
      <c r="R746" s="237" cm="1">
        <f t="array" ref="R74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746" s="238" cm="1">
        <f t="array" ref="S74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746" s="238" cm="1">
        <f t="array" ref="T74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-23</v>
      </c>
      <c r="U746" s="41" t="str" cm="1">
        <f t="array" ref="U74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14.83924 and 0.00000</v>
      </c>
      <c r="V746" s="22"/>
    </row>
    <row r="747" spans="10:22" x14ac:dyDescent="0.15">
      <c r="J747" s="190" t="s">
        <v>272</v>
      </c>
      <c r="K747" s="127" t="s">
        <v>5</v>
      </c>
      <c r="L747" s="208">
        <v>34.119999999999997</v>
      </c>
      <c r="M747" s="237">
        <f>_xlfn.LET(
  _xlpm.analyte, SensorLab[[#This Row],[Analyte]],
  _xlpm.raw, N(SensorLab[[#This Row],[Raw_Value]]),
  _xlpm.scaleF, IFERROR(
    _xlfn.XLOOKUP(_xlpm.analyte, CalibrationCoefficients[Analyte], CalibrationCoefficients[ScaleFactor]),
    1
  ),
  IF(AND(_xlpm.analyte&lt;&gt;"", ISNUMBER(_xlpm.raw)), _xlpm.raw * _xlpm.scaleF, "NA")
)</f>
        <v>34.119999999999997</v>
      </c>
      <c r="N747" s="41"/>
      <c r="O747" s="41"/>
      <c r="P747" s="41"/>
      <c r="Q747" s="208"/>
      <c r="R747" s="237" cm="1">
        <f t="array" ref="R74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747" s="238" cm="1">
        <f t="array" ref="S74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747" s="238" cm="1">
        <f t="array" ref="T74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-28</v>
      </c>
      <c r="U747" s="41" t="str" cm="1">
        <f t="array" ref="U74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31.80565 and 0.00000</v>
      </c>
      <c r="V747" s="22"/>
    </row>
    <row r="748" spans="10:22" x14ac:dyDescent="0.15">
      <c r="J748" s="190" t="s">
        <v>272</v>
      </c>
      <c r="K748" s="127" t="s">
        <v>6</v>
      </c>
      <c r="L748" s="208">
        <v>15.16</v>
      </c>
      <c r="M748" s="237">
        <f>_xlfn.LET(
  _xlpm.analyte, SensorLab[[#This Row],[Analyte]],
  _xlpm.raw, N(SensorLab[[#This Row],[Raw_Value]]),
  _xlpm.scaleF, IFERROR(
    _xlfn.XLOOKUP(_xlpm.analyte, CalibrationCoefficients[Analyte], CalibrationCoefficients[ScaleFactor]),
    1
  ),
  IF(AND(_xlpm.analyte&lt;&gt;"", ISNUMBER(_xlpm.raw)), _xlpm.raw * _xlpm.scaleF, "NA")
)</f>
        <v>15.16</v>
      </c>
      <c r="N748" s="41"/>
      <c r="O748" s="41"/>
      <c r="P748" s="41"/>
      <c r="Q748" s="208"/>
      <c r="R748" s="237" cm="1">
        <f t="array" ref="R74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748" s="238" cm="1">
        <f t="array" ref="S74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748" s="238" cm="1">
        <f t="array" ref="T74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v>
      </c>
      <c r="U748" s="41" t="str" cm="1">
        <f t="array" ref="U74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12.09844 and 0.00000</v>
      </c>
      <c r="V748" s="22"/>
    </row>
    <row r="749" spans="10:22" ht="11.25" thickBot="1" x14ac:dyDescent="0.2">
      <c r="J749" s="192" t="s">
        <v>272</v>
      </c>
      <c r="K749" s="193" t="s">
        <v>69</v>
      </c>
      <c r="L749" s="255" t="str" cm="1">
        <f t="array" ref="L749">_xlfn.LET(
  _xlpm.bs,L746, _xlpm.si,L747, _xlpm.c,L748,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M749" s="256" t="str" cm="1">
        <f t="array" ref="M749">_xlfn.LET(
  _xlpm.bs,M746, _xlpm.si,M747, _xlpm.c,M748,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N749" s="245" t="str" cm="1">
        <f t="array" ref="N749">_xlfn.LET(
  _xlpm.bs,N746, _xlpm.si,N747, _xlpm.c,N748,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749" s="245" t="str" cm="1">
        <f t="array" ref="O749">_xlfn.LET(
  _xlpm.bs,O746, _xlpm.si,O747, _xlpm.c,O748,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P749" s="245" t="str" cm="1">
        <f t="array" ref="P749">_xlfn.LET(
  _xlpm.bs,P746, _xlpm.si,P747, _xlpm.c,P748,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749" s="255" t="str" cm="1">
        <f t="array" ref="Q749">_xlfn.LET(
  _xlpm.bs,Q746, _xlpm.si,Q747, _xlpm.c,Q748,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R749" s="256" t="str" cm="1">
        <f t="array" ref="R749">_xlfn.LET(
  _xlpm.bs,R746, _xlpm.si,R747, _xlpm.c,R748,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S749" s="256" t="str" cm="1">
        <f t="array" ref="S749">_xlfn.LET(
  _xlpm.bs,S746, _xlpm.si,S747, _xlpm.c,S748,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T749" s="240" cm="1">
        <f t="array" ref="T74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v>
      </c>
      <c r="U749" s="229" t="str" cm="1">
        <f t="array" ref="U74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#N/A</v>
      </c>
      <c r="V749" s="22"/>
    </row>
    <row r="750" spans="10:22" x14ac:dyDescent="0.15">
      <c r="J750" s="190" t="s">
        <v>273</v>
      </c>
      <c r="K750" s="127" t="s">
        <v>39</v>
      </c>
      <c r="L750" s="208">
        <v>0</v>
      </c>
      <c r="M750"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750" s="41"/>
      <c r="O750" s="41"/>
      <c r="P750" s="41"/>
      <c r="Q750" s="208" t="str">
        <f>_xlfn.LET(
  _xlpm.tRaw, SensorLab[[#This Row],[Tarnab_Lab]],
  _xlpm.bRaw, SensorLab[[#This Row],[Bari_Lab]],
  _xlpm.mRaw, SensorLab[[#This Row],[ManuChar_Lab]],
  _xlpm.tIsNum, ISNUMBER(_xlpm.tRaw),
  _xlpm.bIsNum, ISNUMBER(_xlpm.bRaw),
  _xlpm.mIsNum, ISNUMBER(_xlpm.mRaw),
  _xlpm.t, IF(_xlpm.tIsNum, _xlpm.tRaw, ""),
  _xlpm.b, IF(_xlpm.bIsNum, _xlpm.bRaw, ""),
  _xlpm.m, IF(_xlpm.mIsNum, _xlpm.mRaw, ""),
  _xlpm.c, (--_xlpm.tIsNum) + (--_xlpm.bIsNum) + (--_xlpm.mIsNum),
  _xlpm.sumVals, IF(_xlpm.tIsNum, _xlpm.tRaw, 0) + IF(_xlpm.bIsNum, _xlpm.bRaw, 0) + IF(_xlpm.mIsNum, _xlpm.mRaw, 0),
  _xlpm.result,
    IF(_xlpm.c = 0, "",
      IF(_xlpm.c = 1,
         IF(_xlpm.tIsNum, _xlpm.t, IF(_xlpm.bIsNum, _xlpm.b, _xlpm.m)),
      IF(_xlpm.c = 2,
         _xlpm.sumVals / 2,
         MEDIAN(_xlpm.t, _xlpm.b, _xlpm.m)
      ))),
  _xlpm.result
)</f>
        <v/>
      </c>
      <c r="R750" s="239" cm="1">
        <f t="array" ref="R75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0.44663000000000003</v>
      </c>
      <c r="S750" s="241" cm="1">
        <f t="array" ref="S75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v>
      </c>
      <c r="T750" s="241" cm="1">
        <f t="array" ref="T75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-6</v>
      </c>
      <c r="U750" s="41" t="str" cm="1">
        <f t="array" ref="U75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0.44663 and 0.00000</v>
      </c>
      <c r="V750" s="22"/>
    </row>
    <row r="751" spans="10:22" x14ac:dyDescent="0.15">
      <c r="J751" s="190" t="s">
        <v>273</v>
      </c>
      <c r="K751" s="191" t="s">
        <v>40</v>
      </c>
      <c r="L751" s="208">
        <v>0</v>
      </c>
      <c r="M751"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751" s="41"/>
      <c r="O751" s="41"/>
      <c r="P751" s="41"/>
      <c r="Q751" s="208" t="str">
        <f>_xlfn.LET(
  _xlpm.tRaw, SensorLab[[#This Row],[Tarnab_Lab]],
  _xlpm.bRaw, SensorLab[[#This Row],[Bari_Lab]],
  _xlpm.mRaw, SensorLab[[#This Row],[ManuChar_Lab]],
  _xlpm.tIsNum, ISNUMBER(_xlpm.tRaw),
  _xlpm.bIsNum, ISNUMBER(_xlpm.bRaw),
  _xlpm.mIsNum, ISNUMBER(_xlpm.mRaw),
  _xlpm.t, IF(_xlpm.tIsNum, _xlpm.tRaw, ""),
  _xlpm.b, IF(_xlpm.bIsNum, _xlpm.bRaw, ""),
  _xlpm.m, IF(_xlpm.mIsNum, _xlpm.mRaw, ""),
  _xlpm.c, (--_xlpm.tIsNum) + (--_xlpm.bIsNum) + (--_xlpm.mIsNum),
  _xlpm.sumVals, IF(_xlpm.tIsNum, _xlpm.tRaw, 0) + IF(_xlpm.bIsNum, _xlpm.bRaw, 0) + IF(_xlpm.mIsNum, _xlpm.mRaw, 0),
  _xlpm.result,
    IF(_xlpm.c = 0, "",
      IF(_xlpm.c = 1,
         IF(_xlpm.tIsNum, _xlpm.t, IF(_xlpm.bIsNum, _xlpm.b, _xlpm.m)),
      IF(_xlpm.c = 2,
         _xlpm.sumVals / 2,
         MEDIAN(_xlpm.t, _xlpm.b, _xlpm.m)
      ))),
  _xlpm.result
)</f>
        <v/>
      </c>
      <c r="R751" s="237" cm="1">
        <f t="array" ref="R75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5.3140400000000003</v>
      </c>
      <c r="S751" s="238" cm="1">
        <f t="array" ref="S75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4.1240100000000002</v>
      </c>
      <c r="T751" s="238" cm="1">
        <f t="array" ref="T75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-0.87598999999999982</v>
      </c>
      <c r="U751" s="41" t="str" cm="1">
        <f t="array" ref="U75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5.70934 and 0.00000</v>
      </c>
      <c r="V751" s="22"/>
    </row>
    <row r="752" spans="10:22" x14ac:dyDescent="0.15">
      <c r="J752" s="190" t="s">
        <v>273</v>
      </c>
      <c r="K752" s="191" t="s">
        <v>41</v>
      </c>
      <c r="L752" s="208">
        <v>0</v>
      </c>
      <c r="M752"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752" s="41"/>
      <c r="O752" s="41"/>
      <c r="P752" s="41"/>
      <c r="Q752" s="208"/>
      <c r="R752" s="237" cm="1">
        <f t="array" ref="R75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111.50391999999999</v>
      </c>
      <c r="S752" s="238" cm="1">
        <f t="array" ref="S75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97.80395</v>
      </c>
      <c r="T752" s="238" cm="1">
        <f t="array" ref="T75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-97.80395</v>
      </c>
      <c r="U752" s="41" t="str" cm="1">
        <f t="array" ref="U75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107.71054 and 0.00000</v>
      </c>
      <c r="V752" s="22"/>
    </row>
    <row r="753" spans="10:23" x14ac:dyDescent="0.15">
      <c r="J753" s="190" t="s">
        <v>273</v>
      </c>
      <c r="K753" s="127" t="s">
        <v>52</v>
      </c>
      <c r="L753" s="208">
        <v>31</v>
      </c>
      <c r="M753" s="237">
        <f>_xlfn.LET(
  _xlpm.analyte, SensorLab[[#This Row],[Analyte]],
  _xlpm.raw, N(SensorLab[[#This Row],[Raw_Value]]),
  _xlpm.scaleF, IFERROR(
    _xlfn.XLOOKUP(_xlpm.analyte, CalibrationCoefficients[Analyte], CalibrationCoefficients[ScaleFactor]),
    1
  ),
  IF(AND(_xlpm.analyte&lt;&gt;"", ISNUMBER(_xlpm.raw)), _xlpm.raw * _xlpm.scaleF, "NA")
)</f>
        <v>3.1E-2</v>
      </c>
      <c r="N753" s="41"/>
      <c r="O753" s="41"/>
      <c r="P753" s="41"/>
      <c r="Q753" s="208"/>
      <c r="R753" s="237" cm="1">
        <f t="array" ref="R75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0.93603999999999998</v>
      </c>
      <c r="S753" s="238" cm="1">
        <f t="array" ref="S75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0.90381</v>
      </c>
      <c r="T753" s="238" cm="1">
        <f t="array" ref="T75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-0.90381</v>
      </c>
      <c r="U753" s="41" t="str" cm="1">
        <f t="array" ref="U75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0.97977 and 0.00000</v>
      </c>
      <c r="V753" s="22"/>
    </row>
    <row r="754" spans="10:23" x14ac:dyDescent="0.15">
      <c r="J754" s="190" t="s">
        <v>273</v>
      </c>
      <c r="K754" s="127" t="s">
        <v>34</v>
      </c>
      <c r="L754" s="208">
        <v>77</v>
      </c>
      <c r="M754" s="237">
        <f>_xlfn.LET(
  _xlpm.analyte, SensorLab[[#This Row],[Analyte]],
  _xlpm.raw, N(SensorLab[[#This Row],[Raw_Value]]),
  _xlpm.scaleF, IFERROR(
    _xlfn.XLOOKUP(_xlpm.analyte, CalibrationCoefficients[Analyte], CalibrationCoefficients[ScaleFactor]),
    1
  ),
  IF(AND(_xlpm.analyte&lt;&gt;"", ISNUMBER(_xlpm.raw)), _xlpm.raw * _xlpm.scaleF, "NA")
)</f>
        <v>7.7</v>
      </c>
      <c r="N754" s="41"/>
      <c r="O754" s="41"/>
      <c r="P754" s="41"/>
      <c r="Q754" s="208"/>
      <c r="R754" s="237" cm="1">
        <f t="array" ref="R75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7.8717800000000002</v>
      </c>
      <c r="S754" s="238" cm="1">
        <f t="array" ref="S75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7.83887</v>
      </c>
      <c r="T754" s="238" cm="1">
        <f t="array" ref="T75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-7.83887</v>
      </c>
      <c r="U754" s="41" t="str" cm="1">
        <f t="array" ref="U75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7.78243 and 0.00000</v>
      </c>
      <c r="V754" s="22"/>
    </row>
    <row r="755" spans="10:23" x14ac:dyDescent="0.15">
      <c r="J755" s="190" t="s">
        <v>273</v>
      </c>
      <c r="K755" s="127" t="s">
        <v>90</v>
      </c>
      <c r="L755" s="208">
        <v>199</v>
      </c>
      <c r="M755" s="237">
        <f>_xlfn.LET(
  _xlpm.analyte, SensorLab[[#This Row],[Analyte]],
  _xlpm.raw, N(SensorLab[[#This Row],[Raw_Value]]),
  _xlpm.scaleF, IFERROR(
    _xlfn.XLOOKUP(_xlpm.analyte, CalibrationCoefficients[Analyte], CalibrationCoefficients[ScaleFactor]),
    1
  ),
  IF(AND(_xlpm.analyte&lt;&gt;"", ISNUMBER(_xlpm.raw)), _xlpm.raw * _xlpm.scaleF, "NA")
)</f>
        <v>19.900000000000002</v>
      </c>
      <c r="N755" s="41"/>
      <c r="O755" s="41"/>
      <c r="P755" s="41"/>
      <c r="Q755" s="208"/>
      <c r="R755" s="237" cm="1">
        <f t="array" ref="R75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20.008870000000002</v>
      </c>
      <c r="S755" s="238" cm="1">
        <f t="array" ref="S75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19.972290000000001</v>
      </c>
      <c r="T755" s="238" cm="1">
        <f t="array" ref="T75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-4.027709999999999</v>
      </c>
      <c r="U755" s="41" t="str" cm="1">
        <f t="array" ref="U75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19.83000 and 0.00000</v>
      </c>
      <c r="V755" s="22"/>
    </row>
    <row r="756" spans="10:23" x14ac:dyDescent="0.15">
      <c r="J756" s="190" t="s">
        <v>273</v>
      </c>
      <c r="K756" s="191" t="s">
        <v>43</v>
      </c>
      <c r="L756" s="208">
        <v>145</v>
      </c>
      <c r="M756" s="237">
        <f>_xlfn.LET(
  _xlpm.analyte, SensorLab[[#This Row],[Analyte]],
  _xlpm.raw, N(SensorLab[[#This Row],[Raw_Value]]),
  _xlpm.scaleF, IFERROR(
    _xlfn.XLOOKUP(_xlpm.analyte, CalibrationCoefficients[Analyte], CalibrationCoefficients[ScaleFactor]),
    1
  ),
  IF(AND(_xlpm.analyte&lt;&gt;"", ISNUMBER(_xlpm.raw)), _xlpm.raw * _xlpm.scaleF, "NA")
)</f>
        <v>14.5</v>
      </c>
      <c r="N756" s="41"/>
      <c r="O756" s="41"/>
      <c r="P756" s="41"/>
      <c r="Q756" s="208"/>
      <c r="R756" s="237" cm="1">
        <f t="array" ref="R75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14.484540000000001</v>
      </c>
      <c r="S756" s="238" cm="1">
        <f t="array" ref="S75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14.497949999999999</v>
      </c>
      <c r="T756" s="238" cm="1">
        <f t="array" ref="T75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-0.50205000000000055</v>
      </c>
      <c r="U756" s="41" t="str" cm="1">
        <f t="array" ref="U75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14.50000 and 0.00000</v>
      </c>
      <c r="V756" s="22"/>
    </row>
    <row r="757" spans="10:23" x14ac:dyDescent="0.15">
      <c r="J757" s="190" t="s">
        <v>273</v>
      </c>
      <c r="K757" s="191" t="s">
        <v>45</v>
      </c>
      <c r="L757" s="208">
        <v>5.1999999999999995E-4</v>
      </c>
      <c r="M757" s="237">
        <f>_xlfn.LET(
  _xlpm.analyte, SensorLab[[#This Row],[Analyte]],
  _xlpm.raw, N(SensorLab[[#This Row],[Raw_Value]]),
  _xlpm.scaleF, IFERROR(
    _xlfn.XLOOKUP(_xlpm.analyte, CalibrationCoefficients[Analyte], CalibrationCoefficients[ScaleFactor]),
    1
  ),
  IF(AND(_xlpm.analyte&lt;&gt;"", ISNUMBER(_xlpm.raw)), _xlpm.raw * _xlpm.scaleF, "NA")
)</f>
        <v>5.1999999999999995E-4</v>
      </c>
      <c r="N757" s="41"/>
      <c r="O757" s="41"/>
      <c r="P757" s="41"/>
      <c r="Q757" s="208"/>
      <c r="R757" s="237" cm="1">
        <f t="array" ref="R75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0.60409999999999997</v>
      </c>
      <c r="S757" s="238" cm="1">
        <f t="array" ref="S75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0.6</v>
      </c>
      <c r="T757" s="238" cm="1">
        <f t="array" ref="T75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-0.6</v>
      </c>
      <c r="U757" s="41" t="str" cm="1">
        <f t="array" ref="U75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0.00000 and 0.00000</v>
      </c>
      <c r="V757" s="22"/>
    </row>
    <row r="758" spans="10:23" x14ac:dyDescent="0.15">
      <c r="J758" s="190" t="s">
        <v>273</v>
      </c>
      <c r="K758" s="127" t="s">
        <v>0</v>
      </c>
      <c r="L758" s="208">
        <v>50.79</v>
      </c>
      <c r="M758" s="237">
        <f>_xlfn.LET(
  _xlpm.analyte, SensorLab[[#This Row],[Analyte]],
  _xlpm.raw, N(SensorLab[[#This Row],[Raw_Value]]),
  _xlpm.scaleF, IFERROR(
    _xlfn.XLOOKUP(_xlpm.analyte, CalibrationCoefficients[Analyte], CalibrationCoefficients[ScaleFactor]),
    1
  ),
  IF(AND(_xlpm.analyte&lt;&gt;"", ISNUMBER(_xlpm.raw)), _xlpm.raw * _xlpm.scaleF, "NA")
)</f>
        <v>50.79</v>
      </c>
      <c r="N758" s="41"/>
      <c r="O758" s="41"/>
      <c r="P758" s="41"/>
      <c r="Q758" s="208"/>
      <c r="R758" s="237" cm="1">
        <f t="array" ref="R75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758" s="238" cm="1">
        <f t="array" ref="S75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758" s="238" cm="1">
        <f t="array" ref="T75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-23</v>
      </c>
      <c r="U758" s="41" t="str" cm="1">
        <f t="array" ref="U75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14.82580 and 0.00000</v>
      </c>
      <c r="V758" s="22"/>
    </row>
    <row r="759" spans="10:23" x14ac:dyDescent="0.15">
      <c r="J759" s="190" t="s">
        <v>273</v>
      </c>
      <c r="K759" s="127" t="s">
        <v>5</v>
      </c>
      <c r="L759" s="208">
        <v>34.08</v>
      </c>
      <c r="M759" s="237">
        <f>_xlfn.LET(
  _xlpm.analyte, SensorLab[[#This Row],[Analyte]],
  _xlpm.raw, N(SensorLab[[#This Row],[Raw_Value]]),
  _xlpm.scaleF, IFERROR(
    _xlfn.XLOOKUP(_xlpm.analyte, CalibrationCoefficients[Analyte], CalibrationCoefficients[ScaleFactor]),
    1
  ),
  IF(AND(_xlpm.analyte&lt;&gt;"", ISNUMBER(_xlpm.raw)), _xlpm.raw * _xlpm.scaleF, "NA")
)</f>
        <v>34.08</v>
      </c>
      <c r="N759" s="41"/>
      <c r="O759" s="41"/>
      <c r="P759" s="41"/>
      <c r="Q759" s="208"/>
      <c r="R759" s="237" cm="1">
        <f t="array" ref="R75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759" s="238" cm="1">
        <f t="array" ref="S75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759" s="238" cm="1">
        <f t="array" ref="T75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-28</v>
      </c>
      <c r="U759" s="41" t="str" cm="1">
        <f t="array" ref="U75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31.81362 and 0.00000</v>
      </c>
      <c r="V759" s="22"/>
    </row>
    <row r="760" spans="10:23" x14ac:dyDescent="0.15">
      <c r="J760" s="190" t="s">
        <v>273</v>
      </c>
      <c r="K760" s="127" t="s">
        <v>6</v>
      </c>
      <c r="L760" s="208">
        <v>15.13</v>
      </c>
      <c r="M760" s="237">
        <f>_xlfn.LET(
  _xlpm.analyte, SensorLab[[#This Row],[Analyte]],
  _xlpm.raw, N(SensorLab[[#This Row],[Raw_Value]]),
  _xlpm.scaleF, IFERROR(
    _xlfn.XLOOKUP(_xlpm.analyte, CalibrationCoefficients[Analyte], CalibrationCoefficients[ScaleFactor]),
    1
  ),
  IF(AND(_xlpm.analyte&lt;&gt;"", ISNUMBER(_xlpm.raw)), _xlpm.raw * _xlpm.scaleF, "NA")
)</f>
        <v>15.13</v>
      </c>
      <c r="N760" s="41"/>
      <c r="O760" s="41"/>
      <c r="P760" s="41"/>
      <c r="Q760" s="208"/>
      <c r="R760" s="237" cm="1">
        <f t="array" ref="R76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760" s="238" cm="1">
        <f t="array" ref="S76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760" s="238" cm="1">
        <f t="array" ref="T76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v>
      </c>
      <c r="U760" s="41" t="str" cm="1">
        <f t="array" ref="U76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12.10554 and 0.00000</v>
      </c>
      <c r="V760" s="22"/>
    </row>
    <row r="761" spans="10:23" ht="11.25" thickBot="1" x14ac:dyDescent="0.2">
      <c r="J761" s="192" t="s">
        <v>273</v>
      </c>
      <c r="K761" s="193" t="s">
        <v>69</v>
      </c>
      <c r="L761" s="255" t="str" cm="1">
        <f t="array" ref="L761">_xlfn.LET(
  _xlpm.bs,L758, _xlpm.si,L759, _xlpm.c,L760,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M761" s="256" t="str" cm="1">
        <f t="array" ref="M761">_xlfn.LET(
  _xlpm.bs,M758, _xlpm.si,M759, _xlpm.c,M760,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N761" s="245" t="str" cm="1">
        <f t="array" ref="N761">_xlfn.LET(
  _xlpm.bs,N758, _xlpm.si,N759, _xlpm.c,N760,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761" s="245" t="str" cm="1">
        <f t="array" ref="O761">_xlfn.LET(
  _xlpm.bs,O758, _xlpm.si,O759, _xlpm.c,O760,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P761" s="245" t="str" cm="1">
        <f t="array" ref="P761">_xlfn.LET(
  _xlpm.bs,P758, _xlpm.si,P759, _xlpm.c,P760,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761" s="255" t="str" cm="1">
        <f t="array" ref="Q761">_xlfn.LET(
  _xlpm.bs,Q758, _xlpm.si,Q759, _xlpm.c,Q760,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R761" s="256" t="str" cm="1">
        <f t="array" ref="R761">_xlfn.LET(
  _xlpm.bs,R758, _xlpm.si,R759, _xlpm.c,R760,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S761" s="256" t="str" cm="1">
        <f t="array" ref="S761">_xlfn.LET(
  _xlpm.bs,S758, _xlpm.si,S759, _xlpm.c,S760,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T761" s="240" cm="1">
        <f t="array" ref="T76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v>
      </c>
      <c r="U761" s="229" t="str" cm="1">
        <f t="array" ref="U76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#N/A</v>
      </c>
      <c r="V761" s="22"/>
    </row>
    <row r="762" spans="10:23" x14ac:dyDescent="0.15">
      <c r="J762" s="190" t="s">
        <v>274</v>
      </c>
      <c r="K762" s="127" t="s">
        <v>39</v>
      </c>
      <c r="L762" s="208">
        <v>0</v>
      </c>
      <c r="M762"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762" s="41"/>
      <c r="O762" s="41"/>
      <c r="P762" s="41"/>
      <c r="Q762" s="208" t="str">
        <f>_xlfn.LET(
  _xlpm.tRaw, SensorLab[[#This Row],[Tarnab_Lab]],
  _xlpm.bRaw, SensorLab[[#This Row],[Bari_Lab]],
  _xlpm.mRaw, SensorLab[[#This Row],[ManuChar_Lab]],
  _xlpm.tIsNum, ISNUMBER(_xlpm.tRaw),
  _xlpm.bIsNum, ISNUMBER(_xlpm.bRaw),
  _xlpm.mIsNum, ISNUMBER(_xlpm.mRaw),
  _xlpm.t, IF(_xlpm.tIsNum, _xlpm.tRaw, ""),
  _xlpm.b, IF(_xlpm.bIsNum, _xlpm.bRaw, ""),
  _xlpm.m, IF(_xlpm.mIsNum, _xlpm.mRaw, ""),
  _xlpm.c, (--_xlpm.tIsNum) + (--_xlpm.bIsNum) + (--_xlpm.mIsNum),
  _xlpm.sumVals, IF(_xlpm.tIsNum, _xlpm.tRaw, 0) + IF(_xlpm.bIsNum, _xlpm.bRaw, 0) + IF(_xlpm.mIsNum, _xlpm.mRaw, 0),
  _xlpm.result,
    IF(_xlpm.c = 0, "",
      IF(_xlpm.c = 1,
         IF(_xlpm.tIsNum, _xlpm.t, IF(_xlpm.bIsNum, _xlpm.b, _xlpm.m)),
      IF(_xlpm.c = 2,
         _xlpm.sumVals / 2,
         MEDIAN(_xlpm.t, _xlpm.b, _xlpm.m)
      ))),
  _xlpm.result
)</f>
        <v/>
      </c>
      <c r="R762" s="239" cm="1">
        <f t="array" ref="R76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0.44663000000000003</v>
      </c>
      <c r="S762" s="241" cm="1">
        <f t="array" ref="S76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v>
      </c>
      <c r="T762" s="241" cm="1">
        <f t="array" ref="T76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-6</v>
      </c>
      <c r="U762" s="41" t="str" cm="1">
        <f t="array" ref="U76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0.44663 and 0.00000</v>
      </c>
      <c r="V762" s="22"/>
    </row>
    <row r="763" spans="10:23" x14ac:dyDescent="0.15">
      <c r="J763" s="190" t="s">
        <v>274</v>
      </c>
      <c r="K763" s="191" t="s">
        <v>40</v>
      </c>
      <c r="L763" s="208">
        <v>0</v>
      </c>
      <c r="M763"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763" s="41"/>
      <c r="O763" s="41"/>
      <c r="P763" s="41"/>
      <c r="Q763" s="208" t="str">
        <f>_xlfn.LET(
  _xlpm.tRaw, SensorLab[[#This Row],[Tarnab_Lab]],
  _xlpm.bRaw, SensorLab[[#This Row],[Bari_Lab]],
  _xlpm.mRaw, SensorLab[[#This Row],[ManuChar_Lab]],
  _xlpm.tIsNum, ISNUMBER(_xlpm.tRaw),
  _xlpm.bIsNum, ISNUMBER(_xlpm.bRaw),
  _xlpm.mIsNum, ISNUMBER(_xlpm.mRaw),
  _xlpm.t, IF(_xlpm.tIsNum, _xlpm.tRaw, ""),
  _xlpm.b, IF(_xlpm.bIsNum, _xlpm.bRaw, ""),
  _xlpm.m, IF(_xlpm.mIsNum, _xlpm.mRaw, ""),
  _xlpm.c, (--_xlpm.tIsNum) + (--_xlpm.bIsNum) + (--_xlpm.mIsNum),
  _xlpm.sumVals, IF(_xlpm.tIsNum, _xlpm.tRaw, 0) + IF(_xlpm.bIsNum, _xlpm.bRaw, 0) + IF(_xlpm.mIsNum, _xlpm.mRaw, 0),
  _xlpm.result,
    IF(_xlpm.c = 0, "",
      IF(_xlpm.c = 1,
         IF(_xlpm.tIsNum, _xlpm.t, IF(_xlpm.bIsNum, _xlpm.b, _xlpm.m)),
      IF(_xlpm.c = 2,
         _xlpm.sumVals / 2,
         MEDIAN(_xlpm.t, _xlpm.b, _xlpm.m)
      ))),
  _xlpm.result
)</f>
        <v/>
      </c>
      <c r="R763" s="237" cm="1">
        <f t="array" ref="R76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5.3140400000000003</v>
      </c>
      <c r="S763" s="238" cm="1">
        <f t="array" ref="S76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4.1240100000000002</v>
      </c>
      <c r="T763" s="238" cm="1">
        <f t="array" ref="T76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-0.87598999999999982</v>
      </c>
      <c r="U763" s="41" t="str" cm="1">
        <f t="array" ref="U76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5.70934 and 0.00000</v>
      </c>
      <c r="V763" s="22"/>
    </row>
    <row r="764" spans="10:23" x14ac:dyDescent="0.15">
      <c r="J764" s="190" t="s">
        <v>274</v>
      </c>
      <c r="K764" s="191" t="s">
        <v>41</v>
      </c>
      <c r="L764" s="208">
        <v>0</v>
      </c>
      <c r="M764"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764" s="41"/>
      <c r="O764" s="41"/>
      <c r="P764" s="41"/>
      <c r="Q764" s="208"/>
      <c r="R764" s="237" cm="1">
        <f t="array" ref="R76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111.50391999999999</v>
      </c>
      <c r="S764" s="238" cm="1">
        <f t="array" ref="S76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97.80395</v>
      </c>
      <c r="T764" s="238" cm="1">
        <f t="array" ref="T76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-97.80395</v>
      </c>
      <c r="U764" s="41" t="str" cm="1">
        <f t="array" ref="U76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107.71054 and 0.00000</v>
      </c>
      <c r="V764" s="22"/>
    </row>
    <row r="765" spans="10:23" x14ac:dyDescent="0.15">
      <c r="J765" s="190" t="s">
        <v>274</v>
      </c>
      <c r="K765" s="127" t="s">
        <v>52</v>
      </c>
      <c r="L765" s="208">
        <v>78</v>
      </c>
      <c r="M765" s="237">
        <f>_xlfn.LET(
  _xlpm.analyte, SensorLab[[#This Row],[Analyte]],
  _xlpm.raw, N(SensorLab[[#This Row],[Raw_Value]]),
  _xlpm.scaleF, IFERROR(
    _xlfn.XLOOKUP(_xlpm.analyte, CalibrationCoefficients[Analyte], CalibrationCoefficients[ScaleFactor]),
    1
  ),
  IF(AND(_xlpm.analyte&lt;&gt;"", ISNUMBER(_xlpm.raw)), _xlpm.raw * _xlpm.scaleF, "NA")
)</f>
        <v>7.8E-2</v>
      </c>
      <c r="N765" s="41"/>
      <c r="O765" s="41"/>
      <c r="P765" s="41"/>
      <c r="Q765" s="208"/>
      <c r="R765" s="237" cm="1">
        <f t="array" ref="R76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0.96684000000000003</v>
      </c>
      <c r="S765" s="238" cm="1">
        <f t="array" ref="S76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0.93461000000000005</v>
      </c>
      <c r="T765" s="238" cm="1">
        <f t="array" ref="T76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-0.93461000000000005</v>
      </c>
      <c r="U765" s="41" t="str" cm="1">
        <f t="array" ref="U76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0.98992 and 0.00000</v>
      </c>
      <c r="V765" s="22"/>
    </row>
    <row r="766" spans="10:23" x14ac:dyDescent="0.15">
      <c r="J766" s="190" t="s">
        <v>274</v>
      </c>
      <c r="K766" s="127" t="s">
        <v>34</v>
      </c>
      <c r="L766" s="208">
        <v>74</v>
      </c>
      <c r="M766" s="237">
        <f>_xlfn.LET(
  _xlpm.analyte, SensorLab[[#This Row],[Analyte]],
  _xlpm.raw, N(SensorLab[[#This Row],[Raw_Value]]),
  _xlpm.scaleF, IFERROR(
    _xlfn.XLOOKUP(_xlpm.analyte, CalibrationCoefficients[Analyte], CalibrationCoefficients[ScaleFactor]),
    1
  ),
  IF(AND(_xlpm.analyte&lt;&gt;"", ISNUMBER(_xlpm.raw)), _xlpm.raw * _xlpm.scaleF, "NA")
)</f>
        <v>7.4</v>
      </c>
      <c r="N766" s="41"/>
      <c r="O766" s="41"/>
      <c r="P766" s="41"/>
      <c r="Q766" s="208"/>
      <c r="R766" s="237" cm="1">
        <f t="array" ref="R76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7.8854899999999999</v>
      </c>
      <c r="S766" s="238" cm="1">
        <f t="array" ref="S76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7.8525799999999997</v>
      </c>
      <c r="T766" s="238" cm="1">
        <f t="array" ref="T76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-7.8525799999999997</v>
      </c>
      <c r="U766" s="41" t="str" cm="1">
        <f t="array" ref="U76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7.79787 and 0.00000</v>
      </c>
      <c r="V766" s="22"/>
      <c r="W766" s="5"/>
    </row>
    <row r="767" spans="10:23" x14ac:dyDescent="0.15">
      <c r="J767" s="190" t="s">
        <v>274</v>
      </c>
      <c r="K767" s="127" t="s">
        <v>90</v>
      </c>
      <c r="L767" s="208">
        <v>164</v>
      </c>
      <c r="M767" s="237">
        <f>_xlfn.LET(
  _xlpm.analyte, SensorLab[[#This Row],[Analyte]],
  _xlpm.raw, N(SensorLab[[#This Row],[Raw_Value]]),
  _xlpm.scaleF, IFERROR(
    _xlfn.XLOOKUP(_xlpm.analyte, CalibrationCoefficients[Analyte], CalibrationCoefficients[ScaleFactor]),
    1
  ),
  IF(AND(_xlpm.analyte&lt;&gt;"", ISNUMBER(_xlpm.raw)), _xlpm.raw * _xlpm.scaleF, "NA")
)</f>
        <v>16.400000000000002</v>
      </c>
      <c r="N767" s="41"/>
      <c r="O767" s="41"/>
      <c r="P767" s="41"/>
      <c r="Q767" s="208"/>
      <c r="R767" s="237" cm="1">
        <f t="array" ref="R76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16.436579999999999</v>
      </c>
      <c r="S767" s="238" cm="1">
        <f t="array" ref="S76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16.399999999999999</v>
      </c>
      <c r="T767" s="238" cm="1">
        <f t="array" ref="T76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-7.6000000000000014</v>
      </c>
      <c r="U767" s="41" t="str" cm="1">
        <f t="array" ref="U76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16.33000 and 0.00000</v>
      </c>
      <c r="V767" s="22"/>
      <c r="W767" s="5"/>
    </row>
    <row r="768" spans="10:23" x14ac:dyDescent="0.15">
      <c r="J768" s="190" t="s">
        <v>274</v>
      </c>
      <c r="K768" s="191" t="s">
        <v>43</v>
      </c>
      <c r="L768" s="208">
        <v>221</v>
      </c>
      <c r="M768" s="237">
        <f>_xlfn.LET(
  _xlpm.analyte, SensorLab[[#This Row],[Analyte]],
  _xlpm.raw, N(SensorLab[[#This Row],[Raw_Value]]),
  _xlpm.scaleF, IFERROR(
    _xlfn.XLOOKUP(_xlpm.analyte, CalibrationCoefficients[Analyte], CalibrationCoefficients[ScaleFactor]),
    1
  ),
  IF(AND(_xlpm.analyte&lt;&gt;"", ISNUMBER(_xlpm.raw)), _xlpm.raw * _xlpm.scaleF, "NA")
)</f>
        <v>22.1</v>
      </c>
      <c r="N768" s="41"/>
      <c r="O768" s="41"/>
      <c r="P768" s="41"/>
      <c r="Q768" s="208"/>
      <c r="R768" s="237" cm="1">
        <f t="array" ref="R76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22.08644</v>
      </c>
      <c r="S768" s="238" cm="1">
        <f t="array" ref="S76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22.09985</v>
      </c>
      <c r="T768" s="238" cm="1">
        <f t="array" ref="T76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-22.09985</v>
      </c>
      <c r="U768" s="41" t="str" cm="1">
        <f t="array" ref="U76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22.10000 and 0.00000</v>
      </c>
      <c r="V768" s="22"/>
    </row>
    <row r="769" spans="10:22" x14ac:dyDescent="0.15">
      <c r="J769" s="190" t="s">
        <v>274</v>
      </c>
      <c r="K769" s="191" t="s">
        <v>45</v>
      </c>
      <c r="L769" s="208">
        <v>5.1999999999999995E-4</v>
      </c>
      <c r="M769" s="237">
        <f>_xlfn.LET(
  _xlpm.analyte, SensorLab[[#This Row],[Analyte]],
  _xlpm.raw, N(SensorLab[[#This Row],[Raw_Value]]),
  _xlpm.scaleF, IFERROR(
    _xlfn.XLOOKUP(_xlpm.analyte, CalibrationCoefficients[Analyte], CalibrationCoefficients[ScaleFactor]),
    1
  ),
  IF(AND(_xlpm.analyte&lt;&gt;"", ISNUMBER(_xlpm.raw)), _xlpm.raw * _xlpm.scaleF, "NA")
)</f>
        <v>5.1999999999999995E-4</v>
      </c>
      <c r="N769" s="41"/>
      <c r="O769" s="41"/>
      <c r="P769" s="41"/>
      <c r="Q769" s="208"/>
      <c r="R769" s="237" cm="1">
        <f t="array" ref="R76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0.60409999999999997</v>
      </c>
      <c r="S769" s="238" cm="1">
        <f t="array" ref="S76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0.6</v>
      </c>
      <c r="T769" s="238" cm="1">
        <f t="array" ref="T76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-0.6</v>
      </c>
      <c r="U769" s="41" t="str" cm="1">
        <f t="array" ref="U76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0.00000 and 0.00000</v>
      </c>
      <c r="V769" s="22"/>
    </row>
    <row r="770" spans="10:22" x14ac:dyDescent="0.15">
      <c r="J770" s="190" t="s">
        <v>274</v>
      </c>
      <c r="K770" s="127" t="s">
        <v>0</v>
      </c>
      <c r="L770" s="208">
        <v>50.18</v>
      </c>
      <c r="M770" s="237">
        <f>_xlfn.LET(
  _xlpm.analyte, SensorLab[[#This Row],[Analyte]],
  _xlpm.raw, N(SensorLab[[#This Row],[Raw_Value]]),
  _xlpm.scaleF, IFERROR(
    _xlfn.XLOOKUP(_xlpm.analyte, CalibrationCoefficients[Analyte], CalibrationCoefficients[ScaleFactor]),
    1
  ),
  IF(AND(_xlpm.analyte&lt;&gt;"", ISNUMBER(_xlpm.raw)), _xlpm.raw * _xlpm.scaleF, "NA")
)</f>
        <v>50.18</v>
      </c>
      <c r="N770" s="41"/>
      <c r="O770" s="41"/>
      <c r="P770" s="41"/>
      <c r="Q770" s="208"/>
      <c r="R770" s="237" cm="1">
        <f t="array" ref="R77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770" s="238" cm="1">
        <f t="array" ref="S77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770" s="238" cm="1">
        <f t="array" ref="T77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-23</v>
      </c>
      <c r="U770" s="41" t="str" cm="1">
        <f t="array" ref="U77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14.94292 and 0.00000</v>
      </c>
      <c r="V770" s="22"/>
    </row>
    <row r="771" spans="10:22" x14ac:dyDescent="0.15">
      <c r="J771" s="190" t="s">
        <v>274</v>
      </c>
      <c r="K771" s="127" t="s">
        <v>5</v>
      </c>
      <c r="L771" s="208">
        <v>34.4</v>
      </c>
      <c r="M771" s="237">
        <f>_xlfn.LET(
  _xlpm.analyte, SensorLab[[#This Row],[Analyte]],
  _xlpm.raw, N(SensorLab[[#This Row],[Raw_Value]]),
  _xlpm.scaleF, IFERROR(
    _xlfn.XLOOKUP(_xlpm.analyte, CalibrationCoefficients[Analyte], CalibrationCoefficients[ScaleFactor]),
    1
  ),
  IF(AND(_xlpm.analyte&lt;&gt;"", ISNUMBER(_xlpm.raw)), _xlpm.raw * _xlpm.scaleF, "NA")
)</f>
        <v>34.4</v>
      </c>
      <c r="N771" s="41"/>
      <c r="O771" s="41"/>
      <c r="P771" s="41"/>
      <c r="Q771" s="208"/>
      <c r="R771" s="237" cm="1">
        <f t="array" ref="R77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771" s="238" cm="1">
        <f t="array" ref="S77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771" s="238" cm="1">
        <f t="array" ref="T77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-28</v>
      </c>
      <c r="U771" s="41" t="str" cm="1">
        <f t="array" ref="U77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31.74983 and 0.00000</v>
      </c>
      <c r="V771" s="22"/>
    </row>
    <row r="772" spans="10:22" x14ac:dyDescent="0.15">
      <c r="J772" s="190" t="s">
        <v>274</v>
      </c>
      <c r="K772" s="127" t="s">
        <v>6</v>
      </c>
      <c r="L772" s="208">
        <v>15.42</v>
      </c>
      <c r="M772" s="237">
        <f>_xlfn.LET(
  _xlpm.analyte, SensorLab[[#This Row],[Analyte]],
  _xlpm.raw, N(SensorLab[[#This Row],[Raw_Value]]),
  _xlpm.scaleF, IFERROR(
    _xlfn.XLOOKUP(_xlpm.analyte, CalibrationCoefficients[Analyte], CalibrationCoefficients[ScaleFactor]),
    1
  ),
  IF(AND(_xlpm.analyte&lt;&gt;"", ISNUMBER(_xlpm.raw)), _xlpm.raw * _xlpm.scaleF, "NA")
)</f>
        <v>15.42</v>
      </c>
      <c r="N772" s="41"/>
      <c r="O772" s="41"/>
      <c r="P772" s="41"/>
      <c r="Q772" s="208"/>
      <c r="R772" s="237" cm="1">
        <f t="array" ref="R77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772" s="238" cm="1">
        <f t="array" ref="S77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772" s="238" cm="1">
        <f t="array" ref="T77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v>
      </c>
      <c r="U772" s="41" t="str" cm="1">
        <f t="array" ref="U77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12.03697 and 0.00000</v>
      </c>
      <c r="V772" s="22"/>
    </row>
    <row r="773" spans="10:22" ht="11.25" thickBot="1" x14ac:dyDescent="0.2">
      <c r="J773" s="192" t="s">
        <v>274</v>
      </c>
      <c r="K773" s="193" t="s">
        <v>69</v>
      </c>
      <c r="L773" s="255" t="str" cm="1">
        <f t="array" ref="L773">_xlfn.LET(
  _xlpm.bs,L770, _xlpm.si,L771, _xlpm.c,L772,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M773" s="256" t="str" cm="1">
        <f t="array" ref="M773">_xlfn.LET(
  _xlpm.bs,M770, _xlpm.si,M771, _xlpm.c,M772,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N773" s="245" t="str" cm="1">
        <f t="array" ref="N773">_xlfn.LET(
  _xlpm.bs,N770, _xlpm.si,N771, _xlpm.c,N772,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773" s="245" t="str" cm="1">
        <f t="array" ref="O773">_xlfn.LET(
  _xlpm.bs,O770, _xlpm.si,O771, _xlpm.c,O772,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P773" s="245" t="str" cm="1">
        <f t="array" ref="P773">_xlfn.LET(
  _xlpm.bs,P770, _xlpm.si,P771, _xlpm.c,P772,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773" s="255" t="str" cm="1">
        <f t="array" ref="Q773">_xlfn.LET(
  _xlpm.bs,Q770, _xlpm.si,Q771, _xlpm.c,Q772,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R773" s="256" t="str" cm="1">
        <f t="array" ref="R773">_xlfn.LET(
  _xlpm.bs,R770, _xlpm.si,R771, _xlpm.c,R772,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S773" s="256" t="str" cm="1">
        <f t="array" ref="S773">_xlfn.LET(
  _xlpm.bs,S770, _xlpm.si,S771, _xlpm.c,S772,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T773" s="240" cm="1">
        <f t="array" ref="T77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v>
      </c>
      <c r="U773" s="229" t="str" cm="1">
        <f t="array" ref="U77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#N/A</v>
      </c>
      <c r="V773" s="22"/>
    </row>
    <row r="774" spans="10:22" x14ac:dyDescent="0.15">
      <c r="J774" s="190" t="s">
        <v>275</v>
      </c>
      <c r="K774" s="127" t="s">
        <v>39</v>
      </c>
      <c r="L774" s="208">
        <v>17</v>
      </c>
      <c r="M774" s="237">
        <f>_xlfn.LET(
  _xlpm.analyte, SensorLab[[#This Row],[Analyte]],
  _xlpm.raw, N(SensorLab[[#This Row],[Raw_Value]]),
  _xlpm.scaleF, IFERROR(
    _xlfn.XLOOKUP(_xlpm.analyte, CalibrationCoefficients[Analyte], CalibrationCoefficients[ScaleFactor]),
    1
  ),
  IF(AND(_xlpm.analyte&lt;&gt;"", ISNUMBER(_xlpm.raw)), _xlpm.raw * _xlpm.scaleF, "NA")
)</f>
        <v>17</v>
      </c>
      <c r="N774" s="41"/>
      <c r="O774" s="41">
        <v>2.3544800000000001</v>
      </c>
      <c r="P774" s="41"/>
      <c r="Q774" s="207" cm="1">
        <f t="array" ref="Q77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2.3544800000000001</v>
      </c>
      <c r="R774" s="239" cm="1">
        <f t="array" ref="R77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2.83304</v>
      </c>
      <c r="S774" s="241" cm="1">
        <f t="array" ref="S77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4.3864099999999997</v>
      </c>
      <c r="T774" s="241" cm="1">
        <f t="array" ref="T77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-1.6135900000000003</v>
      </c>
      <c r="U774" s="41" t="str" cm="1">
        <f t="array" ref="U77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2.83304 and 2.83304</v>
      </c>
      <c r="V774" s="22"/>
    </row>
    <row r="775" spans="10:22" x14ac:dyDescent="0.15">
      <c r="J775" s="190" t="s">
        <v>275</v>
      </c>
      <c r="K775" s="191" t="s">
        <v>40</v>
      </c>
      <c r="L775" s="208">
        <v>87</v>
      </c>
      <c r="M775" s="237">
        <f>_xlfn.LET(
  _xlpm.analyte, SensorLab[[#This Row],[Analyte]],
  _xlpm.raw, N(SensorLab[[#This Row],[Raw_Value]]),
  _xlpm.scaleF, IFERROR(
    _xlfn.XLOOKUP(_xlpm.analyte, CalibrationCoefficients[Analyte], CalibrationCoefficients[ScaleFactor]),
    1
  ),
  IF(AND(_xlpm.analyte&lt;&gt;"", ISNUMBER(_xlpm.raw)), _xlpm.raw * _xlpm.scaleF, "NA")
)</f>
        <v>87</v>
      </c>
      <c r="N775" s="41"/>
      <c r="O775" s="41">
        <v>5.13</v>
      </c>
      <c r="P775" s="41"/>
      <c r="Q775" s="208" cm="1">
        <f t="array" ref="Q775">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5.13</v>
      </c>
      <c r="R775" s="237" cm="1">
        <f t="array" ref="R77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7.4908000000000001</v>
      </c>
      <c r="S775" s="238" cm="1">
        <f t="array" ref="S77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6.30077</v>
      </c>
      <c r="T775" s="238" cm="1">
        <f t="array" ref="T77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-1.1707700000000001</v>
      </c>
      <c r="U775" s="41" t="str" cm="1">
        <f t="array" ref="U77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6.89600 and 8.01600</v>
      </c>
      <c r="V775" s="22"/>
    </row>
    <row r="776" spans="10:22" x14ac:dyDescent="0.15">
      <c r="J776" s="190" t="s">
        <v>275</v>
      </c>
      <c r="K776" s="191" t="s">
        <v>41</v>
      </c>
      <c r="L776" s="208">
        <v>80</v>
      </c>
      <c r="M776" s="237">
        <f>_xlfn.LET(
  _xlpm.analyte, SensorLab[[#This Row],[Analyte]],
  _xlpm.raw, N(SensorLab[[#This Row],[Raw_Value]]),
  _xlpm.scaleF, IFERROR(
    _xlfn.XLOOKUP(_xlpm.analyte, CalibrationCoefficients[Analyte], CalibrationCoefficients[ScaleFactor]),
    1
  ),
  IF(AND(_xlpm.analyte&lt;&gt;"", ISNUMBER(_xlpm.raw)), _xlpm.raw * _xlpm.scaleF, "NA")
)</f>
        <v>80</v>
      </c>
      <c r="N776" s="41"/>
      <c r="O776" s="41">
        <v>109</v>
      </c>
      <c r="P776" s="41"/>
      <c r="Q776" s="208" cm="1">
        <f t="array" ref="Q77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109</v>
      </c>
      <c r="R776" s="237" cm="1">
        <f t="array" ref="R77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136.63925</v>
      </c>
      <c r="S776" s="238" cm="1">
        <f t="array" ref="S77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122.93928</v>
      </c>
      <c r="T776" s="238" cm="1">
        <f t="array" ref="T77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-13.93928</v>
      </c>
      <c r="U776" s="41" t="str" cm="1">
        <f t="array" ref="U77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135.25961 and 138.23961</v>
      </c>
      <c r="V776" s="22"/>
    </row>
    <row r="777" spans="10:22" x14ac:dyDescent="0.15">
      <c r="J777" s="190" t="s">
        <v>275</v>
      </c>
      <c r="K777" s="127" t="s">
        <v>52</v>
      </c>
      <c r="L777" s="208">
        <v>270</v>
      </c>
      <c r="M777" s="237">
        <f>_xlfn.LET(
  _xlpm.analyte, SensorLab[[#This Row],[Analyte]],
  _xlpm.raw, N(SensorLab[[#This Row],[Raw_Value]]),
  _xlpm.scaleF, IFERROR(
    _xlfn.XLOOKUP(_xlpm.analyte, CalibrationCoefficients[Analyte], CalibrationCoefficients[ScaleFactor]),
    1
  ),
  IF(AND(_xlpm.analyte&lt;&gt;"", ISNUMBER(_xlpm.raw)), _xlpm.raw * _xlpm.scaleF, "NA")
)</f>
        <v>0.27</v>
      </c>
      <c r="N777" s="41"/>
      <c r="O777" s="41">
        <v>0.9</v>
      </c>
      <c r="P777" s="41"/>
      <c r="Q777" s="208" cm="1">
        <f t="array" ref="Q777">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0.9</v>
      </c>
      <c r="R777" s="237" cm="1">
        <f t="array" ref="R77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1.09267</v>
      </c>
      <c r="S777" s="238" cm="1">
        <f t="array" ref="S77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1.06044</v>
      </c>
      <c r="T777" s="238" cm="1">
        <f t="array" ref="T77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-0.16044</v>
      </c>
      <c r="U777" s="41" t="str" cm="1">
        <f t="array" ref="U77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-0.16044)</v>
      </c>
      <c r="V777" s="22"/>
    </row>
    <row r="778" spans="10:22" x14ac:dyDescent="0.15">
      <c r="J778" s="190" t="s">
        <v>275</v>
      </c>
      <c r="K778" s="127" t="s">
        <v>34</v>
      </c>
      <c r="L778" s="208">
        <v>68</v>
      </c>
      <c r="M778" s="237">
        <f>_xlfn.LET(
  _xlpm.analyte, SensorLab[[#This Row],[Analyte]],
  _xlpm.raw, N(SensorLab[[#This Row],[Raw_Value]]),
  _xlpm.scaleF, IFERROR(
    _xlfn.XLOOKUP(_xlpm.analyte, CalibrationCoefficients[Analyte], CalibrationCoefficients[ScaleFactor]),
    1
  ),
  IF(AND(_xlpm.analyte&lt;&gt;"", ISNUMBER(_xlpm.raw)), _xlpm.raw * _xlpm.scaleF, "NA")
)</f>
        <v>6.8000000000000007</v>
      </c>
      <c r="N778" s="41"/>
      <c r="O778" s="41">
        <v>7.32</v>
      </c>
      <c r="P778" s="41"/>
      <c r="Q778" s="208" cm="1">
        <f t="array" ref="Q77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7.32</v>
      </c>
      <c r="R778" s="237" cm="1">
        <f t="array" ref="R77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7.9129100000000001</v>
      </c>
      <c r="S778" s="238" cm="1">
        <f t="array" ref="S77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7.88</v>
      </c>
      <c r="T778" s="238" cm="1">
        <f t="array" ref="T77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-0.56000000000000005</v>
      </c>
      <c r="U778" s="41" t="str" cm="1">
        <f t="array" ref="U77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7.82874 and 7.60361</v>
      </c>
      <c r="V778" s="22"/>
    </row>
    <row r="779" spans="10:22" x14ac:dyDescent="0.15">
      <c r="J779" s="190" t="s">
        <v>275</v>
      </c>
      <c r="K779" s="127" t="s">
        <v>90</v>
      </c>
      <c r="L779" s="208">
        <v>167</v>
      </c>
      <c r="M779" s="237">
        <f>_xlfn.LET(
  _xlpm.analyte, SensorLab[[#This Row],[Analyte]],
  _xlpm.raw, N(SensorLab[[#This Row],[Raw_Value]]),
  _xlpm.scaleF, IFERROR(
    _xlfn.XLOOKUP(_xlpm.analyte, CalibrationCoefficients[Analyte], CalibrationCoefficients[ScaleFactor]),
    1
  ),
  IF(AND(_xlpm.analyte&lt;&gt;"", ISNUMBER(_xlpm.raw)), _xlpm.raw * _xlpm.scaleF, "NA")
)</f>
        <v>16.7</v>
      </c>
      <c r="N779" s="41"/>
      <c r="O779" s="41">
        <v>16.7</v>
      </c>
      <c r="P779" s="41"/>
      <c r="Q779" s="208" cm="1">
        <f t="array" ref="Q779">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16.7</v>
      </c>
      <c r="R779" s="237" cm="1">
        <f t="array" ref="R77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16.74277</v>
      </c>
      <c r="S779" s="238" cm="1">
        <f t="array" ref="S77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16.706189999999999</v>
      </c>
      <c r="T779" s="238" cm="1">
        <f t="array" ref="T77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-7.2938100000000006</v>
      </c>
      <c r="U779" s="41" t="str" cm="1">
        <f t="array" ref="U77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-0.00619)</v>
      </c>
      <c r="V779" s="22"/>
    </row>
    <row r="780" spans="10:22" x14ac:dyDescent="0.15">
      <c r="J780" s="190" t="s">
        <v>275</v>
      </c>
      <c r="K780" s="191" t="s">
        <v>43</v>
      </c>
      <c r="L780" s="208">
        <v>293</v>
      </c>
      <c r="M780" s="237">
        <f>_xlfn.LET(
  _xlpm.analyte, SensorLab[[#This Row],[Analyte]],
  _xlpm.raw, N(SensorLab[[#This Row],[Raw_Value]]),
  _xlpm.scaleF, IFERROR(
    _xlfn.XLOOKUP(_xlpm.analyte, CalibrationCoefficients[Analyte], CalibrationCoefficients[ScaleFactor]),
    1
  ),
  IF(AND(_xlpm.analyte&lt;&gt;"", ISNUMBER(_xlpm.raw)), _xlpm.raw * _xlpm.scaleF, "NA")
)</f>
        <v>29.3</v>
      </c>
      <c r="N780" s="41"/>
      <c r="O780" s="41">
        <v>29.3</v>
      </c>
      <c r="P780" s="41"/>
      <c r="Q780" s="208" cm="1">
        <f t="array" ref="Q78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29.3</v>
      </c>
      <c r="R780" s="237" cm="1">
        <f t="array" ref="R78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29.288250000000001</v>
      </c>
      <c r="S780" s="238" cm="1">
        <f t="array" ref="S78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29.301659999999998</v>
      </c>
      <c r="T780" s="238" cm="1">
        <f t="array" ref="T78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4.3016599999999983</v>
      </c>
      <c r="U780" s="41" t="str" cm="1">
        <f t="array" ref="U78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29.30000 and 29.30000</v>
      </c>
      <c r="V780" s="22"/>
    </row>
    <row r="781" spans="10:22" x14ac:dyDescent="0.15">
      <c r="J781" s="190" t="s">
        <v>275</v>
      </c>
      <c r="K781" s="191" t="s">
        <v>45</v>
      </c>
      <c r="L781" s="208">
        <v>1.9825999999999997E-3</v>
      </c>
      <c r="M781" s="237">
        <f>_xlfn.LET(
  _xlpm.analyte, SensorLab[[#This Row],[Analyte]],
  _xlpm.raw, N(SensorLab[[#This Row],[Raw_Value]]),
  _xlpm.scaleF, IFERROR(
    _xlfn.XLOOKUP(_xlpm.analyte, CalibrationCoefficients[Analyte], CalibrationCoefficients[ScaleFactor]),
    1
  ),
  IF(AND(_xlpm.analyte&lt;&gt;"", ISNUMBER(_xlpm.raw)), _xlpm.raw * _xlpm.scaleF, "NA")
)</f>
        <v>1.9825999999999997E-3</v>
      </c>
      <c r="N781" s="41"/>
      <c r="O781" s="41">
        <v>0.74</v>
      </c>
      <c r="P781" s="41"/>
      <c r="Q781" s="208" cm="1">
        <f t="array" ref="Q781">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0.74</v>
      </c>
      <c r="R781" s="237" cm="1">
        <f t="array" ref="R78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0.71955999999999998</v>
      </c>
      <c r="S781" s="238" cm="1">
        <f t="array" ref="S78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0.71545999999999998</v>
      </c>
      <c r="T781" s="238" cm="1">
        <f t="array" ref="T78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2.4539999999999999E-2</v>
      </c>
      <c r="U781" s="41" t="str" cm="1">
        <f t="array" ref="U78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0.02454)</v>
      </c>
      <c r="V781" s="22"/>
    </row>
    <row r="782" spans="10:22" x14ac:dyDescent="0.15">
      <c r="J782" s="190" t="s">
        <v>275</v>
      </c>
      <c r="K782" s="127" t="s">
        <v>0</v>
      </c>
      <c r="L782" s="208">
        <v>21.097412871291919</v>
      </c>
      <c r="M782" s="237">
        <f>_xlfn.LET(
  _xlpm.analyte, SensorLab[[#This Row],[Analyte]],
  _xlpm.raw, N(SensorLab[[#This Row],[Raw_Value]]),
  _xlpm.scaleF, IFERROR(
    _xlfn.XLOOKUP(_xlpm.analyte, CalibrationCoefficients[Analyte], CalibrationCoefficients[ScaleFactor]),
    1
  ),
  IF(AND(_xlpm.analyte&lt;&gt;"", ISNUMBER(_xlpm.raw)), _xlpm.raw * _xlpm.scaleF, "NA")
)</f>
        <v>21.097412871291919</v>
      </c>
      <c r="N782" s="41"/>
      <c r="O782" s="41">
        <v>50</v>
      </c>
      <c r="P782" s="41"/>
      <c r="Q782" s="208" cm="1">
        <f t="array" ref="Q78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50</v>
      </c>
      <c r="R782" s="237" cm="1">
        <f t="array" ref="R78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50</v>
      </c>
      <c r="S782" s="238" cm="1">
        <f t="array" ref="S78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50</v>
      </c>
      <c r="T782" s="238" cm="1">
        <f t="array" ref="T78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782" s="41" t="str" cm="1">
        <f t="array" ref="U78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782" s="22"/>
    </row>
    <row r="783" spans="10:22" x14ac:dyDescent="0.15">
      <c r="J783" s="190" t="s">
        <v>275</v>
      </c>
      <c r="K783" s="127" t="s">
        <v>5</v>
      </c>
      <c r="L783" s="208">
        <v>59.654743069298142</v>
      </c>
      <c r="M783" s="237">
        <f>_xlfn.LET(
  _xlpm.analyte, SensorLab[[#This Row],[Analyte]],
  _xlpm.raw, N(SensorLab[[#This Row],[Raw_Value]]),
  _xlpm.scaleF, IFERROR(
    _xlfn.XLOOKUP(_xlpm.analyte, CalibrationCoefficients[Analyte], CalibrationCoefficients[ScaleFactor]),
    1
  ),
  IF(AND(_xlpm.analyte&lt;&gt;"", ISNUMBER(_xlpm.raw)), _xlpm.raw * _xlpm.scaleF, "NA")
)</f>
        <v>59.654743069298142</v>
      </c>
      <c r="N783" s="41"/>
      <c r="O783" s="41">
        <v>42.5</v>
      </c>
      <c r="P783" s="41"/>
      <c r="Q783" s="208" cm="1">
        <f t="array" ref="Q783">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42.5</v>
      </c>
      <c r="R783" s="237" cm="1">
        <f t="array" ref="R78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42.5</v>
      </c>
      <c r="S783" s="238" cm="1">
        <f t="array" ref="S78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42.5</v>
      </c>
      <c r="T783" s="238" cm="1">
        <f t="array" ref="T78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783" s="41" t="str" cm="1">
        <f t="array" ref="U78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783" s="22"/>
    </row>
    <row r="784" spans="10:22" x14ac:dyDescent="0.15">
      <c r="J784" s="190" t="s">
        <v>275</v>
      </c>
      <c r="K784" s="127" t="s">
        <v>6</v>
      </c>
      <c r="L784" s="208">
        <v>19.247844059409932</v>
      </c>
      <c r="M784" s="237">
        <f>_xlfn.LET(
  _xlpm.analyte, SensorLab[[#This Row],[Analyte]],
  _xlpm.raw, N(SensorLab[[#This Row],[Raw_Value]]),
  _xlpm.scaleF, IFERROR(
    _xlfn.XLOOKUP(_xlpm.analyte, CalibrationCoefficients[Analyte], CalibrationCoefficients[ScaleFactor]),
    1
  ),
  IF(AND(_xlpm.analyte&lt;&gt;"", ISNUMBER(_xlpm.raw)), _xlpm.raw * _xlpm.scaleF, "NA")
)</f>
        <v>19.247844059409932</v>
      </c>
      <c r="N784" s="41"/>
      <c r="O784" s="41">
        <v>7.5</v>
      </c>
      <c r="P784" s="41"/>
      <c r="Q784" s="208" cm="1">
        <f t="array" ref="Q78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7.5</v>
      </c>
      <c r="R784" s="237" cm="1">
        <f t="array" ref="R78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7.5</v>
      </c>
      <c r="S784" s="238" cm="1">
        <f t="array" ref="S78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7.5</v>
      </c>
      <c r="T784" s="238" cm="1">
        <f t="array" ref="T78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784" s="41" t="str" cm="1">
        <f t="array" ref="U78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11.13189 and 7.50000</v>
      </c>
      <c r="V784" s="22"/>
    </row>
    <row r="785" spans="10:22" ht="11.25" thickBot="1" x14ac:dyDescent="0.2">
      <c r="J785" s="192" t="s">
        <v>275</v>
      </c>
      <c r="K785" s="193" t="s">
        <v>69</v>
      </c>
      <c r="L785" s="255" t="str" cm="1">
        <f t="array" ref="L785">_xlfn.LET(
  _xlpm.bs,L782, _xlpm.si,L783, _xlpm.c,L784,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M785" s="256" t="str" cm="1">
        <f t="array" ref="M785">_xlfn.LET(
  _xlpm.bs,M782, _xlpm.si,M783, _xlpm.c,M784,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N785" s="245" t="str" cm="1">
        <f t="array" ref="N785">_xlfn.LET(
  _xlpm.bs,N782, _xlpm.si,N783, _xlpm.c,N784,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785" s="245" t="str" cm="1">
        <f t="array" ref="O785">_xlfn.LET(
  _xlpm.bs,O782, _xlpm.si,O783, _xlpm.c,O784,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P785" s="245" t="str" cm="1">
        <f t="array" ref="P785">_xlfn.LET(
  _xlpm.bs,P782, _xlpm.si,P783, _xlpm.c,P784,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785" s="255" t="str" cm="1">
        <f t="array" ref="Q785">_xlfn.LET(
  _xlpm.bs,Q782, _xlpm.si,Q783, _xlpm.c,Q784,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R785" s="256" t="str" cm="1">
        <f t="array" ref="R785">_xlfn.LET(
  _xlpm.bs,R782, _xlpm.si,R783, _xlpm.c,R784,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S785" s="256" t="str" cm="1">
        <f t="array" ref="S785">_xlfn.LET(
  _xlpm.bs,S782, _xlpm.si,S783, _xlpm.c,S784,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T785" s="240" cm="1">
        <f t="array" ref="T78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785" s="229" t="str" cm="1">
        <f t="array" ref="U78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(Texture match: Sandy Loam)</v>
      </c>
      <c r="V785" s="22"/>
    </row>
    <row r="786" spans="10:22" x14ac:dyDescent="0.15">
      <c r="J786" s="190" t="s">
        <v>276</v>
      </c>
      <c r="K786" s="127" t="s">
        <v>39</v>
      </c>
      <c r="L786" s="208">
        <v>0</v>
      </c>
      <c r="M786"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786" s="41"/>
      <c r="O786" s="41"/>
      <c r="P786" s="41"/>
      <c r="Q786" s="208" t="str">
        <f>_xlfn.LET(
  _xlpm.tRaw, SensorLab[[#This Row],[Tarnab_Lab]],
  _xlpm.bRaw, SensorLab[[#This Row],[Bari_Lab]],
  _xlpm.mRaw, SensorLab[[#This Row],[ManuChar_Lab]],
  _xlpm.tIsNum, ISNUMBER(_xlpm.tRaw),
  _xlpm.bIsNum, ISNUMBER(_xlpm.bRaw),
  _xlpm.mIsNum, ISNUMBER(_xlpm.mRaw),
  _xlpm.t, IF(_xlpm.tIsNum, _xlpm.tRaw, ""),
  _xlpm.b, IF(_xlpm.bIsNum, _xlpm.bRaw, ""),
  _xlpm.m, IF(_xlpm.mIsNum, _xlpm.mRaw, ""),
  _xlpm.c, (--_xlpm.tIsNum) + (--_xlpm.bIsNum) + (--_xlpm.mIsNum),
  _xlpm.sumVals, IF(_xlpm.tIsNum, _xlpm.tRaw, 0) + IF(_xlpm.bIsNum, _xlpm.bRaw, 0) + IF(_xlpm.mIsNum, _xlpm.mRaw, 0),
  _xlpm.result,
    IF(_xlpm.c = 0, "",
      IF(_xlpm.c = 1,
         IF(_xlpm.tIsNum, _xlpm.t, IF(_xlpm.bIsNum, _xlpm.b, _xlpm.m)),
      IF(_xlpm.c = 2,
         _xlpm.sumVals / 2,
         MEDIAN(_xlpm.t, _xlpm.b, _xlpm.m)
      ))),
  _xlpm.result
)</f>
        <v/>
      </c>
      <c r="R786" s="239" cm="1">
        <f t="array" ref="R78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0.44663000000000003</v>
      </c>
      <c r="S786" s="241" cm="1">
        <f t="array" ref="S78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v>
      </c>
      <c r="T786" s="241" cm="1">
        <f t="array" ref="T78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-6</v>
      </c>
      <c r="U786" s="41" t="str" cm="1">
        <f t="array" ref="U78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0.44663 and 0.00000</v>
      </c>
      <c r="V786" s="22"/>
    </row>
    <row r="787" spans="10:22" x14ac:dyDescent="0.15">
      <c r="J787" s="190" t="s">
        <v>276</v>
      </c>
      <c r="K787" s="191" t="s">
        <v>40</v>
      </c>
      <c r="L787" s="208">
        <v>12</v>
      </c>
      <c r="M787" s="237">
        <f>_xlfn.LET(
  _xlpm.analyte, SensorLab[[#This Row],[Analyte]],
  _xlpm.raw, N(SensorLab[[#This Row],[Raw_Value]]),
  _xlpm.scaleF, IFERROR(
    _xlfn.XLOOKUP(_xlpm.analyte, CalibrationCoefficients[Analyte], CalibrationCoefficients[ScaleFactor]),
    1
  ),
  IF(AND(_xlpm.analyte&lt;&gt;"", ISNUMBER(_xlpm.raw)), _xlpm.raw * _xlpm.scaleF, "NA")
)</f>
        <v>12</v>
      </c>
      <c r="N787" s="41"/>
      <c r="O787" s="41"/>
      <c r="P787" s="41"/>
      <c r="Q787" s="208"/>
      <c r="R787" s="237" cm="1">
        <f t="array" ref="R78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5.6142899999999996</v>
      </c>
      <c r="S787" s="238" cm="1">
        <f t="array" ref="S78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4.4242600000000003</v>
      </c>
      <c r="T787" s="238" cm="1">
        <f t="array" ref="T78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-0.5757399999999997</v>
      </c>
      <c r="U787" s="41" t="str" cm="1">
        <f t="array" ref="U78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5.87302 and 0.00000</v>
      </c>
      <c r="V787" s="22"/>
    </row>
    <row r="788" spans="10:22" x14ac:dyDescent="0.15">
      <c r="J788" s="190" t="s">
        <v>276</v>
      </c>
      <c r="K788" s="191" t="s">
        <v>41</v>
      </c>
      <c r="L788" s="208">
        <v>4</v>
      </c>
      <c r="M788" s="237">
        <f>_xlfn.LET(
  _xlpm.analyte, SensorLab[[#This Row],[Analyte]],
  _xlpm.raw, N(SensorLab[[#This Row],[Raw_Value]]),
  _xlpm.scaleF, IFERROR(
    _xlfn.XLOOKUP(_xlpm.analyte, CalibrationCoefficients[Analyte], CalibrationCoefficients[ScaleFactor]),
    1
  ),
  IF(AND(_xlpm.analyte&lt;&gt;"", ISNUMBER(_xlpm.raw)), _xlpm.raw * _xlpm.scaleF, "NA")
)</f>
        <v>4</v>
      </c>
      <c r="N788" s="41"/>
      <c r="O788" s="41"/>
      <c r="P788" s="41"/>
      <c r="Q788" s="208"/>
      <c r="R788" s="237" cm="1">
        <f t="array" ref="R78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112.76069</v>
      </c>
      <c r="S788" s="238" cm="1">
        <f t="array" ref="S78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99.060720000000003</v>
      </c>
      <c r="T788" s="238" cm="1">
        <f t="array" ref="T78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-99.060720000000003</v>
      </c>
      <c r="U788" s="41" t="str" cm="1">
        <f t="array" ref="U78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109.08800 and 0.00000</v>
      </c>
      <c r="V788" s="22"/>
    </row>
    <row r="789" spans="10:22" x14ac:dyDescent="0.15">
      <c r="J789" s="190" t="s">
        <v>276</v>
      </c>
      <c r="K789" s="127" t="s">
        <v>52</v>
      </c>
      <c r="L789" s="208">
        <v>115</v>
      </c>
      <c r="M789" s="237">
        <f>_xlfn.LET(
  _xlpm.analyte, SensorLab[[#This Row],[Analyte]],
  _xlpm.raw, N(SensorLab[[#This Row],[Raw_Value]]),
  _xlpm.scaleF, IFERROR(
    _xlfn.XLOOKUP(_xlpm.analyte, CalibrationCoefficients[Analyte], CalibrationCoefficients[ScaleFactor]),
    1
  ),
  IF(AND(_xlpm.analyte&lt;&gt;"", ISNUMBER(_xlpm.raw)), _xlpm.raw * _xlpm.scaleF, "NA")
)</f>
        <v>0.115</v>
      </c>
      <c r="N789" s="41"/>
      <c r="O789" s="41"/>
      <c r="P789" s="41"/>
      <c r="Q789" s="208"/>
      <c r="R789" s="237" cm="1">
        <f t="array" ref="R78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0.99109000000000003</v>
      </c>
      <c r="S789" s="238" cm="1">
        <f t="array" ref="S78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0.95886000000000005</v>
      </c>
      <c r="T789" s="238" cm="1">
        <f t="array" ref="T78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-0.95886000000000005</v>
      </c>
      <c r="U789" s="41" t="str" cm="1">
        <f t="array" ref="U78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0.99792 and 0.00000</v>
      </c>
      <c r="V789" s="22"/>
    </row>
    <row r="790" spans="10:22" x14ac:dyDescent="0.15">
      <c r="J790" s="190" t="s">
        <v>276</v>
      </c>
      <c r="K790" s="127" t="s">
        <v>34</v>
      </c>
      <c r="L790" s="208">
        <v>79</v>
      </c>
      <c r="M790" s="237">
        <f>_xlfn.LET(
  _xlpm.analyte, SensorLab[[#This Row],[Analyte]],
  _xlpm.raw, N(SensorLab[[#This Row],[Raw_Value]]),
  _xlpm.scaleF, IFERROR(
    _xlfn.XLOOKUP(_xlpm.analyte, CalibrationCoefficients[Analyte], CalibrationCoefficients[ScaleFactor]),
    1
  ),
  IF(AND(_xlpm.analyte&lt;&gt;"", ISNUMBER(_xlpm.raw)), _xlpm.raw * _xlpm.scaleF, "NA")
)</f>
        <v>7.9</v>
      </c>
      <c r="N790" s="41"/>
      <c r="O790" s="41"/>
      <c r="P790" s="41"/>
      <c r="Q790" s="208"/>
      <c r="R790" s="237" cm="1">
        <f t="array" ref="R79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7.8626399999999999</v>
      </c>
      <c r="S790" s="238" cm="1">
        <f t="array" ref="S79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7.8297299999999996</v>
      </c>
      <c r="T790" s="238" cm="1">
        <f t="array" ref="T79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-7.8297299999999996</v>
      </c>
      <c r="U790" s="41" t="str" cm="1">
        <f t="array" ref="U79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7.77214 and 0.00000</v>
      </c>
      <c r="V790" s="22"/>
    </row>
    <row r="791" spans="10:22" x14ac:dyDescent="0.15">
      <c r="J791" s="190" t="s">
        <v>276</v>
      </c>
      <c r="K791" s="127" t="s">
        <v>90</v>
      </c>
      <c r="L791" s="208">
        <v>158</v>
      </c>
      <c r="M791" s="237">
        <f>_xlfn.LET(
  _xlpm.analyte, SensorLab[[#This Row],[Analyte]],
  _xlpm.raw, N(SensorLab[[#This Row],[Raw_Value]]),
  _xlpm.scaleF, IFERROR(
    _xlfn.XLOOKUP(_xlpm.analyte, CalibrationCoefficients[Analyte], CalibrationCoefficients[ScaleFactor]),
    1
  ),
  IF(AND(_xlpm.analyte&lt;&gt;"", ISNUMBER(_xlpm.raw)), _xlpm.raw * _xlpm.scaleF, "NA")
)</f>
        <v>15.8</v>
      </c>
      <c r="N791" s="41"/>
      <c r="O791" s="41"/>
      <c r="P791" s="41"/>
      <c r="Q791" s="208"/>
      <c r="R791" s="237" cm="1">
        <f t="array" ref="R79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15.82418</v>
      </c>
      <c r="S791" s="238" cm="1">
        <f t="array" ref="S79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15.787599999999999</v>
      </c>
      <c r="T791" s="238" cm="1">
        <f t="array" ref="T79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-8.2124000000000006</v>
      </c>
      <c r="U791" s="41" t="str" cm="1">
        <f t="array" ref="U79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15.73000 and 0.00000</v>
      </c>
      <c r="V791" s="22"/>
    </row>
    <row r="792" spans="10:22" x14ac:dyDescent="0.15">
      <c r="J792" s="190" t="s">
        <v>276</v>
      </c>
      <c r="K792" s="191" t="s">
        <v>43</v>
      </c>
      <c r="L792" s="208">
        <v>218</v>
      </c>
      <c r="M792" s="237">
        <f>_xlfn.LET(
  _xlpm.analyte, SensorLab[[#This Row],[Analyte]],
  _xlpm.raw, N(SensorLab[[#This Row],[Raw_Value]]),
  _xlpm.scaleF, IFERROR(
    _xlfn.XLOOKUP(_xlpm.analyte, CalibrationCoefficients[Analyte], CalibrationCoefficients[ScaleFactor]),
    1
  ),
  IF(AND(_xlpm.analyte&lt;&gt;"", ISNUMBER(_xlpm.raw)), _xlpm.raw * _xlpm.scaleF, "NA")
)</f>
        <v>21.8</v>
      </c>
      <c r="N792" s="41"/>
      <c r="O792" s="41"/>
      <c r="P792" s="41"/>
      <c r="Q792" s="208"/>
      <c r="R792" s="237" cm="1">
        <f t="array" ref="R79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21.786370000000002</v>
      </c>
      <c r="S792" s="238" cm="1">
        <f t="array" ref="S79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21.799779999999998</v>
      </c>
      <c r="T792" s="238" cm="1">
        <f t="array" ref="T79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-21.799779999999998</v>
      </c>
      <c r="U792" s="41" t="str" cm="1">
        <f t="array" ref="U79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21.80000 and 0.00000</v>
      </c>
      <c r="V792" s="22"/>
    </row>
    <row r="793" spans="10:22" x14ac:dyDescent="0.15">
      <c r="J793" s="190" t="s">
        <v>276</v>
      </c>
      <c r="K793" s="191" t="s">
        <v>45</v>
      </c>
      <c r="L793" s="208">
        <v>5.1999999999999995E-4</v>
      </c>
      <c r="M793" s="237">
        <f>_xlfn.LET(
  _xlpm.analyte, SensorLab[[#This Row],[Analyte]],
  _xlpm.raw, N(SensorLab[[#This Row],[Raw_Value]]),
  _xlpm.scaleF, IFERROR(
    _xlfn.XLOOKUP(_xlpm.analyte, CalibrationCoefficients[Analyte], CalibrationCoefficients[ScaleFactor]),
    1
  ),
  IF(AND(_xlpm.analyte&lt;&gt;"", ISNUMBER(_xlpm.raw)), _xlpm.raw * _xlpm.scaleF, "NA")
)</f>
        <v>5.1999999999999995E-4</v>
      </c>
      <c r="N793" s="41"/>
      <c r="O793" s="41"/>
      <c r="P793" s="41"/>
      <c r="Q793" s="208"/>
      <c r="R793" s="237" cm="1">
        <f t="array" ref="R79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0.60409999999999997</v>
      </c>
      <c r="S793" s="238" cm="1">
        <f t="array" ref="S79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0.6</v>
      </c>
      <c r="T793" s="238" cm="1">
        <f t="array" ref="T79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-0.6</v>
      </c>
      <c r="U793" s="41" t="str" cm="1">
        <f t="array" ref="U79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0.00000 and 0.00000</v>
      </c>
      <c r="V793" s="22"/>
    </row>
    <row r="794" spans="10:22" x14ac:dyDescent="0.15">
      <c r="J794" s="190" t="s">
        <v>276</v>
      </c>
      <c r="K794" s="127" t="s">
        <v>0</v>
      </c>
      <c r="L794" s="208">
        <v>50.2</v>
      </c>
      <c r="M794" s="237">
        <f>_xlfn.LET(
  _xlpm.analyte, SensorLab[[#This Row],[Analyte]],
  _xlpm.raw, N(SensorLab[[#This Row],[Raw_Value]]),
  _xlpm.scaleF, IFERROR(
    _xlfn.XLOOKUP(_xlpm.analyte, CalibrationCoefficients[Analyte], CalibrationCoefficients[ScaleFactor]),
    1
  ),
  IF(AND(_xlpm.analyte&lt;&gt;"", ISNUMBER(_xlpm.raw)), _xlpm.raw * _xlpm.scaleF, "NA")
)</f>
        <v>50.2</v>
      </c>
      <c r="N794" s="41"/>
      <c r="O794" s="41"/>
      <c r="P794" s="41"/>
      <c r="Q794" s="208"/>
      <c r="R794" s="237" cm="1">
        <f t="array" ref="R79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794" s="238" cm="1">
        <f t="array" ref="S79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794" s="238" cm="1">
        <f t="array" ref="T79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-23</v>
      </c>
      <c r="U794" s="41" t="str" cm="1">
        <f t="array" ref="U79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14.93908 and 0.00000</v>
      </c>
      <c r="V794" s="22"/>
    </row>
    <row r="795" spans="10:22" x14ac:dyDescent="0.15">
      <c r="J795" s="190" t="s">
        <v>276</v>
      </c>
      <c r="K795" s="127" t="s">
        <v>5</v>
      </c>
      <c r="L795" s="208">
        <v>34.4</v>
      </c>
      <c r="M795" s="237">
        <f>_xlfn.LET(
  _xlpm.analyte, SensorLab[[#This Row],[Analyte]],
  _xlpm.raw, N(SensorLab[[#This Row],[Raw_Value]]),
  _xlpm.scaleF, IFERROR(
    _xlfn.XLOOKUP(_xlpm.analyte, CalibrationCoefficients[Analyte], CalibrationCoefficients[ScaleFactor]),
    1
  ),
  IF(AND(_xlpm.analyte&lt;&gt;"", ISNUMBER(_xlpm.raw)), _xlpm.raw * _xlpm.scaleF, "NA")
)</f>
        <v>34.4</v>
      </c>
      <c r="N795" s="41"/>
      <c r="O795" s="41"/>
      <c r="P795" s="41"/>
      <c r="Q795" s="208"/>
      <c r="R795" s="237" cm="1">
        <f t="array" ref="R79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795" s="238" cm="1">
        <f t="array" ref="S79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795" s="238" cm="1">
        <f t="array" ref="T79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-28</v>
      </c>
      <c r="U795" s="41" t="str" cm="1">
        <f t="array" ref="U79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31.74983 and 0.00000</v>
      </c>
      <c r="V795" s="22"/>
    </row>
    <row r="796" spans="10:22" x14ac:dyDescent="0.15">
      <c r="J796" s="190" t="s">
        <v>276</v>
      </c>
      <c r="K796" s="127" t="s">
        <v>6</v>
      </c>
      <c r="L796" s="208">
        <v>15.4</v>
      </c>
      <c r="M796" s="237">
        <f>_xlfn.LET(
  _xlpm.analyte, SensorLab[[#This Row],[Analyte]],
  _xlpm.raw, N(SensorLab[[#This Row],[Raw_Value]]),
  _xlpm.scaleF, IFERROR(
    _xlfn.XLOOKUP(_xlpm.analyte, CalibrationCoefficients[Analyte], CalibrationCoefficients[ScaleFactor]),
    1
  ),
  IF(AND(_xlpm.analyte&lt;&gt;"", ISNUMBER(_xlpm.raw)), _xlpm.raw * _xlpm.scaleF, "NA")
)</f>
        <v>15.4</v>
      </c>
      <c r="N796" s="41"/>
      <c r="O796" s="41"/>
      <c r="P796" s="41"/>
      <c r="Q796" s="208"/>
      <c r="R796" s="237" cm="1">
        <f t="array" ref="R79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796" s="238" cm="1">
        <f t="array" ref="S79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796" s="238" cm="1">
        <f t="array" ref="T79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v>
      </c>
      <c r="U796" s="41" t="str" cm="1">
        <f t="array" ref="U79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12.04170 and 0.00000</v>
      </c>
      <c r="V796" s="22"/>
    </row>
    <row r="797" spans="10:22" ht="11.25" thickBot="1" x14ac:dyDescent="0.2">
      <c r="J797" s="192" t="s">
        <v>276</v>
      </c>
      <c r="K797" s="193" t="s">
        <v>69</v>
      </c>
      <c r="L797" s="255" t="str" cm="1">
        <f t="array" ref="L797">_xlfn.LET(
  _xlpm.bs,L794, _xlpm.si,L795, _xlpm.c,L796,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M797" s="256" t="str" cm="1">
        <f t="array" ref="M797">_xlfn.LET(
  _xlpm.bs,M794, _xlpm.si,M795, _xlpm.c,M796,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N797" s="245" t="str" cm="1">
        <f t="array" ref="N797">_xlfn.LET(
  _xlpm.bs,N794, _xlpm.si,N795, _xlpm.c,N796,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797" s="245" t="str" cm="1">
        <f t="array" ref="O797">_xlfn.LET(
  _xlpm.bs,O794, _xlpm.si,O795, _xlpm.c,O796,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P797" s="245" t="str" cm="1">
        <f t="array" ref="P797">_xlfn.LET(
  _xlpm.bs,P794, _xlpm.si,P795, _xlpm.c,P796,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797" s="255" t="str" cm="1">
        <f t="array" ref="Q797">_xlfn.LET(
  _xlpm.bs,Q794, _xlpm.si,Q795, _xlpm.c,Q796,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R797" s="256" t="str" cm="1">
        <f t="array" ref="R797">_xlfn.LET(
  _xlpm.bs,R794, _xlpm.si,R795, _xlpm.c,R796,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S797" s="256" t="str" cm="1">
        <f t="array" ref="S797">_xlfn.LET(
  _xlpm.bs,S794, _xlpm.si,S795, _xlpm.c,S796,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T797" s="240" cm="1">
        <f t="array" ref="T79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v>
      </c>
      <c r="U797" s="229" t="str" cm="1">
        <f t="array" ref="U79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#N/A</v>
      </c>
      <c r="V797" s="22"/>
    </row>
    <row r="798" spans="10:22" x14ac:dyDescent="0.15">
      <c r="J798" s="190" t="s">
        <v>277</v>
      </c>
      <c r="K798" s="127" t="s">
        <v>39</v>
      </c>
      <c r="L798" s="208">
        <v>0</v>
      </c>
      <c r="M798"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798" s="41"/>
      <c r="O798" s="41"/>
      <c r="P798" s="41"/>
      <c r="Q798" s="208" t="str">
        <f>_xlfn.LET(
  _xlpm.tRaw, SensorLab[[#This Row],[Tarnab_Lab]],
  _xlpm.bRaw, SensorLab[[#This Row],[Bari_Lab]],
  _xlpm.mRaw, SensorLab[[#This Row],[ManuChar_Lab]],
  _xlpm.tIsNum, ISNUMBER(_xlpm.tRaw),
  _xlpm.bIsNum, ISNUMBER(_xlpm.bRaw),
  _xlpm.mIsNum, ISNUMBER(_xlpm.mRaw),
  _xlpm.t, IF(_xlpm.tIsNum, _xlpm.tRaw, ""),
  _xlpm.b, IF(_xlpm.bIsNum, _xlpm.bRaw, ""),
  _xlpm.m, IF(_xlpm.mIsNum, _xlpm.mRaw, ""),
  _xlpm.c, (--_xlpm.tIsNum) + (--_xlpm.bIsNum) + (--_xlpm.mIsNum),
  _xlpm.sumVals, IF(_xlpm.tIsNum, _xlpm.tRaw, 0) + IF(_xlpm.bIsNum, _xlpm.bRaw, 0) + IF(_xlpm.mIsNum, _xlpm.mRaw, 0),
  _xlpm.result,
    IF(_xlpm.c = 0, "",
      IF(_xlpm.c = 1,
         IF(_xlpm.tIsNum, _xlpm.t, IF(_xlpm.bIsNum, _xlpm.b, _xlpm.m)),
      IF(_xlpm.c = 2,
         _xlpm.sumVals / 2,
         MEDIAN(_xlpm.t, _xlpm.b, _xlpm.m)
      ))),
  _xlpm.result
)</f>
        <v/>
      </c>
      <c r="R798" s="239" cm="1">
        <f t="array" ref="R79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0.44663000000000003</v>
      </c>
      <c r="S798" s="241" cm="1">
        <f t="array" ref="S79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v>
      </c>
      <c r="T798" s="241" cm="1">
        <f t="array" ref="T79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-6</v>
      </c>
      <c r="U798" s="41" t="str" cm="1">
        <f t="array" ref="U79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0.44663 and 0.00000</v>
      </c>
      <c r="V798" s="22"/>
    </row>
    <row r="799" spans="10:22" x14ac:dyDescent="0.15">
      <c r="J799" s="190" t="s">
        <v>277</v>
      </c>
      <c r="K799" s="191" t="s">
        <v>40</v>
      </c>
      <c r="L799" s="208">
        <v>26</v>
      </c>
      <c r="M799" s="237">
        <f>_xlfn.LET(
  _xlpm.analyte, SensorLab[[#This Row],[Analyte]],
  _xlpm.raw, N(SensorLab[[#This Row],[Raw_Value]]),
  _xlpm.scaleF, IFERROR(
    _xlfn.XLOOKUP(_xlpm.analyte, CalibrationCoefficients[Analyte], CalibrationCoefficients[ScaleFactor]),
    1
  ),
  IF(AND(_xlpm.analyte&lt;&gt;"", ISNUMBER(_xlpm.raw)), _xlpm.raw * _xlpm.scaleF, "NA")
)</f>
        <v>26</v>
      </c>
      <c r="N799" s="41"/>
      <c r="O799" s="41"/>
      <c r="P799" s="41"/>
      <c r="Q799" s="208" t="str">
        <f>_xlfn.LET(
  _xlpm.tRaw, SensorLab[[#This Row],[Tarnab_Lab]],
  _xlpm.bRaw, SensorLab[[#This Row],[Bari_Lab]],
  _xlpm.mRaw, SensorLab[[#This Row],[ManuChar_Lab]],
  _xlpm.tIsNum, ISNUMBER(_xlpm.tRaw),
  _xlpm.bIsNum, ISNUMBER(_xlpm.bRaw),
  _xlpm.mIsNum, ISNUMBER(_xlpm.mRaw),
  _xlpm.t, IF(_xlpm.tIsNum, _xlpm.tRaw, ""),
  _xlpm.b, IF(_xlpm.bIsNum, _xlpm.bRaw, ""),
  _xlpm.m, IF(_xlpm.mIsNum, _xlpm.mRaw, ""),
  _xlpm.c, (--_xlpm.tIsNum) + (--_xlpm.bIsNum) + (--_xlpm.mIsNum),
  _xlpm.sumVals, IF(_xlpm.tIsNum, _xlpm.tRaw, 0) + IF(_xlpm.bIsNum, _xlpm.bRaw, 0) + IF(_xlpm.mIsNum, _xlpm.mRaw, 0),
  _xlpm.result,
    IF(_xlpm.c = 0, "",
      IF(_xlpm.c = 1,
         IF(_xlpm.tIsNum, _xlpm.t, IF(_xlpm.bIsNum, _xlpm.b, _xlpm.m)),
      IF(_xlpm.c = 2,
         _xlpm.sumVals / 2,
         MEDIAN(_xlpm.t, _xlpm.b, _xlpm.m)
      ))),
  _xlpm.result
)</f>
        <v/>
      </c>
      <c r="R799" s="237" cm="1">
        <f t="array" ref="R79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5.9645700000000001</v>
      </c>
      <c r="S799" s="238" cm="1">
        <f t="array" ref="S79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4.77454</v>
      </c>
      <c r="T799" s="238" cm="1">
        <f t="array" ref="T79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-0.22545999999999999</v>
      </c>
      <c r="U799" s="41" t="str" cm="1">
        <f t="array" ref="U79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6.06398 and 0.00000</v>
      </c>
      <c r="V799" s="22"/>
    </row>
    <row r="800" spans="10:22" x14ac:dyDescent="0.15">
      <c r="J800" s="190" t="s">
        <v>277</v>
      </c>
      <c r="K800" s="191" t="s">
        <v>41</v>
      </c>
      <c r="L800" s="208">
        <v>18</v>
      </c>
      <c r="M800" s="237">
        <f>_xlfn.LET(
  _xlpm.analyte, SensorLab[[#This Row],[Analyte]],
  _xlpm.raw, N(SensorLab[[#This Row],[Raw_Value]]),
  _xlpm.scaleF, IFERROR(
    _xlfn.XLOOKUP(_xlpm.analyte, CalibrationCoefficients[Analyte], CalibrationCoefficients[ScaleFactor]),
    1
  ),
  IF(AND(_xlpm.analyte&lt;&gt;"", ISNUMBER(_xlpm.raw)), _xlpm.raw * _xlpm.scaleF, "NA")
)</f>
        <v>18</v>
      </c>
      <c r="N800" s="41"/>
      <c r="O800" s="41"/>
      <c r="P800" s="41"/>
      <c r="Q800" s="208"/>
      <c r="R800" s="237" cm="1">
        <f t="array" ref="R80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117.15937</v>
      </c>
      <c r="S800" s="238" cm="1">
        <f t="array" ref="S80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103.4594</v>
      </c>
      <c r="T800" s="238" cm="1">
        <f t="array" ref="T80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-103.4594</v>
      </c>
      <c r="U800" s="41" t="str" cm="1">
        <f t="array" ref="U80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113.90908 and 0.00000</v>
      </c>
      <c r="V800" s="22"/>
    </row>
    <row r="801" spans="10:23" x14ac:dyDescent="0.15">
      <c r="J801" s="190" t="s">
        <v>277</v>
      </c>
      <c r="K801" s="127" t="s">
        <v>52</v>
      </c>
      <c r="L801" s="208">
        <v>144</v>
      </c>
      <c r="M801" s="237">
        <f>_xlfn.LET(
  _xlpm.analyte, SensorLab[[#This Row],[Analyte]],
  _xlpm.raw, N(SensorLab[[#This Row],[Raw_Value]]),
  _xlpm.scaleF, IFERROR(
    _xlfn.XLOOKUP(_xlpm.analyte, CalibrationCoefficients[Analyte], CalibrationCoefficients[ScaleFactor]),
    1
  ),
  IF(AND(_xlpm.analyte&lt;&gt;"", ISNUMBER(_xlpm.raw)), _xlpm.raw * _xlpm.scaleF, "NA")
)</f>
        <v>0.14400000000000002</v>
      </c>
      <c r="N801" s="41"/>
      <c r="O801" s="41"/>
      <c r="P801" s="41"/>
      <c r="Q801" s="208"/>
      <c r="R801" s="237" cm="1">
        <f t="array" ref="R80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1.0101</v>
      </c>
      <c r="S801" s="238" cm="1">
        <f t="array" ref="S80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0.97787000000000002</v>
      </c>
      <c r="T801" s="238" cm="1">
        <f t="array" ref="T80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-0.97787000000000002</v>
      </c>
      <c r="U801" s="41" t="str" cm="1">
        <f t="array" ref="U80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1.00418 and 0.00000</v>
      </c>
      <c r="V801" s="22"/>
    </row>
    <row r="802" spans="10:23" x14ac:dyDescent="0.15">
      <c r="J802" s="190" t="s">
        <v>277</v>
      </c>
      <c r="K802" s="127" t="s">
        <v>34</v>
      </c>
      <c r="L802" s="208">
        <v>68</v>
      </c>
      <c r="M802" s="237">
        <f>_xlfn.LET(
  _xlpm.analyte, SensorLab[[#This Row],[Analyte]],
  _xlpm.raw, N(SensorLab[[#This Row],[Raw_Value]]),
  _xlpm.scaleF, IFERROR(
    _xlfn.XLOOKUP(_xlpm.analyte, CalibrationCoefficients[Analyte], CalibrationCoefficients[ScaleFactor]),
    1
  ),
  IF(AND(_xlpm.analyte&lt;&gt;"", ISNUMBER(_xlpm.raw)), _xlpm.raw * _xlpm.scaleF, "NA")
)</f>
        <v>6.8000000000000007</v>
      </c>
      <c r="N802" s="41"/>
      <c r="O802" s="41"/>
      <c r="P802" s="41"/>
      <c r="Q802" s="208"/>
      <c r="R802" s="237" cm="1">
        <f t="array" ref="R80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7.9129100000000001</v>
      </c>
      <c r="S802" s="238" cm="1">
        <f t="array" ref="S80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7.88</v>
      </c>
      <c r="T802" s="238" cm="1">
        <f t="array" ref="T80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-7.88</v>
      </c>
      <c r="U802" s="41" t="str" cm="1">
        <f t="array" ref="U80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7.82874 and 0.00000</v>
      </c>
      <c r="V802" s="22"/>
    </row>
    <row r="803" spans="10:23" x14ac:dyDescent="0.15">
      <c r="J803" s="190" t="s">
        <v>277</v>
      </c>
      <c r="K803" s="127" t="s">
        <v>90</v>
      </c>
      <c r="L803" s="208">
        <v>170</v>
      </c>
      <c r="M803" s="237">
        <f>_xlfn.LET(
  _xlpm.analyte, SensorLab[[#This Row],[Analyte]],
  _xlpm.raw, N(SensorLab[[#This Row],[Raw_Value]]),
  _xlpm.scaleF, IFERROR(
    _xlfn.XLOOKUP(_xlpm.analyte, CalibrationCoefficients[Analyte], CalibrationCoefficients[ScaleFactor]),
    1
  ),
  IF(AND(_xlpm.analyte&lt;&gt;"", ISNUMBER(_xlpm.raw)), _xlpm.raw * _xlpm.scaleF, "NA")
)</f>
        <v>17</v>
      </c>
      <c r="N803" s="41"/>
      <c r="O803" s="41"/>
      <c r="P803" s="41"/>
      <c r="Q803" s="208"/>
      <c r="R803" s="237" cm="1">
        <f t="array" ref="R80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17.048970000000001</v>
      </c>
      <c r="S803" s="238" cm="1">
        <f t="array" ref="S80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17.01239</v>
      </c>
      <c r="T803" s="238" cm="1">
        <f t="array" ref="T80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-6.9876100000000001</v>
      </c>
      <c r="U803" s="41" t="str" cm="1">
        <f t="array" ref="U80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16.93000 and 0.00000</v>
      </c>
      <c r="V803" s="22"/>
      <c r="W803" s="5"/>
    </row>
    <row r="804" spans="10:23" x14ac:dyDescent="0.15">
      <c r="J804" s="190" t="s">
        <v>277</v>
      </c>
      <c r="K804" s="191" t="s">
        <v>43</v>
      </c>
      <c r="L804" s="208">
        <v>274</v>
      </c>
      <c r="M804" s="237">
        <f>_xlfn.LET(
  _xlpm.analyte, SensorLab[[#This Row],[Analyte]],
  _xlpm.raw, N(SensorLab[[#This Row],[Raw_Value]]),
  _xlpm.scaleF, IFERROR(
    _xlfn.XLOOKUP(_xlpm.analyte, CalibrationCoefficients[Analyte], CalibrationCoefficients[ScaleFactor]),
    1
  ),
  IF(AND(_xlpm.analyte&lt;&gt;"", ISNUMBER(_xlpm.raw)), _xlpm.raw * _xlpm.scaleF, "NA")
)</f>
        <v>27.400000000000002</v>
      </c>
      <c r="N804" s="41"/>
      <c r="O804" s="41"/>
      <c r="P804" s="41"/>
      <c r="Q804" s="208"/>
      <c r="R804" s="237" cm="1">
        <f t="array" ref="R80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27.38777</v>
      </c>
      <c r="S804" s="238" cm="1">
        <f t="array" ref="S80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27.40118</v>
      </c>
      <c r="T804" s="238" cm="1">
        <f t="array" ref="T80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-27.40118</v>
      </c>
      <c r="U804" s="41" t="str" cm="1">
        <f t="array" ref="U80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27.40000 and 0.00000</v>
      </c>
      <c r="V804" s="22"/>
    </row>
    <row r="805" spans="10:23" x14ac:dyDescent="0.15">
      <c r="J805" s="190" t="s">
        <v>277</v>
      </c>
      <c r="K805" s="191" t="s">
        <v>45</v>
      </c>
      <c r="L805" s="208">
        <v>5.1719999999999999E-4</v>
      </c>
      <c r="M805" s="237">
        <f>_xlfn.LET(
  _xlpm.analyte, SensorLab[[#This Row],[Analyte]],
  _xlpm.raw, N(SensorLab[[#This Row],[Raw_Value]]),
  _xlpm.scaleF, IFERROR(
    _xlfn.XLOOKUP(_xlpm.analyte, CalibrationCoefficients[Analyte], CalibrationCoefficients[ScaleFactor]),
    1
  ),
  IF(AND(_xlpm.analyte&lt;&gt;"", ISNUMBER(_xlpm.raw)), _xlpm.raw * _xlpm.scaleF, "NA")
)</f>
        <v>5.1719999999999999E-4</v>
      </c>
      <c r="N805" s="41"/>
      <c r="O805" s="41"/>
      <c r="P805" s="41"/>
      <c r="Q805" s="208"/>
      <c r="R805" s="237" cm="1">
        <f t="array" ref="R80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0.60387999999999997</v>
      </c>
      <c r="S805" s="238" cm="1">
        <f t="array" ref="S80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0.59977999999999998</v>
      </c>
      <c r="T805" s="238" cm="1">
        <f t="array" ref="T80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-0.59977999999999998</v>
      </c>
      <c r="U805" s="41" t="str" cm="1">
        <f t="array" ref="U80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0.00000 and 0.00000</v>
      </c>
      <c r="V805" s="22"/>
    </row>
    <row r="806" spans="10:23" x14ac:dyDescent="0.15">
      <c r="J806" s="190" t="s">
        <v>277</v>
      </c>
      <c r="K806" s="127" t="s">
        <v>0</v>
      </c>
      <c r="L806" s="208">
        <v>34.619999999999997</v>
      </c>
      <c r="M806" s="237">
        <f>_xlfn.LET(
  _xlpm.analyte, SensorLab[[#This Row],[Analyte]],
  _xlpm.raw, N(SensorLab[[#This Row],[Raw_Value]]),
  _xlpm.scaleF, IFERROR(
    _xlfn.XLOOKUP(_xlpm.analyte, CalibrationCoefficients[Analyte], CalibrationCoefficients[ScaleFactor]),
    1
  ),
  IF(AND(_xlpm.analyte&lt;&gt;"", ISNUMBER(_xlpm.raw)), _xlpm.raw * _xlpm.scaleF, "NA")
)</f>
        <v>34.619999999999997</v>
      </c>
      <c r="N806" s="41"/>
      <c r="O806" s="41"/>
      <c r="P806" s="41"/>
      <c r="Q806" s="208"/>
      <c r="R806" s="237" cm="1">
        <f t="array" ref="R80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806" s="238" cm="1">
        <f t="array" ref="S80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806" s="238" cm="1">
        <f t="array" ref="T80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-23</v>
      </c>
      <c r="U806" s="41" t="str" cm="1">
        <f t="array" ref="U80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17.93046 and 0.00000</v>
      </c>
      <c r="V806" s="22"/>
    </row>
    <row r="807" spans="10:23" x14ac:dyDescent="0.15">
      <c r="J807" s="190" t="s">
        <v>277</v>
      </c>
      <c r="K807" s="127" t="s">
        <v>5</v>
      </c>
      <c r="L807" s="208">
        <v>48.02</v>
      </c>
      <c r="M807" s="237">
        <f>_xlfn.LET(
  _xlpm.analyte, SensorLab[[#This Row],[Analyte]],
  _xlpm.raw, N(SensorLab[[#This Row],[Raw_Value]]),
  _xlpm.scaleF, IFERROR(
    _xlfn.XLOOKUP(_xlpm.analyte, CalibrationCoefficients[Analyte], CalibrationCoefficients[ScaleFactor]),
    1
  ),
  IF(AND(_xlpm.analyte&lt;&gt;"", ISNUMBER(_xlpm.raw)), _xlpm.raw * _xlpm.scaleF, "NA")
)</f>
        <v>48.02</v>
      </c>
      <c r="N807" s="41"/>
      <c r="O807" s="41"/>
      <c r="P807" s="41"/>
      <c r="Q807" s="208"/>
      <c r="R807" s="237" cm="1">
        <f t="array" ref="R80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807" s="238" cm="1">
        <f t="array" ref="S80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807" s="238" cm="1">
        <f t="array" ref="T80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-28</v>
      </c>
      <c r="U807" s="41" t="str" cm="1">
        <f t="array" ref="U80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29.03502 and 0.00000</v>
      </c>
      <c r="V807" s="22"/>
    </row>
    <row r="808" spans="10:23" x14ac:dyDescent="0.15">
      <c r="J808" s="190" t="s">
        <v>277</v>
      </c>
      <c r="K808" s="127" t="s">
        <v>6</v>
      </c>
      <c r="L808" s="208">
        <v>17.36</v>
      </c>
      <c r="M808" s="237">
        <f>_xlfn.LET(
  _xlpm.analyte, SensorLab[[#This Row],[Analyte]],
  _xlpm.raw, N(SensorLab[[#This Row],[Raw_Value]]),
  _xlpm.scaleF, IFERROR(
    _xlfn.XLOOKUP(_xlpm.analyte, CalibrationCoefficients[Analyte], CalibrationCoefficients[ScaleFactor]),
    1
  ),
  IF(AND(_xlpm.analyte&lt;&gt;"", ISNUMBER(_xlpm.raw)), _xlpm.raw * _xlpm.scaleF, "NA")
)</f>
        <v>17.36</v>
      </c>
      <c r="N808" s="41"/>
      <c r="O808" s="41"/>
      <c r="P808" s="41"/>
      <c r="Q808" s="208"/>
      <c r="R808" s="237" cm="1">
        <f t="array" ref="R80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808" s="238" cm="1">
        <f t="array" ref="S80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808" s="238" cm="1">
        <f t="array" ref="T80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v>
      </c>
      <c r="U808" s="41" t="str" cm="1">
        <f t="array" ref="U80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11.57826 and 0.00000</v>
      </c>
      <c r="V808" s="22"/>
    </row>
    <row r="809" spans="10:23" ht="11.25" thickBot="1" x14ac:dyDescent="0.2">
      <c r="J809" s="192" t="s">
        <v>277</v>
      </c>
      <c r="K809" s="193" t="s">
        <v>69</v>
      </c>
      <c r="L809" s="255" t="str" cm="1">
        <f t="array" ref="L809">_xlfn.LET(
  _xlpm.bs,L806, _xlpm.si,L807, _xlpm.c,L808,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M809" s="256" t="str" cm="1">
        <f t="array" ref="M809">_xlfn.LET(
  _xlpm.bs,M806, _xlpm.si,M807, _xlpm.c,M808,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N809" s="245" t="str" cm="1">
        <f t="array" ref="N809">_xlfn.LET(
  _xlpm.bs,N806, _xlpm.si,N807, _xlpm.c,N808,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809" s="245" t="str" cm="1">
        <f t="array" ref="O809">_xlfn.LET(
  _xlpm.bs,O806, _xlpm.si,O807, _xlpm.c,O808,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P809" s="245" t="str" cm="1">
        <f t="array" ref="P809">_xlfn.LET(
  _xlpm.bs,P806, _xlpm.si,P807, _xlpm.c,P808,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809" s="255" t="str" cm="1">
        <f t="array" ref="Q809">_xlfn.LET(
  _xlpm.bs,Q806, _xlpm.si,Q807, _xlpm.c,Q808,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R809" s="256" t="str" cm="1">
        <f t="array" ref="R809">_xlfn.LET(
  _xlpm.bs,R806, _xlpm.si,R807, _xlpm.c,R808,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S809" s="256" t="str" cm="1">
        <f t="array" ref="S809">_xlfn.LET(
  _xlpm.bs,S806, _xlpm.si,S807, _xlpm.c,S808,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T809" s="240" cm="1">
        <f t="array" ref="T80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v>
      </c>
      <c r="U809" s="229" t="str" cm="1">
        <f t="array" ref="U80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#N/A</v>
      </c>
      <c r="V809" s="22"/>
    </row>
    <row r="810" spans="10:23" x14ac:dyDescent="0.15">
      <c r="J810" s="190" t="s">
        <v>278</v>
      </c>
      <c r="K810" s="127" t="s">
        <v>39</v>
      </c>
      <c r="L810" s="208">
        <v>0</v>
      </c>
      <c r="M810"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810" s="41"/>
      <c r="O810" s="41">
        <v>2</v>
      </c>
      <c r="P810" s="41"/>
      <c r="Q810" s="207" cm="1">
        <f t="array" ref="Q81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v>
      </c>
      <c r="R810" s="239" cm="1">
        <f t="array" ref="R81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0.44663000000000003</v>
      </c>
      <c r="S810" s="241" cm="1">
        <f t="array" ref="S81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v>
      </c>
      <c r="T810" s="241" cm="1">
        <f t="array" ref="T81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-4</v>
      </c>
      <c r="U810" s="41" t="str" cm="1">
        <f t="array" ref="U81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1.17402 and 0.44663</v>
      </c>
      <c r="V810" s="22"/>
    </row>
    <row r="811" spans="10:23" x14ac:dyDescent="0.15">
      <c r="J811" s="190" t="s">
        <v>278</v>
      </c>
      <c r="K811" s="191" t="s">
        <v>40</v>
      </c>
      <c r="L811" s="208">
        <v>30</v>
      </c>
      <c r="M811" s="237">
        <f>_xlfn.LET(
  _xlpm.analyte, SensorLab[[#This Row],[Analyte]],
  _xlpm.raw, N(SensorLab[[#This Row],[Raw_Value]]),
  _xlpm.scaleF, IFERROR(
    _xlfn.XLOOKUP(_xlpm.analyte, CalibrationCoefficients[Analyte], CalibrationCoefficients[ScaleFactor]),
    1
  ),
  IF(AND(_xlpm.analyte&lt;&gt;"", ISNUMBER(_xlpm.raw)), _xlpm.raw * _xlpm.scaleF, "NA")
)</f>
        <v>30</v>
      </c>
      <c r="N811" s="41"/>
      <c r="O811" s="41">
        <v>4.87</v>
      </c>
      <c r="P811" s="41"/>
      <c r="Q811" s="208" cm="1">
        <f t="array" ref="Q811">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4.87</v>
      </c>
      <c r="R811" s="237" cm="1">
        <f t="array" ref="R81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6.0646500000000003</v>
      </c>
      <c r="S811" s="238" cm="1">
        <f t="array" ref="S81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4.8746200000000002</v>
      </c>
      <c r="T811" s="238" cm="1">
        <f t="array" ref="T81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-4.62E-3</v>
      </c>
      <c r="U811" s="41" t="str" cm="1">
        <f t="array" ref="U81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6.11853 and 7.23853</v>
      </c>
      <c r="V811" s="22"/>
    </row>
    <row r="812" spans="10:23" x14ac:dyDescent="0.15">
      <c r="J812" s="190" t="s">
        <v>278</v>
      </c>
      <c r="K812" s="191" t="s">
        <v>41</v>
      </c>
      <c r="L812" s="208">
        <v>22</v>
      </c>
      <c r="M812" s="237">
        <f>_xlfn.LET(
  _xlpm.analyte, SensorLab[[#This Row],[Analyte]],
  _xlpm.raw, N(SensorLab[[#This Row],[Raw_Value]]),
  _xlpm.scaleF, IFERROR(
    _xlfn.XLOOKUP(_xlpm.analyte, CalibrationCoefficients[Analyte], CalibrationCoefficients[ScaleFactor]),
    1
  ),
  IF(AND(_xlpm.analyte&lt;&gt;"", ISNUMBER(_xlpm.raw)), _xlpm.raw * _xlpm.scaleF, "NA")
)</f>
        <v>22</v>
      </c>
      <c r="N812" s="41"/>
      <c r="O812" s="41">
        <v>101</v>
      </c>
      <c r="P812" s="41"/>
      <c r="Q812" s="208" cm="1">
        <f t="array" ref="Q81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101</v>
      </c>
      <c r="R812" s="237" cm="1">
        <f t="array" ref="R81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118.41614</v>
      </c>
      <c r="S812" s="238" cm="1">
        <f t="array" ref="S81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104.71617000000001</v>
      </c>
      <c r="T812" s="238" cm="1">
        <f t="array" ref="T81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-3.71617</v>
      </c>
      <c r="U812" s="41" t="str" cm="1">
        <f t="array" ref="U81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115.28654 and 118.26654</v>
      </c>
      <c r="V812" s="22"/>
    </row>
    <row r="813" spans="10:23" x14ac:dyDescent="0.15">
      <c r="J813" s="190" t="s">
        <v>278</v>
      </c>
      <c r="K813" s="127" t="s">
        <v>52</v>
      </c>
      <c r="L813" s="208">
        <v>152</v>
      </c>
      <c r="M813" s="237">
        <f>_xlfn.LET(
  _xlpm.analyte, SensorLab[[#This Row],[Analyte]],
  _xlpm.raw, N(SensorLab[[#This Row],[Raw_Value]]),
  _xlpm.scaleF, IFERROR(
    _xlfn.XLOOKUP(_xlpm.analyte, CalibrationCoefficients[Analyte], CalibrationCoefficients[ScaleFactor]),
    1
  ),
  IF(AND(_xlpm.analyte&lt;&gt;"", ISNUMBER(_xlpm.raw)), _xlpm.raw * _xlpm.scaleF, "NA")
)</f>
        <v>0.152</v>
      </c>
      <c r="N813" s="41"/>
      <c r="O813" s="41">
        <v>1.1399999999999999</v>
      </c>
      <c r="P813" s="41"/>
      <c r="Q813" s="208" cm="1">
        <f t="array" ref="Q813">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1.1399999999999999</v>
      </c>
      <c r="R813" s="237" cm="1">
        <f t="array" ref="R81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1.0153399999999999</v>
      </c>
      <c r="S813" s="238" cm="1">
        <f t="array" ref="S81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0.98311000000000004</v>
      </c>
      <c r="T813" s="238" cm="1">
        <f t="array" ref="T81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0.15689</v>
      </c>
      <c r="U813" s="41" t="str" cm="1">
        <f t="array" ref="U81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1.00591 and 1.10591</v>
      </c>
      <c r="V813" s="22"/>
    </row>
    <row r="814" spans="10:23" x14ac:dyDescent="0.15">
      <c r="J814" s="190" t="s">
        <v>278</v>
      </c>
      <c r="K814" s="127" t="s">
        <v>34</v>
      </c>
      <c r="L814" s="208">
        <v>77</v>
      </c>
      <c r="M814" s="237">
        <f>_xlfn.LET(
  _xlpm.analyte, SensorLab[[#This Row],[Analyte]],
  _xlpm.raw, N(SensorLab[[#This Row],[Raw_Value]]),
  _xlpm.scaleF, IFERROR(
    _xlfn.XLOOKUP(_xlpm.analyte, CalibrationCoefficients[Analyte], CalibrationCoefficients[ScaleFactor]),
    1
  ),
  IF(AND(_xlpm.analyte&lt;&gt;"", ISNUMBER(_xlpm.raw)), _xlpm.raw * _xlpm.scaleF, "NA")
)</f>
        <v>7.7</v>
      </c>
      <c r="N814" s="41"/>
      <c r="O814" s="41">
        <v>8.02</v>
      </c>
      <c r="P814" s="41"/>
      <c r="Q814" s="208" cm="1">
        <f t="array" ref="Q81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8.02</v>
      </c>
      <c r="R814" s="237" cm="1">
        <f t="array" ref="R81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7.8717800000000002</v>
      </c>
      <c r="S814" s="238" cm="1">
        <f t="array" ref="S81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7.83887</v>
      </c>
      <c r="T814" s="238" cm="1">
        <f t="array" ref="T81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0.18113000000000001</v>
      </c>
      <c r="U814" s="41" t="str" cm="1">
        <f t="array" ref="U81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0.18113)</v>
      </c>
      <c r="V814" s="22"/>
    </row>
    <row r="815" spans="10:23" x14ac:dyDescent="0.15">
      <c r="J815" s="190" t="s">
        <v>278</v>
      </c>
      <c r="K815" s="127" t="s">
        <v>90</v>
      </c>
      <c r="L815" s="208">
        <v>158</v>
      </c>
      <c r="M815" s="237">
        <f>_xlfn.LET(
  _xlpm.analyte, SensorLab[[#This Row],[Analyte]],
  _xlpm.raw, N(SensorLab[[#This Row],[Raw_Value]]),
  _xlpm.scaleF, IFERROR(
    _xlfn.XLOOKUP(_xlpm.analyte, CalibrationCoefficients[Analyte], CalibrationCoefficients[ScaleFactor]),
    1
  ),
  IF(AND(_xlpm.analyte&lt;&gt;"", ISNUMBER(_xlpm.raw)), _xlpm.raw * _xlpm.scaleF, "NA")
)</f>
        <v>15.8</v>
      </c>
      <c r="N815" s="41"/>
      <c r="O815" s="41">
        <v>15.8</v>
      </c>
      <c r="P815" s="41"/>
      <c r="Q815" s="208" cm="1">
        <f t="array" ref="Q815">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15.8</v>
      </c>
      <c r="R815" s="237" cm="1">
        <f t="array" ref="R81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15.82418</v>
      </c>
      <c r="S815" s="238" cm="1">
        <f t="array" ref="S81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15.787599999999999</v>
      </c>
      <c r="T815" s="238" cm="1">
        <f t="array" ref="T81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-8.2124000000000006</v>
      </c>
      <c r="U815" s="41" t="str" cm="1">
        <f t="array" ref="U81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0.01240)</v>
      </c>
      <c r="V815" s="22"/>
      <c r="W815" s="5"/>
    </row>
    <row r="816" spans="10:23" x14ac:dyDescent="0.15">
      <c r="J816" s="190" t="s">
        <v>278</v>
      </c>
      <c r="K816" s="191" t="s">
        <v>43</v>
      </c>
      <c r="L816" s="208">
        <v>258</v>
      </c>
      <c r="M816" s="237">
        <f>_xlfn.LET(
  _xlpm.analyte, SensorLab[[#This Row],[Analyte]],
  _xlpm.raw, N(SensorLab[[#This Row],[Raw_Value]]),
  _xlpm.scaleF, IFERROR(
    _xlfn.XLOOKUP(_xlpm.analyte, CalibrationCoefficients[Analyte], CalibrationCoefficients[ScaleFactor]),
    1
  ),
  IF(AND(_xlpm.analyte&lt;&gt;"", ISNUMBER(_xlpm.raw)), _xlpm.raw * _xlpm.scaleF, "NA")
)</f>
        <v>25.8</v>
      </c>
      <c r="N816" s="41"/>
      <c r="O816" s="41">
        <v>25.8</v>
      </c>
      <c r="P816" s="41"/>
      <c r="Q816" s="208" cm="1">
        <f t="array" ref="Q81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25.8</v>
      </c>
      <c r="R816" s="237" cm="1">
        <f t="array" ref="R81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25.787369999999999</v>
      </c>
      <c r="S816" s="238" cm="1">
        <f t="array" ref="S81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25.80078</v>
      </c>
      <c r="T816" s="238" cm="1">
        <f t="array" ref="T81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0.8007799999999996</v>
      </c>
      <c r="U816" s="41" t="str" cm="1">
        <f t="array" ref="U81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25.80000 and 25.80000</v>
      </c>
      <c r="V816" s="22"/>
      <c r="W816" s="5"/>
    </row>
    <row r="817" spans="10:23" x14ac:dyDescent="0.15">
      <c r="J817" s="190" t="s">
        <v>278</v>
      </c>
      <c r="K817" s="191" t="s">
        <v>45</v>
      </c>
      <c r="L817" s="208">
        <v>5.1719999999999999E-4</v>
      </c>
      <c r="M817" s="237">
        <f>_xlfn.LET(
  _xlpm.analyte, SensorLab[[#This Row],[Analyte]],
  _xlpm.raw, N(SensorLab[[#This Row],[Raw_Value]]),
  _xlpm.scaleF, IFERROR(
    _xlfn.XLOOKUP(_xlpm.analyte, CalibrationCoefficients[Analyte], CalibrationCoefficients[ScaleFactor]),
    1
  ),
  IF(AND(_xlpm.analyte&lt;&gt;"", ISNUMBER(_xlpm.raw)), _xlpm.raw * _xlpm.scaleF, "NA")
)</f>
        <v>5.1719999999999999E-4</v>
      </c>
      <c r="N817" s="41"/>
      <c r="O817" s="41">
        <v>0.7</v>
      </c>
      <c r="P817" s="41"/>
      <c r="Q817" s="208" cm="1">
        <f t="array" ref="Q817">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0.7</v>
      </c>
      <c r="R817" s="237" cm="1">
        <f t="array" ref="R81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0.60387999999999997</v>
      </c>
      <c r="S817" s="238" cm="1">
        <f t="array" ref="S81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0.59977999999999998</v>
      </c>
      <c r="T817" s="238" cm="1">
        <f t="array" ref="T81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0.10022</v>
      </c>
      <c r="U817" s="41" t="str" cm="1">
        <f t="array" ref="U81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0.10022)</v>
      </c>
      <c r="V817" s="22"/>
    </row>
    <row r="818" spans="10:23" x14ac:dyDescent="0.15">
      <c r="J818" s="190" t="s">
        <v>278</v>
      </c>
      <c r="K818" s="127" t="s">
        <v>0</v>
      </c>
      <c r="L818" s="208">
        <v>35.01</v>
      </c>
      <c r="M818" s="237">
        <f>_xlfn.LET(
  _xlpm.analyte, SensorLab[[#This Row],[Analyte]],
  _xlpm.raw, N(SensorLab[[#This Row],[Raw_Value]]),
  _xlpm.scaleF, IFERROR(
    _xlfn.XLOOKUP(_xlpm.analyte, CalibrationCoefficients[Analyte], CalibrationCoefficients[ScaleFactor]),
    1
  ),
  IF(AND(_xlpm.analyte&lt;&gt;"", ISNUMBER(_xlpm.raw)), _xlpm.raw * _xlpm.scaleF, "NA")
)</f>
        <v>35.01</v>
      </c>
      <c r="N818" s="41"/>
      <c r="O818" s="41">
        <v>65</v>
      </c>
      <c r="P818" s="41"/>
      <c r="Q818" s="208" cm="1">
        <f t="array" ref="Q81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65</v>
      </c>
      <c r="R818" s="237" cm="1">
        <f t="array" ref="R81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65</v>
      </c>
      <c r="S818" s="238" cm="1">
        <f t="array" ref="S81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65</v>
      </c>
      <c r="T818" s="238" cm="1">
        <f t="array" ref="T81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818" s="41" t="str" cm="1">
        <f t="array" ref="U81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65.00000 and 56.95558</v>
      </c>
      <c r="V818" s="22"/>
    </row>
    <row r="819" spans="10:23" x14ac:dyDescent="0.15">
      <c r="J819" s="190" t="s">
        <v>278</v>
      </c>
      <c r="K819" s="127" t="s">
        <v>5</v>
      </c>
      <c r="L819" s="208">
        <v>47.5</v>
      </c>
      <c r="M819" s="237">
        <f>_xlfn.LET(
  _xlpm.analyte, SensorLab[[#This Row],[Analyte]],
  _xlpm.raw, N(SensorLab[[#This Row],[Raw_Value]]),
  _xlpm.scaleF, IFERROR(
    _xlfn.XLOOKUP(_xlpm.analyte, CalibrationCoefficients[Analyte], CalibrationCoefficients[ScaleFactor]),
    1
  ),
  IF(AND(_xlpm.analyte&lt;&gt;"", ISNUMBER(_xlpm.raw)), _xlpm.raw * _xlpm.scaleF, "NA")
)</f>
        <v>47.5</v>
      </c>
      <c r="N819" s="41"/>
      <c r="O819" s="41">
        <v>25</v>
      </c>
      <c r="P819" s="41"/>
      <c r="Q819" s="208" cm="1">
        <f t="array" ref="Q819">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25</v>
      </c>
      <c r="R819" s="237" cm="1">
        <f t="array" ref="R81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25</v>
      </c>
      <c r="S819" s="238" cm="1">
        <f t="array" ref="S81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25</v>
      </c>
      <c r="T819" s="238" cm="1">
        <f t="array" ref="T81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819" s="41" t="str" cm="1">
        <f t="array" ref="U81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29.13867 and 25.00000</v>
      </c>
      <c r="V819" s="22"/>
    </row>
    <row r="820" spans="10:23" x14ac:dyDescent="0.15">
      <c r="J820" s="190" t="s">
        <v>278</v>
      </c>
      <c r="K820" s="127" t="s">
        <v>6</v>
      </c>
      <c r="L820" s="208">
        <v>17.489999999999998</v>
      </c>
      <c r="M820" s="237">
        <f>_xlfn.LET(
  _xlpm.analyte, SensorLab[[#This Row],[Analyte]],
  _xlpm.raw, N(SensorLab[[#This Row],[Raw_Value]]),
  _xlpm.scaleF, IFERROR(
    _xlfn.XLOOKUP(_xlpm.analyte, CalibrationCoefficients[Analyte], CalibrationCoefficients[ScaleFactor]),
    1
  ),
  IF(AND(_xlpm.analyte&lt;&gt;"", ISNUMBER(_xlpm.raw)), _xlpm.raw * _xlpm.scaleF, "NA")
)</f>
        <v>17.489999999999998</v>
      </c>
      <c r="N820" s="41"/>
      <c r="O820" s="41">
        <v>10</v>
      </c>
      <c r="P820" s="41"/>
      <c r="Q820" s="208" cm="1">
        <f t="array" ref="Q82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10</v>
      </c>
      <c r="R820" s="237" cm="1">
        <f t="array" ref="R82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10</v>
      </c>
      <c r="S820" s="238" cm="1">
        <f t="array" ref="S82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10</v>
      </c>
      <c r="T820" s="238" cm="1">
        <f t="array" ref="T82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820" s="41" t="str" cm="1">
        <f t="array" ref="U82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11.54752 and 10.00000</v>
      </c>
      <c r="V820" s="22"/>
    </row>
    <row r="821" spans="10:23" ht="11.25" thickBot="1" x14ac:dyDescent="0.2">
      <c r="J821" s="192" t="s">
        <v>278</v>
      </c>
      <c r="K821" s="193" t="s">
        <v>69</v>
      </c>
      <c r="L821" s="255" t="str" cm="1">
        <f t="array" ref="L821">_xlfn.LET(
  _xlpm.bs,L818, _xlpm.si,L819, _xlpm.c,L820,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M821" s="256" t="str" cm="1">
        <f t="array" ref="M821">_xlfn.LET(
  _xlpm.bs,M818, _xlpm.si,M819, _xlpm.c,M820,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N821" s="245" t="str" cm="1">
        <f t="array" ref="N821">_xlfn.LET(
  _xlpm.bs,N818, _xlpm.si,N819, _xlpm.c,N820,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821" s="245" t="str" cm="1">
        <f t="array" ref="O821">_xlfn.LET(
  _xlpm.bs,O818, _xlpm.si,O819, _xlpm.c,O820,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P821" s="245" t="str" cm="1">
        <f t="array" ref="P821">_xlfn.LET(
  _xlpm.bs,P818, _xlpm.si,P819, _xlpm.c,P820,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821" s="255" t="str" cm="1">
        <f t="array" ref="Q821">_xlfn.LET(
  _xlpm.bs,Q818, _xlpm.si,Q819, _xlpm.c,Q820,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R821" s="256" t="str" cm="1">
        <f t="array" ref="R821">_xlfn.LET(
  _xlpm.bs,R818, _xlpm.si,R819, _xlpm.c,R820,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S821" s="256" t="str" cm="1">
        <f t="array" ref="S821">_xlfn.LET(
  _xlpm.bs,S818, _xlpm.si,S819, _xlpm.c,S820,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T821" s="240" cm="1">
        <f t="array" ref="T82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821" s="229" t="str" cm="1">
        <f t="array" ref="U82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(Texture match: Sandy Loam)</v>
      </c>
      <c r="V821" s="22"/>
    </row>
    <row r="822" spans="10:23" x14ac:dyDescent="0.15">
      <c r="J822" s="190" t="s">
        <v>279</v>
      </c>
      <c r="K822" s="127" t="s">
        <v>39</v>
      </c>
      <c r="L822" s="208">
        <v>0</v>
      </c>
      <c r="M822"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822" s="41"/>
      <c r="O822" s="41">
        <v>2</v>
      </c>
      <c r="P822" s="41"/>
      <c r="Q822" s="207" cm="1">
        <f t="array" ref="Q82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v>
      </c>
      <c r="R822" s="239" cm="1">
        <f t="array" ref="R82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0.44663000000000003</v>
      </c>
      <c r="S822" s="241" cm="1">
        <f t="array" ref="S82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v>
      </c>
      <c r="T822" s="241" cm="1">
        <f t="array" ref="T82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-6</v>
      </c>
      <c r="U822" s="41" t="str" cm="1">
        <f t="array" ref="U82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1.17402 and 0.44663</v>
      </c>
      <c r="V822" s="22"/>
    </row>
    <row r="823" spans="10:23" x14ac:dyDescent="0.15">
      <c r="J823" s="190" t="s">
        <v>279</v>
      </c>
      <c r="K823" s="191" t="s">
        <v>40</v>
      </c>
      <c r="L823" s="208">
        <v>43</v>
      </c>
      <c r="M823" s="237">
        <f>_xlfn.LET(
  _xlpm.analyte, SensorLab[[#This Row],[Analyte]],
  _xlpm.raw, N(SensorLab[[#This Row],[Raw_Value]]),
  _xlpm.scaleF, IFERROR(
    _xlfn.XLOOKUP(_xlpm.analyte, CalibrationCoefficients[Analyte], CalibrationCoefficients[ScaleFactor]),
    1
  ),
  IF(AND(_xlpm.analyte&lt;&gt;"", ISNUMBER(_xlpm.raw)), _xlpm.raw * _xlpm.scaleF, "NA")
)</f>
        <v>43</v>
      </c>
      <c r="N823" s="41"/>
      <c r="O823" s="41">
        <v>4.22</v>
      </c>
      <c r="P823" s="41"/>
      <c r="Q823" s="208" cm="1">
        <f t="array" ref="Q823">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4.22</v>
      </c>
      <c r="R823" s="237" cm="1">
        <f t="array" ref="R82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6.3899100000000004</v>
      </c>
      <c r="S823" s="238" cm="1">
        <f t="array" ref="S82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5.1998800000000003</v>
      </c>
      <c r="T823" s="238" cm="1">
        <f t="array" ref="T82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-0.97987999999999997</v>
      </c>
      <c r="U823" s="41" t="str" cm="1">
        <f t="array" ref="U82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6.29585 and 6.79468</v>
      </c>
      <c r="V823" s="22"/>
    </row>
    <row r="824" spans="10:23" x14ac:dyDescent="0.15">
      <c r="J824" s="190" t="s">
        <v>279</v>
      </c>
      <c r="K824" s="191" t="s">
        <v>41</v>
      </c>
      <c r="L824" s="208">
        <v>35</v>
      </c>
      <c r="M824" s="237">
        <f>_xlfn.LET(
  _xlpm.analyte, SensorLab[[#This Row],[Analyte]],
  _xlpm.raw, N(SensorLab[[#This Row],[Raw_Value]]),
  _xlpm.scaleF, IFERROR(
    _xlfn.XLOOKUP(_xlpm.analyte, CalibrationCoefficients[Analyte], CalibrationCoefficients[ScaleFactor]),
    1
  ),
  IF(AND(_xlpm.analyte&lt;&gt;"", ISNUMBER(_xlpm.raw)), _xlpm.raw * _xlpm.scaleF, "NA")
)</f>
        <v>35</v>
      </c>
      <c r="N824" s="41"/>
      <c r="O824" s="41">
        <v>141</v>
      </c>
      <c r="P824" s="41"/>
      <c r="Q824" s="208" cm="1">
        <f t="array" ref="Q82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141</v>
      </c>
      <c r="R824" s="237" cm="1">
        <f t="array" ref="R82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122.50063</v>
      </c>
      <c r="S824" s="238" cm="1">
        <f t="array" ref="S82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108.80065999999999</v>
      </c>
      <c r="T824" s="238" cm="1">
        <f t="array" ref="T82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32.199339999999999</v>
      </c>
      <c r="U824" s="41" t="str" cm="1">
        <f t="array" ref="U82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119.76326 and 122.74326</v>
      </c>
      <c r="V824" s="22"/>
    </row>
    <row r="825" spans="10:23" x14ac:dyDescent="0.15">
      <c r="J825" s="190" t="s">
        <v>279</v>
      </c>
      <c r="K825" s="127" t="s">
        <v>52</v>
      </c>
      <c r="L825" s="208">
        <v>179</v>
      </c>
      <c r="M825" s="237">
        <f>_xlfn.LET(
  _xlpm.analyte, SensorLab[[#This Row],[Analyte]],
  _xlpm.raw, N(SensorLab[[#This Row],[Raw_Value]]),
  _xlpm.scaleF, IFERROR(
    _xlfn.XLOOKUP(_xlpm.analyte, CalibrationCoefficients[Analyte], CalibrationCoefficients[ScaleFactor]),
    1
  ),
  IF(AND(_xlpm.analyte&lt;&gt;"", ISNUMBER(_xlpm.raw)), _xlpm.raw * _xlpm.scaleF, "NA")
)</f>
        <v>0.17899999999999999</v>
      </c>
      <c r="N825" s="41"/>
      <c r="O825" s="41">
        <v>1.25</v>
      </c>
      <c r="P825" s="41"/>
      <c r="Q825" s="208" cm="1">
        <f t="array" ref="Q825">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1.25</v>
      </c>
      <c r="R825" s="237" cm="1">
        <f t="array" ref="R82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1.0330299999999999</v>
      </c>
      <c r="S825" s="238" cm="1">
        <f t="array" ref="S82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1.0007999999999999</v>
      </c>
      <c r="T825" s="238" cm="1">
        <f t="array" ref="T82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0.2492</v>
      </c>
      <c r="U825" s="41" t="str" cm="1">
        <f t="array" ref="U82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1.01175 and 1.11175</v>
      </c>
      <c r="V825" s="22"/>
    </row>
    <row r="826" spans="10:23" x14ac:dyDescent="0.15">
      <c r="J826" s="190" t="s">
        <v>279</v>
      </c>
      <c r="K826" s="127" t="s">
        <v>34</v>
      </c>
      <c r="L826" s="208">
        <v>75</v>
      </c>
      <c r="M826" s="237">
        <f>_xlfn.LET(
  _xlpm.analyte, SensorLab[[#This Row],[Analyte]],
  _xlpm.raw, N(SensorLab[[#This Row],[Raw_Value]]),
  _xlpm.scaleF, IFERROR(
    _xlfn.XLOOKUP(_xlpm.analyte, CalibrationCoefficients[Analyte], CalibrationCoefficients[ScaleFactor]),
    1
  ),
  IF(AND(_xlpm.analyte&lt;&gt;"", ISNUMBER(_xlpm.raw)), _xlpm.raw * _xlpm.scaleF, "NA")
)</f>
        <v>7.5</v>
      </c>
      <c r="N826" s="41"/>
      <c r="O826" s="41">
        <v>7.78</v>
      </c>
      <c r="P826" s="41"/>
      <c r="Q826" s="208" cm="1">
        <f t="array" ref="Q82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7.78</v>
      </c>
      <c r="R826" s="237" cm="1">
        <f t="array" ref="R82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7.8809199999999997</v>
      </c>
      <c r="S826" s="238" cm="1">
        <f t="array" ref="S82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7.8480100000000004</v>
      </c>
      <c r="T826" s="238" cm="1">
        <f t="array" ref="T82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-6.8010000000000001E-2</v>
      </c>
      <c r="U826" s="41" t="str" cm="1">
        <f t="array" ref="U82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-0.06801)</v>
      </c>
      <c r="V826" s="22"/>
    </row>
    <row r="827" spans="10:23" x14ac:dyDescent="0.15">
      <c r="J827" s="190" t="s">
        <v>279</v>
      </c>
      <c r="K827" s="127" t="s">
        <v>90</v>
      </c>
      <c r="L827" s="208">
        <v>170</v>
      </c>
      <c r="M827" s="237">
        <f>_xlfn.LET(
  _xlpm.analyte, SensorLab[[#This Row],[Analyte]],
  _xlpm.raw, N(SensorLab[[#This Row],[Raw_Value]]),
  _xlpm.scaleF, IFERROR(
    _xlfn.XLOOKUP(_xlpm.analyte, CalibrationCoefficients[Analyte], CalibrationCoefficients[ScaleFactor]),
    1
  ),
  IF(AND(_xlpm.analyte&lt;&gt;"", ISNUMBER(_xlpm.raw)), _xlpm.raw * _xlpm.scaleF, "NA")
)</f>
        <v>17</v>
      </c>
      <c r="N827" s="41"/>
      <c r="O827" s="41">
        <v>17</v>
      </c>
      <c r="P827" s="41"/>
      <c r="Q827" s="208" cm="1">
        <f t="array" ref="Q827">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17</v>
      </c>
      <c r="R827" s="237" cm="1">
        <f t="array" ref="R82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17.048970000000001</v>
      </c>
      <c r="S827" s="238" cm="1">
        <f t="array" ref="S82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17.01239</v>
      </c>
      <c r="T827" s="238" cm="1">
        <f t="array" ref="T82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-6.9876100000000001</v>
      </c>
      <c r="U827" s="41" t="str" cm="1">
        <f t="array" ref="U82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-0.01239)</v>
      </c>
      <c r="V827" s="22"/>
      <c r="W827" s="5"/>
    </row>
    <row r="828" spans="10:23" x14ac:dyDescent="0.15">
      <c r="J828" s="190" t="s">
        <v>279</v>
      </c>
      <c r="K828" s="191" t="s">
        <v>43</v>
      </c>
      <c r="L828" s="208">
        <v>238</v>
      </c>
      <c r="M828" s="237">
        <f>_xlfn.LET(
  _xlpm.analyte, SensorLab[[#This Row],[Analyte]],
  _xlpm.raw, N(SensorLab[[#This Row],[Raw_Value]]),
  _xlpm.scaleF, IFERROR(
    _xlfn.XLOOKUP(_xlpm.analyte, CalibrationCoefficients[Analyte], CalibrationCoefficients[ScaleFactor]),
    1
  ),
  IF(AND(_xlpm.analyte&lt;&gt;"", ISNUMBER(_xlpm.raw)), _xlpm.raw * _xlpm.scaleF, "NA")
)</f>
        <v>23.8</v>
      </c>
      <c r="N828" s="41"/>
      <c r="O828" s="41">
        <v>23.8</v>
      </c>
      <c r="P828" s="41"/>
      <c r="Q828" s="208" cm="1">
        <f t="array" ref="Q82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23.8</v>
      </c>
      <c r="R828" s="237" cm="1">
        <f t="array" ref="R82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23.78687</v>
      </c>
      <c r="S828" s="238" cm="1">
        <f t="array" ref="S82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23.800280000000001</v>
      </c>
      <c r="T828" s="238" cm="1">
        <f t="array" ref="T82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-2.7999999999999998E-4</v>
      </c>
      <c r="U828" s="41" t="str" cm="1">
        <f t="array" ref="U82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23.80000 and 23.80000</v>
      </c>
      <c r="V828" s="22"/>
    </row>
    <row r="829" spans="10:23" x14ac:dyDescent="0.15">
      <c r="J829" s="190" t="s">
        <v>279</v>
      </c>
      <c r="K829" s="191" t="s">
        <v>45</v>
      </c>
      <c r="L829" s="208">
        <v>5.1719999999999999E-4</v>
      </c>
      <c r="M829" s="237">
        <f>_xlfn.LET(
  _xlpm.analyte, SensorLab[[#This Row],[Analyte]],
  _xlpm.raw, N(SensorLab[[#This Row],[Raw_Value]]),
  _xlpm.scaleF, IFERROR(
    _xlfn.XLOOKUP(_xlpm.analyte, CalibrationCoefficients[Analyte], CalibrationCoefficients[ScaleFactor]),
    1
  ),
  IF(AND(_xlpm.analyte&lt;&gt;"", ISNUMBER(_xlpm.raw)), _xlpm.raw * _xlpm.scaleF, "NA")
)</f>
        <v>5.1719999999999999E-4</v>
      </c>
      <c r="N829" s="41"/>
      <c r="O829" s="41">
        <v>0.26</v>
      </c>
      <c r="P829" s="41"/>
      <c r="Q829" s="208" cm="1">
        <f t="array" ref="Q829">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0.26</v>
      </c>
      <c r="R829" s="237" cm="1">
        <f t="array" ref="R82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0.60387999999999997</v>
      </c>
      <c r="S829" s="238" cm="1">
        <f t="array" ref="S82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0.59977999999999998</v>
      </c>
      <c r="T829" s="238" cm="1">
        <f t="array" ref="T82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-0.33978000000000003</v>
      </c>
      <c r="U829" s="41" t="str" cm="1">
        <f t="array" ref="U82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0.14576 and 0.37424</v>
      </c>
      <c r="V829" s="22"/>
    </row>
    <row r="830" spans="10:23" x14ac:dyDescent="0.15">
      <c r="J830" s="190" t="s">
        <v>279</v>
      </c>
      <c r="K830" s="127" t="s">
        <v>0</v>
      </c>
      <c r="L830" s="208">
        <v>50.16</v>
      </c>
      <c r="M830" s="237">
        <f>_xlfn.LET(
  _xlpm.analyte, SensorLab[[#This Row],[Analyte]],
  _xlpm.raw, N(SensorLab[[#This Row],[Raw_Value]]),
  _xlpm.scaleF, IFERROR(
    _xlfn.XLOOKUP(_xlpm.analyte, CalibrationCoefficients[Analyte], CalibrationCoefficients[ScaleFactor]),
    1
  ),
  IF(AND(_xlpm.analyte&lt;&gt;"", ISNUMBER(_xlpm.raw)), _xlpm.raw * _xlpm.scaleF, "NA")
)</f>
        <v>50.16</v>
      </c>
      <c r="N830" s="41"/>
      <c r="O830" s="41">
        <v>35</v>
      </c>
      <c r="P830" s="41"/>
      <c r="Q830" s="208" cm="1">
        <f t="array" ref="Q83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35</v>
      </c>
      <c r="R830" s="237" cm="1">
        <f t="array" ref="R83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35</v>
      </c>
      <c r="S830" s="238" cm="1">
        <f t="array" ref="S83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35</v>
      </c>
      <c r="T830" s="238" cm="1">
        <f t="array" ref="T83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830" s="41" t="str" cm="1">
        <f t="array" ref="U83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830" s="22"/>
    </row>
    <row r="831" spans="10:23" x14ac:dyDescent="0.15">
      <c r="J831" s="190" t="s">
        <v>279</v>
      </c>
      <c r="K831" s="127" t="s">
        <v>5</v>
      </c>
      <c r="L831" s="208">
        <v>34.409999999999997</v>
      </c>
      <c r="M831" s="237">
        <f>_xlfn.LET(
  _xlpm.analyte, SensorLab[[#This Row],[Analyte]],
  _xlpm.raw, N(SensorLab[[#This Row],[Raw_Value]]),
  _xlpm.scaleF, IFERROR(
    _xlfn.XLOOKUP(_xlpm.analyte, CalibrationCoefficients[Analyte], CalibrationCoefficients[ScaleFactor]),
    1
  ),
  IF(AND(_xlpm.analyte&lt;&gt;"", ISNUMBER(_xlpm.raw)), _xlpm.raw * _xlpm.scaleF, "NA")
)</f>
        <v>34.409999999999997</v>
      </c>
      <c r="N831" s="41"/>
      <c r="O831" s="41">
        <v>45</v>
      </c>
      <c r="P831" s="41"/>
      <c r="Q831" s="208" cm="1">
        <f t="array" ref="Q831">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45</v>
      </c>
      <c r="R831" s="237" cm="1">
        <f t="array" ref="R83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45</v>
      </c>
      <c r="S831" s="238" cm="1">
        <f t="array" ref="S83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45</v>
      </c>
      <c r="T831" s="238" cm="1">
        <f t="array" ref="T83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831" s="41" t="str" cm="1">
        <f t="array" ref="U83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831" s="22"/>
    </row>
    <row r="832" spans="10:23" x14ac:dyDescent="0.15">
      <c r="J832" s="190" t="s">
        <v>279</v>
      </c>
      <c r="K832" s="127" t="s">
        <v>6</v>
      </c>
      <c r="L832" s="208">
        <v>15.43</v>
      </c>
      <c r="M832" s="237">
        <f>_xlfn.LET(
  _xlpm.analyte, SensorLab[[#This Row],[Analyte]],
  _xlpm.raw, N(SensorLab[[#This Row],[Raw_Value]]),
  _xlpm.scaleF, IFERROR(
    _xlfn.XLOOKUP(_xlpm.analyte, CalibrationCoefficients[Analyte], CalibrationCoefficients[ScaleFactor]),
    1
  ),
  IF(AND(_xlpm.analyte&lt;&gt;"", ISNUMBER(_xlpm.raw)), _xlpm.raw * _xlpm.scaleF, "NA")
)</f>
        <v>15.43</v>
      </c>
      <c r="N832" s="41"/>
      <c r="O832" s="41">
        <v>20</v>
      </c>
      <c r="P832" s="41"/>
      <c r="Q832" s="208" cm="1">
        <f t="array" ref="Q83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20</v>
      </c>
      <c r="R832" s="237" cm="1">
        <f t="array" ref="R83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20</v>
      </c>
      <c r="S832" s="238" cm="1">
        <f t="array" ref="S83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20</v>
      </c>
      <c r="T832" s="238" cm="1">
        <f t="array" ref="T83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832" s="41" t="str" cm="1">
        <f t="array" ref="U83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832" s="22"/>
    </row>
    <row r="833" spans="10:22" ht="11.25" thickBot="1" x14ac:dyDescent="0.2">
      <c r="J833" s="192" t="s">
        <v>279</v>
      </c>
      <c r="K833" s="193" t="s">
        <v>69</v>
      </c>
      <c r="L833" s="255" t="str" cm="1">
        <f t="array" ref="L833">_xlfn.LET(
  _xlpm.bs,L830, _xlpm.si,L831, _xlpm.c,L832,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M833" s="256" t="str" cm="1">
        <f t="array" ref="M833">_xlfn.LET(
  _xlpm.bs,M830, _xlpm.si,M831, _xlpm.c,M832,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N833" s="245" t="str" cm="1">
        <f t="array" ref="N833">_xlfn.LET(
  _xlpm.bs,N830, _xlpm.si,N831, _xlpm.c,N832,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833" s="245" t="str" cm="1">
        <f t="array" ref="O833">_xlfn.LET(
  _xlpm.bs,O830, _xlpm.si,O831, _xlpm.c,O832,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P833" s="245" t="str" cm="1">
        <f t="array" ref="P833">_xlfn.LET(
  _xlpm.bs,P830, _xlpm.si,P831, _xlpm.c,P832,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833" s="255" t="str" cm="1">
        <f t="array" ref="Q833">_xlfn.LET(
  _xlpm.bs,Q830, _xlpm.si,Q831, _xlpm.c,Q832,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R833" s="256" t="str" cm="1">
        <f t="array" ref="R833">_xlfn.LET(
  _xlpm.bs,R830, _xlpm.si,R831, _xlpm.c,R832,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S833" s="256" t="str" cm="1">
        <f t="array" ref="S833">_xlfn.LET(
  _xlpm.bs,S830, _xlpm.si,S831, _xlpm.c,S832,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T833" s="240" cm="1">
        <f t="array" ref="T83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833" s="229" t="str" cm="1">
        <f t="array" ref="U83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(Texture match: Loam)</v>
      </c>
      <c r="V833" s="22"/>
    </row>
    <row r="834" spans="10:22" x14ac:dyDescent="0.15">
      <c r="J834" s="190" t="s">
        <v>280</v>
      </c>
      <c r="K834" s="127" t="s">
        <v>39</v>
      </c>
      <c r="L834" s="208">
        <v>0</v>
      </c>
      <c r="M834"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834" s="41"/>
      <c r="O834" s="41">
        <v>2</v>
      </c>
      <c r="P834" s="41"/>
      <c r="Q834" s="207" cm="1">
        <f t="array" ref="Q83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v>
      </c>
      <c r="R834" s="239" cm="1">
        <f t="array" ref="R83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0.44663000000000003</v>
      </c>
      <c r="S834" s="241" cm="1">
        <f t="array" ref="S83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v>
      </c>
      <c r="T834" s="241" cm="1">
        <f t="array" ref="T83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-4</v>
      </c>
      <c r="U834" s="41" t="str" cm="1">
        <f t="array" ref="U83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1.17402 and 0.44663</v>
      </c>
      <c r="V834" s="22"/>
    </row>
    <row r="835" spans="10:22" x14ac:dyDescent="0.15">
      <c r="J835" s="190" t="s">
        <v>280</v>
      </c>
      <c r="K835" s="191" t="s">
        <v>40</v>
      </c>
      <c r="L835" s="208">
        <v>16</v>
      </c>
      <c r="M835" s="237">
        <f>_xlfn.LET(
  _xlpm.analyte, SensorLab[[#This Row],[Analyte]],
  _xlpm.raw, N(SensorLab[[#This Row],[Raw_Value]]),
  _xlpm.scaleF, IFERROR(
    _xlfn.XLOOKUP(_xlpm.analyte, CalibrationCoefficients[Analyte], CalibrationCoefficients[ScaleFactor]),
    1
  ),
  IF(AND(_xlpm.analyte&lt;&gt;"", ISNUMBER(_xlpm.raw)), _xlpm.raw * _xlpm.scaleF, "NA")
)</f>
        <v>16</v>
      </c>
      <c r="N835" s="41"/>
      <c r="O835" s="41">
        <v>6.18</v>
      </c>
      <c r="P835" s="41"/>
      <c r="Q835" s="208" cm="1">
        <f t="array" ref="Q835">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6.18</v>
      </c>
      <c r="R835" s="237" cm="1">
        <f t="array" ref="R83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5.7143699999999997</v>
      </c>
      <c r="S835" s="238" cm="1">
        <f t="array" ref="S83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4.5243399999999996</v>
      </c>
      <c r="T835" s="238" cm="1">
        <f t="array" ref="T83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1.6556599999999999</v>
      </c>
      <c r="U835" s="41" t="str" cm="1">
        <f t="array" ref="U83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5.92758 and 7.04758</v>
      </c>
      <c r="V835" s="22"/>
    </row>
    <row r="836" spans="10:22" x14ac:dyDescent="0.15">
      <c r="J836" s="190" t="s">
        <v>280</v>
      </c>
      <c r="K836" s="191" t="s">
        <v>41</v>
      </c>
      <c r="L836" s="208">
        <v>8</v>
      </c>
      <c r="M836" s="237">
        <f>_xlfn.LET(
  _xlpm.analyte, SensorLab[[#This Row],[Analyte]],
  _xlpm.raw, N(SensorLab[[#This Row],[Raw_Value]]),
  _xlpm.scaleF, IFERROR(
    _xlfn.XLOOKUP(_xlpm.analyte, CalibrationCoefficients[Analyte], CalibrationCoefficients[ScaleFactor]),
    1
  ),
  IF(AND(_xlpm.analyte&lt;&gt;"", ISNUMBER(_xlpm.raw)), _xlpm.raw * _xlpm.scaleF, "NA")
)</f>
        <v>8</v>
      </c>
      <c r="N836" s="41"/>
      <c r="O836" s="41">
        <v>84</v>
      </c>
      <c r="P836" s="41"/>
      <c r="Q836" s="208" cm="1">
        <f t="array" ref="Q836">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84</v>
      </c>
      <c r="R836" s="237" cm="1">
        <f t="array" ref="R83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114.01746</v>
      </c>
      <c r="S836" s="238" cm="1">
        <f t="array" ref="S83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100.31749000000001</v>
      </c>
      <c r="T836" s="238" cm="1">
        <f t="array" ref="T83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-16.317489999999999</v>
      </c>
      <c r="U836" s="41" t="str" cm="1">
        <f t="array" ref="U83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110.46545 and 112.05195</v>
      </c>
      <c r="V836" s="22"/>
    </row>
    <row r="837" spans="10:22" x14ac:dyDescent="0.15">
      <c r="J837" s="190" t="s">
        <v>280</v>
      </c>
      <c r="K837" s="127" t="s">
        <v>52</v>
      </c>
      <c r="L837" s="208">
        <v>122</v>
      </c>
      <c r="M837" s="237">
        <f>_xlfn.LET(
  _xlpm.analyte, SensorLab[[#This Row],[Analyte]],
  _xlpm.raw, N(SensorLab[[#This Row],[Raw_Value]]),
  _xlpm.scaleF, IFERROR(
    _xlfn.XLOOKUP(_xlpm.analyte, CalibrationCoefficients[Analyte], CalibrationCoefficients[ScaleFactor]),
    1
  ),
  IF(AND(_xlpm.analyte&lt;&gt;"", ISNUMBER(_xlpm.raw)), _xlpm.raw * _xlpm.scaleF, "NA")
)</f>
        <v>0.122</v>
      </c>
      <c r="N837" s="41"/>
      <c r="O837" s="41">
        <v>1.23</v>
      </c>
      <c r="P837" s="41"/>
      <c r="Q837" s="208" cm="1">
        <f t="array" ref="Q837">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1.23</v>
      </c>
      <c r="R837" s="237" cm="1">
        <f t="array" ref="R83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0.99568000000000001</v>
      </c>
      <c r="S837" s="238" cm="1">
        <f t="array" ref="S83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0.96345000000000003</v>
      </c>
      <c r="T837" s="238" cm="1">
        <f t="array" ref="T83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0.26655000000000001</v>
      </c>
      <c r="U837" s="41" t="str" cm="1">
        <f t="array" ref="U83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0.99943 and 1.09943</v>
      </c>
      <c r="V837" s="22"/>
    </row>
    <row r="838" spans="10:22" x14ac:dyDescent="0.15">
      <c r="J838" s="190" t="s">
        <v>280</v>
      </c>
      <c r="K838" s="127" t="s">
        <v>34</v>
      </c>
      <c r="L838" s="208">
        <v>73</v>
      </c>
      <c r="M838" s="237">
        <f>_xlfn.LET(
  _xlpm.analyte, SensorLab[[#This Row],[Analyte]],
  _xlpm.raw, N(SensorLab[[#This Row],[Raw_Value]]),
  _xlpm.scaleF, IFERROR(
    _xlfn.XLOOKUP(_xlpm.analyte, CalibrationCoefficients[Analyte], CalibrationCoefficients[ScaleFactor]),
    1
  ),
  IF(AND(_xlpm.analyte&lt;&gt;"", ISNUMBER(_xlpm.raw)), _xlpm.raw * _xlpm.scaleF, "NA")
)</f>
        <v>7.3000000000000007</v>
      </c>
      <c r="N838" s="41"/>
      <c r="O838" s="41">
        <v>7.93</v>
      </c>
      <c r="P838" s="41"/>
      <c r="Q838" s="208" cm="1">
        <f t="array" ref="Q838">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7.93</v>
      </c>
      <c r="R838" s="237" cm="1">
        <f t="array" ref="R83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7.8900600000000001</v>
      </c>
      <c r="S838" s="238" cm="1">
        <f t="array" ref="S83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7.8571499999999999</v>
      </c>
      <c r="T838" s="238" cm="1">
        <f t="array" ref="T83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7.2849999999999998E-2</v>
      </c>
      <c r="U838" s="41" t="str" cm="1">
        <f t="array" ref="U83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0.07285)</v>
      </c>
      <c r="V838" s="22"/>
    </row>
    <row r="839" spans="10:22" x14ac:dyDescent="0.15">
      <c r="J839" s="190" t="s">
        <v>280</v>
      </c>
      <c r="K839" s="127" t="s">
        <v>90</v>
      </c>
      <c r="L839" s="208">
        <v>153</v>
      </c>
      <c r="M839" s="237">
        <f>_xlfn.LET(
  _xlpm.analyte, SensorLab[[#This Row],[Analyte]],
  _xlpm.raw, N(SensorLab[[#This Row],[Raw_Value]]),
  _xlpm.scaleF, IFERROR(
    _xlfn.XLOOKUP(_xlpm.analyte, CalibrationCoefficients[Analyte], CalibrationCoefficients[ScaleFactor]),
    1
  ),
  IF(AND(_xlpm.analyte&lt;&gt;"", ISNUMBER(_xlpm.raw)), _xlpm.raw * _xlpm.scaleF, "NA")
)</f>
        <v>15.3</v>
      </c>
      <c r="N839" s="41"/>
      <c r="O839" s="41">
        <v>15.3</v>
      </c>
      <c r="P839" s="41"/>
      <c r="Q839" s="208" cm="1">
        <f t="array" ref="Q839">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15.3</v>
      </c>
      <c r="R839" s="237" cm="1">
        <f t="array" ref="R83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15.31386</v>
      </c>
      <c r="S839" s="238" cm="1">
        <f t="array" ref="S83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15.277279999999999</v>
      </c>
      <c r="T839" s="238" cm="1">
        <f t="array" ref="T83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-8.7227200000000007</v>
      </c>
      <c r="U839" s="41" t="str" cm="1">
        <f t="array" ref="U83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0.02272)</v>
      </c>
      <c r="V839" s="22"/>
    </row>
    <row r="840" spans="10:22" x14ac:dyDescent="0.15">
      <c r="J840" s="190" t="s">
        <v>280</v>
      </c>
      <c r="K840" s="191" t="s">
        <v>43</v>
      </c>
      <c r="L840" s="208">
        <v>254</v>
      </c>
      <c r="M840" s="237">
        <f>_xlfn.LET(
  _xlpm.analyte, SensorLab[[#This Row],[Analyte]],
  _xlpm.raw, N(SensorLab[[#This Row],[Raw_Value]]),
  _xlpm.scaleF, IFERROR(
    _xlfn.XLOOKUP(_xlpm.analyte, CalibrationCoefficients[Analyte], CalibrationCoefficients[ScaleFactor]),
    1
  ),
  IF(AND(_xlpm.analyte&lt;&gt;"", ISNUMBER(_xlpm.raw)), _xlpm.raw * _xlpm.scaleF, "NA")
)</f>
        <v>25.400000000000002</v>
      </c>
      <c r="N840" s="41"/>
      <c r="O840" s="41">
        <v>25.4</v>
      </c>
      <c r="P840" s="41"/>
      <c r="Q840" s="208" cm="1">
        <f t="array" ref="Q840">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25.4</v>
      </c>
      <c r="R840" s="237" cm="1">
        <f t="array" ref="R84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25.387270000000001</v>
      </c>
      <c r="S840" s="238" cm="1">
        <f t="array" ref="S84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25.400680000000001</v>
      </c>
      <c r="T840" s="238" cm="1">
        <f t="array" ref="T84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0.40068000000000126</v>
      </c>
      <c r="U840" s="41" t="str" cm="1">
        <f t="array" ref="U84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25.40000 and 25.40000</v>
      </c>
      <c r="V840" s="22"/>
    </row>
    <row r="841" spans="10:22" x14ac:dyDescent="0.15">
      <c r="J841" s="190" t="s">
        <v>280</v>
      </c>
      <c r="K841" s="191" t="s">
        <v>45</v>
      </c>
      <c r="L841" s="208">
        <v>5.1719999999999999E-4</v>
      </c>
      <c r="M841" s="237">
        <f>_xlfn.LET(
  _xlpm.analyte, SensorLab[[#This Row],[Analyte]],
  _xlpm.raw, N(SensorLab[[#This Row],[Raw_Value]]),
  _xlpm.scaleF, IFERROR(
    _xlfn.XLOOKUP(_xlpm.analyte, CalibrationCoefficients[Analyte], CalibrationCoefficients[ScaleFactor]),
    1
  ),
  IF(AND(_xlpm.analyte&lt;&gt;"", ISNUMBER(_xlpm.raw)), _xlpm.raw * _xlpm.scaleF, "NA")
)</f>
        <v>5.1719999999999999E-4</v>
      </c>
      <c r="N841" s="41"/>
      <c r="O841" s="41">
        <v>0.43</v>
      </c>
      <c r="P841" s="41"/>
      <c r="Q841" s="208" cm="1">
        <f t="array" ref="Q841">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0.43</v>
      </c>
      <c r="R841" s="237" cm="1">
        <f t="array" ref="R84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0.60387999999999997</v>
      </c>
      <c r="S841" s="238" cm="1">
        <f t="array" ref="S84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0.59977999999999998</v>
      </c>
      <c r="T841" s="238" cm="1">
        <f t="array" ref="T84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-0.16977999999999999</v>
      </c>
      <c r="U841" s="41" t="str" cm="1">
        <f t="array" ref="U84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-0.16978)</v>
      </c>
      <c r="V841" s="22"/>
    </row>
    <row r="842" spans="10:22" x14ac:dyDescent="0.15">
      <c r="J842" s="190" t="s">
        <v>280</v>
      </c>
      <c r="K842" s="127" t="s">
        <v>0</v>
      </c>
      <c r="L842" s="208">
        <v>35.020000000000003</v>
      </c>
      <c r="M842" s="237">
        <f>_xlfn.LET(
  _xlpm.analyte, SensorLab[[#This Row],[Analyte]],
  _xlpm.raw, N(SensorLab[[#This Row],[Raw_Value]]),
  _xlpm.scaleF, IFERROR(
    _xlfn.XLOOKUP(_xlpm.analyte, CalibrationCoefficients[Analyte], CalibrationCoefficients[ScaleFactor]),
    1
  ),
  IF(AND(_xlpm.analyte&lt;&gt;"", ISNUMBER(_xlpm.raw)), _xlpm.raw * _xlpm.scaleF, "NA")
)</f>
        <v>35.020000000000003</v>
      </c>
      <c r="N842" s="41"/>
      <c r="O842" s="41">
        <v>60</v>
      </c>
      <c r="P842" s="41"/>
      <c r="Q842" s="208" cm="1">
        <f t="array" ref="Q842">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60</v>
      </c>
      <c r="R842" s="237" cm="1">
        <f t="array" ref="R84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60</v>
      </c>
      <c r="S842" s="238" cm="1">
        <f t="array" ref="S84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60</v>
      </c>
      <c r="T842" s="238" cm="1">
        <f t="array" ref="T84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842" s="41" t="str" cm="1">
        <f t="array" ref="U84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60.00000 and 56.95366</v>
      </c>
      <c r="V842" s="22"/>
    </row>
    <row r="843" spans="10:22" x14ac:dyDescent="0.15">
      <c r="J843" s="190" t="s">
        <v>280</v>
      </c>
      <c r="K843" s="127" t="s">
        <v>5</v>
      </c>
      <c r="L843" s="208">
        <v>47.49</v>
      </c>
      <c r="M843" s="237">
        <f>_xlfn.LET(
  _xlpm.analyte, SensorLab[[#This Row],[Analyte]],
  _xlpm.raw, N(SensorLab[[#This Row],[Raw_Value]]),
  _xlpm.scaleF, IFERROR(
    _xlfn.XLOOKUP(_xlpm.analyte, CalibrationCoefficients[Analyte], CalibrationCoefficients[ScaleFactor]),
    1
  ),
  IF(AND(_xlpm.analyte&lt;&gt;"", ISNUMBER(_xlpm.raw)), _xlpm.raw * _xlpm.scaleF, "NA")
)</f>
        <v>47.49</v>
      </c>
      <c r="N843" s="41"/>
      <c r="O843" s="41">
        <v>30</v>
      </c>
      <c r="P843" s="41"/>
      <c r="Q843" s="208" cm="1">
        <f t="array" ref="Q843">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30</v>
      </c>
      <c r="R843" s="237" cm="1">
        <f t="array" ref="R84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30</v>
      </c>
      <c r="S843" s="238" cm="1">
        <f t="array" ref="S84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30</v>
      </c>
      <c r="T843" s="238" cm="1">
        <f t="array" ref="T84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843" s="41" t="str" cm="1">
        <f t="array" ref="U84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(Residual: 0.00000)</v>
      </c>
      <c r="V843" s="22"/>
    </row>
    <row r="844" spans="10:22" x14ac:dyDescent="0.15">
      <c r="J844" s="190" t="s">
        <v>280</v>
      </c>
      <c r="K844" s="127" t="s">
        <v>6</v>
      </c>
      <c r="L844" s="208">
        <v>17.489999999999998</v>
      </c>
      <c r="M844" s="237">
        <f>_xlfn.LET(
  _xlpm.analyte, SensorLab[[#This Row],[Analyte]],
  _xlpm.raw, N(SensorLab[[#This Row],[Raw_Value]]),
  _xlpm.scaleF, IFERROR(
    _xlfn.XLOOKUP(_xlpm.analyte, CalibrationCoefficients[Analyte], CalibrationCoefficients[ScaleFactor]),
    1
  ),
  IF(AND(_xlpm.analyte&lt;&gt;"", ISNUMBER(_xlpm.raw)), _xlpm.raw * _xlpm.scaleF, "NA")
)</f>
        <v>17.489999999999998</v>
      </c>
      <c r="N844" s="41"/>
      <c r="O844" s="41">
        <v>10</v>
      </c>
      <c r="P844" s="41"/>
      <c r="Q844" s="208" cm="1">
        <f t="array" ref="Q844">_xlfn.LET(
  _xlpm.tRaw, SensorLab[[#This Row],[Tarnab_Lab]],
  _xlpm.bRaw, SensorLab[[#This Row],[Bari_Lab]],
  _xlpm.mRaw, SensorLab[[#This Row],[ManuChar_Lab]],
  _xlpm.vals, _xlfn._xlws.FILTER(_xlfn.HSTACK(_xlpm.tRaw, _xlpm.bRaw, _xlpm.mRaw), ISNUMBER(_xlfn.HSTACK(_xlpm.tRaw, _xlpm.bRaw, _xlpm.mRaw))),
  _xlpm.c, ROWS(_xlpm.vals),
  _xlpm.result,
    IF(_xlpm.c=0, "",
    IF(_xlpm.c=1, INDEX(_xlpm.vals,1),
    IF(_xlpm.c=2, AVERAGE(_xlpm.vals),
           MEDIAN(_xlpm.vals)
    ))),
  _xlpm.result
)</f>
        <v>10</v>
      </c>
      <c r="R844" s="237" cm="1">
        <f t="array" ref="R84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10</v>
      </c>
      <c r="S844" s="238" cm="1">
        <f t="array" ref="S84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10</v>
      </c>
      <c r="T844" s="238" cm="1">
        <f t="array" ref="T84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844" s="41" t="str" cm="1">
        <f t="array" ref="U84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11.54752 and 10.00000</v>
      </c>
      <c r="V844" s="22"/>
    </row>
    <row r="845" spans="10:22" ht="11.25" thickBot="1" x14ac:dyDescent="0.2">
      <c r="J845" s="192" t="s">
        <v>280</v>
      </c>
      <c r="K845" s="193" t="s">
        <v>69</v>
      </c>
      <c r="L845" s="255" t="str" cm="1">
        <f t="array" ref="L845">_xlfn.LET(
  _xlpm.bs,L842, _xlpm.si,L843, _xlpm.c,L844,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M845" s="256" t="str" cm="1">
        <f t="array" ref="M845">_xlfn.LET(
  _xlpm.bs,M842, _xlpm.si,M843, _xlpm.c,M844,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N845" s="245" t="str" cm="1">
        <f t="array" ref="N845">_xlfn.LET(
  _xlpm.bs,N842, _xlpm.si,N843, _xlpm.c,N844,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845" s="245" t="str" cm="1">
        <f t="array" ref="O845">_xlfn.LET(
  _xlpm.bs,O842, _xlpm.si,O843, _xlpm.c,O844,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P845" s="245" t="str" cm="1">
        <f t="array" ref="P845">_xlfn.LET(
  _xlpm.bs,P842, _xlpm.si,P843, _xlpm.c,P844,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845" s="255" t="str" cm="1">
        <f t="array" ref="Q845">_xlfn.LET(
  _xlpm.bs,Q842, _xlpm.si,Q843, _xlpm.c,Q844,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R845" s="256" t="str" cm="1">
        <f t="array" ref="R845">_xlfn.LET(
  _xlpm.bs,R842, _xlpm.si,R843, _xlpm.c,R844,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S845" s="256" t="str" cm="1">
        <f t="array" ref="S845">_xlfn.LET(
  _xlpm.bs,S842, _xlpm.si,S843, _xlpm.c,S844,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T845" s="240" cm="1">
        <f t="array" ref="T84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v>
      </c>
      <c r="U845" s="229" t="str" cm="1">
        <f t="array" ref="U84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OK (Texture match: Sandy Loam)</v>
      </c>
      <c r="V845" s="22"/>
    </row>
    <row r="846" spans="10:22" x14ac:dyDescent="0.15">
      <c r="J846" s="190" t="s">
        <v>281</v>
      </c>
      <c r="K846" s="127" t="s">
        <v>39</v>
      </c>
      <c r="L846" s="208">
        <v>0</v>
      </c>
      <c r="M846"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846" s="41"/>
      <c r="O846" s="41"/>
      <c r="P846" s="41"/>
      <c r="Q846" s="208"/>
      <c r="R846" s="239" cm="1">
        <f t="array" ref="R84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0.44663000000000003</v>
      </c>
      <c r="S846" s="241" cm="1">
        <f t="array" ref="S84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v>
      </c>
      <c r="T846" s="241" cm="1">
        <f t="array" ref="T84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-6</v>
      </c>
      <c r="U846" s="41" t="str" cm="1">
        <f t="array" ref="U84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0.44663 and 0.00000</v>
      </c>
      <c r="V846" s="22"/>
    </row>
    <row r="847" spans="10:22" x14ac:dyDescent="0.15">
      <c r="J847" s="190" t="s">
        <v>281</v>
      </c>
      <c r="K847" s="191" t="s">
        <v>40</v>
      </c>
      <c r="L847" s="208">
        <v>0</v>
      </c>
      <c r="M847"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847" s="41"/>
      <c r="O847" s="41"/>
      <c r="P847" s="41"/>
      <c r="Q847" s="208"/>
      <c r="R847" s="237" cm="1">
        <f t="array" ref="R847">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5.3140400000000003</v>
      </c>
      <c r="S847" s="238" cm="1">
        <f t="array" ref="S847">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4.1240100000000002</v>
      </c>
      <c r="T847" s="238" cm="1">
        <f t="array" ref="T84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-0.87598999999999982</v>
      </c>
      <c r="U847" s="41" t="str" cm="1">
        <f t="array" ref="U84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5.70934 and 0.00000</v>
      </c>
      <c r="V847" s="22"/>
    </row>
    <row r="848" spans="10:22" x14ac:dyDescent="0.15">
      <c r="J848" s="190" t="s">
        <v>281</v>
      </c>
      <c r="K848" s="191" t="s">
        <v>41</v>
      </c>
      <c r="L848" s="208">
        <v>0</v>
      </c>
      <c r="M848" s="237">
        <f>_xlfn.LET(
  _xlpm.analyte, SensorLab[[#This Row],[Analyte]],
  _xlpm.raw, N(SensorLab[[#This Row],[Raw_Value]]),
  _xlpm.scaleF, IFERROR(
    _xlfn.XLOOKUP(_xlpm.analyte, CalibrationCoefficients[Analyte], CalibrationCoefficients[ScaleFactor]),
    1
  ),
  IF(AND(_xlpm.analyte&lt;&gt;"", ISNUMBER(_xlpm.raw)), _xlpm.raw * _xlpm.scaleF, "NA")
)</f>
        <v>0</v>
      </c>
      <c r="N848" s="41"/>
      <c r="O848" s="41"/>
      <c r="P848" s="41"/>
      <c r="Q848" s="208"/>
      <c r="R848" s="237" cm="1">
        <f t="array" ref="R848">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111.50391999999999</v>
      </c>
      <c r="S848" s="238" cm="1">
        <f t="array" ref="S848">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97.80395</v>
      </c>
      <c r="T848" s="238" cm="1">
        <f t="array" ref="T848">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-97.80395</v>
      </c>
      <c r="U848" s="41" t="str" cm="1">
        <f t="array" ref="U848">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107.71054 and 0.00000</v>
      </c>
      <c r="V848" s="22"/>
    </row>
    <row r="849" spans="10:22" x14ac:dyDescent="0.15">
      <c r="J849" s="190" t="s">
        <v>281</v>
      </c>
      <c r="K849" s="127" t="s">
        <v>52</v>
      </c>
      <c r="L849" s="208">
        <v>65</v>
      </c>
      <c r="M849" s="237">
        <f>_xlfn.LET(
  _xlpm.analyte, SensorLab[[#This Row],[Analyte]],
  _xlpm.raw, N(SensorLab[[#This Row],[Raw_Value]]),
  _xlpm.scaleF, IFERROR(
    _xlfn.XLOOKUP(_xlpm.analyte, CalibrationCoefficients[Analyte], CalibrationCoefficients[ScaleFactor]),
    1
  ),
  IF(AND(_xlpm.analyte&lt;&gt;"", ISNUMBER(_xlpm.raw)), _xlpm.raw * _xlpm.scaleF, "NA")
)</f>
        <v>6.5000000000000002E-2</v>
      </c>
      <c r="N849" s="41"/>
      <c r="O849" s="41"/>
      <c r="P849" s="41"/>
      <c r="Q849" s="208"/>
      <c r="R849" s="237" cm="1">
        <f t="array" ref="R849">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0.95831999999999995</v>
      </c>
      <c r="S849" s="238" cm="1">
        <f t="array" ref="S849">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0.92608999999999997</v>
      </c>
      <c r="T849" s="238" cm="1">
        <f t="array" ref="T849">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-0.92608999999999997</v>
      </c>
      <c r="U849" s="41" t="str" cm="1">
        <f t="array" ref="U849">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0.98712 and 0.00000</v>
      </c>
      <c r="V849" s="22"/>
    </row>
    <row r="850" spans="10:22" x14ac:dyDescent="0.15">
      <c r="J850" s="190" t="s">
        <v>281</v>
      </c>
      <c r="K850" s="127" t="s">
        <v>34</v>
      </c>
      <c r="L850" s="208">
        <v>74</v>
      </c>
      <c r="M850" s="237">
        <f>_xlfn.LET(
  _xlpm.analyte, SensorLab[[#This Row],[Analyte]],
  _xlpm.raw, N(SensorLab[[#This Row],[Raw_Value]]),
  _xlpm.scaleF, IFERROR(
    _xlfn.XLOOKUP(_xlpm.analyte, CalibrationCoefficients[Analyte], CalibrationCoefficients[ScaleFactor]),
    1
  ),
  IF(AND(_xlpm.analyte&lt;&gt;"", ISNUMBER(_xlpm.raw)), _xlpm.raw * _xlpm.scaleF, "NA")
)</f>
        <v>7.4</v>
      </c>
      <c r="N850" s="41"/>
      <c r="O850" s="41"/>
      <c r="P850" s="41"/>
      <c r="Q850" s="208"/>
      <c r="R850" s="237" cm="1">
        <f t="array" ref="R850">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7.8854899999999999</v>
      </c>
      <c r="S850" s="238" cm="1">
        <f t="array" ref="S850">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7.8525799999999997</v>
      </c>
      <c r="T850" s="238" cm="1">
        <f t="array" ref="T850">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-7.8525799999999997</v>
      </c>
      <c r="U850" s="41" t="str" cm="1">
        <f t="array" ref="U850">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7.79787 and 0.00000</v>
      </c>
      <c r="V850" s="22"/>
    </row>
    <row r="851" spans="10:22" x14ac:dyDescent="0.15">
      <c r="J851" s="190" t="s">
        <v>281</v>
      </c>
      <c r="K851" s="127" t="s">
        <v>90</v>
      </c>
      <c r="L851" s="208">
        <v>161</v>
      </c>
      <c r="M851" s="237">
        <f>_xlfn.LET(
  _xlpm.analyte, SensorLab[[#This Row],[Analyte]],
  _xlpm.raw, N(SensorLab[[#This Row],[Raw_Value]]),
  _xlpm.scaleF, IFERROR(
    _xlfn.XLOOKUP(_xlpm.analyte, CalibrationCoefficients[Analyte], CalibrationCoefficients[ScaleFactor]),
    1
  ),
  IF(AND(_xlpm.analyte&lt;&gt;"", ISNUMBER(_xlpm.raw)), _xlpm.raw * _xlpm.scaleF, "NA")
)</f>
        <v>16.100000000000001</v>
      </c>
      <c r="N851" s="41"/>
      <c r="O851" s="41"/>
      <c r="P851" s="41"/>
      <c r="Q851" s="208"/>
      <c r="R851" s="237" cm="1">
        <f t="array" ref="R851">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16.130379999999999</v>
      </c>
      <c r="S851" s="238" cm="1">
        <f t="array" ref="S851">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16.093800000000002</v>
      </c>
      <c r="T851" s="238" cm="1">
        <f t="array" ref="T851">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-7.9061999999999983</v>
      </c>
      <c r="U851" s="41" t="str" cm="1">
        <f t="array" ref="U851">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16.03000 and 0.00000</v>
      </c>
      <c r="V851" s="22"/>
    </row>
    <row r="852" spans="10:22" x14ac:dyDescent="0.15">
      <c r="J852" s="190" t="s">
        <v>281</v>
      </c>
      <c r="K852" s="191" t="s">
        <v>43</v>
      </c>
      <c r="L852" s="208">
        <v>217</v>
      </c>
      <c r="M852" s="237">
        <f>_xlfn.LET(
  _xlpm.analyte, SensorLab[[#This Row],[Analyte]],
  _xlpm.raw, N(SensorLab[[#This Row],[Raw_Value]]),
  _xlpm.scaleF, IFERROR(
    _xlfn.XLOOKUP(_xlpm.analyte, CalibrationCoefficients[Analyte], CalibrationCoefficients[ScaleFactor]),
    1
  ),
  IF(AND(_xlpm.analyte&lt;&gt;"", ISNUMBER(_xlpm.raw)), _xlpm.raw * _xlpm.scaleF, "NA")
)</f>
        <v>21.700000000000003</v>
      </c>
      <c r="N852" s="41"/>
      <c r="O852" s="41"/>
      <c r="P852" s="41"/>
      <c r="Q852" s="208"/>
      <c r="R852" s="237" cm="1">
        <f t="array" ref="R852">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21.686340000000001</v>
      </c>
      <c r="S852" s="238" cm="1">
        <f t="array" ref="S852">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21.699750000000002</v>
      </c>
      <c r="T852" s="238" cm="1">
        <f t="array" ref="T852">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-21.699750000000002</v>
      </c>
      <c r="U852" s="41" t="str" cm="1">
        <f t="array" ref="U852">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21.70000 and 0.00000</v>
      </c>
      <c r="V852" s="22"/>
    </row>
    <row r="853" spans="10:22" x14ac:dyDescent="0.15">
      <c r="J853" s="190" t="s">
        <v>281</v>
      </c>
      <c r="K853" s="191" t="s">
        <v>45</v>
      </c>
      <c r="L853" s="208">
        <v>5.1719999999999999E-4</v>
      </c>
      <c r="M853" s="237">
        <f>_xlfn.LET(
  _xlpm.analyte, SensorLab[[#This Row],[Analyte]],
  _xlpm.raw, N(SensorLab[[#This Row],[Raw_Value]]),
  _xlpm.scaleF, IFERROR(
    _xlfn.XLOOKUP(_xlpm.analyte, CalibrationCoefficients[Analyte], CalibrationCoefficients[ScaleFactor]),
    1
  ),
  IF(AND(_xlpm.analyte&lt;&gt;"", ISNUMBER(_xlpm.raw)), _xlpm.raw * _xlpm.scaleF, "NA")
)</f>
        <v>5.1719999999999999E-4</v>
      </c>
      <c r="N853" s="41"/>
      <c r="O853" s="41"/>
      <c r="P853" s="41"/>
      <c r="Q853" s="208"/>
      <c r="R853" s="237" cm="1">
        <f t="array" ref="R853">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0.60387999999999997</v>
      </c>
      <c r="S853" s="238" cm="1">
        <f t="array" ref="S853">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0.59977999999999998</v>
      </c>
      <c r="T853" s="238" cm="1">
        <f t="array" ref="T853">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-0.59977999999999998</v>
      </c>
      <c r="U853" s="41" t="str" cm="1">
        <f t="array" ref="U853">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0.00000 and 0.00000</v>
      </c>
      <c r="V853" s="22"/>
    </row>
    <row r="854" spans="10:22" x14ac:dyDescent="0.15">
      <c r="J854" s="190" t="s">
        <v>281</v>
      </c>
      <c r="K854" s="127" t="s">
        <v>0</v>
      </c>
      <c r="L854" s="208">
        <v>50.19</v>
      </c>
      <c r="M854" s="237">
        <f>_xlfn.LET(
  _xlpm.analyte, SensorLab[[#This Row],[Analyte]],
  _xlpm.raw, N(SensorLab[[#This Row],[Raw_Value]]),
  _xlpm.scaleF, IFERROR(
    _xlfn.XLOOKUP(_xlpm.analyte, CalibrationCoefficients[Analyte], CalibrationCoefficients[ScaleFactor]),
    1
  ),
  IF(AND(_xlpm.analyte&lt;&gt;"", ISNUMBER(_xlpm.raw)), _xlpm.raw * _xlpm.scaleF, "NA")
)</f>
        <v>50.19</v>
      </c>
      <c r="N854" s="41"/>
      <c r="O854" s="41"/>
      <c r="P854" s="41"/>
      <c r="Q854" s="208"/>
      <c r="R854" s="237" cm="1">
        <f t="array" ref="R854">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854" s="238" cm="1">
        <f t="array" ref="S854">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854" s="238" cm="1">
        <f t="array" ref="T854">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-23</v>
      </c>
      <c r="U854" s="41" t="str" cm="1">
        <f t="array" ref="U854">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14.94100 and 0.00000</v>
      </c>
      <c r="V854" s="22"/>
    </row>
    <row r="855" spans="10:22" x14ac:dyDescent="0.15">
      <c r="J855" s="190" t="s">
        <v>281</v>
      </c>
      <c r="K855" s="127" t="s">
        <v>5</v>
      </c>
      <c r="L855" s="208">
        <v>34.4</v>
      </c>
      <c r="M855" s="237">
        <f>_xlfn.LET(
  _xlpm.analyte, SensorLab[[#This Row],[Analyte]],
  _xlpm.raw, N(SensorLab[[#This Row],[Raw_Value]]),
  _xlpm.scaleF, IFERROR(
    _xlfn.XLOOKUP(_xlpm.analyte, CalibrationCoefficients[Analyte], CalibrationCoefficients[ScaleFactor]),
    1
  ),
  IF(AND(_xlpm.analyte&lt;&gt;"", ISNUMBER(_xlpm.raw)), _xlpm.raw * _xlpm.scaleF, "NA")
)</f>
        <v>34.4</v>
      </c>
      <c r="N855" s="41"/>
      <c r="O855" s="41"/>
      <c r="P855" s="41"/>
      <c r="Q855" s="208"/>
      <c r="R855" s="237" cm="1">
        <f t="array" ref="R855">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855" s="238" cm="1">
        <f t="array" ref="S855">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855" s="238" cm="1">
        <f t="array" ref="T855">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-28</v>
      </c>
      <c r="U855" s="41" t="str" cm="1">
        <f t="array" ref="U855">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31.74983 and 0.00000</v>
      </c>
      <c r="V855" s="22"/>
    </row>
    <row r="856" spans="10:22" x14ac:dyDescent="0.15">
      <c r="J856" s="190" t="s">
        <v>281</v>
      </c>
      <c r="K856" s="127" t="s">
        <v>6</v>
      </c>
      <c r="L856" s="208">
        <v>15.41</v>
      </c>
      <c r="M856" s="237">
        <f>_xlfn.LET(
  _xlpm.analyte, SensorLab[[#This Row],[Analyte]],
  _xlpm.raw, N(SensorLab[[#This Row],[Raw_Value]]),
  _xlpm.scaleF, IFERROR(
    _xlfn.XLOOKUP(_xlpm.analyte, CalibrationCoefficients[Analyte], CalibrationCoefficients[ScaleFactor]),
    1
  ),
  IF(AND(_xlpm.analyte&lt;&gt;"", ISNUMBER(_xlpm.raw)), _xlpm.raw * _xlpm.scaleF, "NA")
)</f>
        <v>15.41</v>
      </c>
      <c r="N856" s="41"/>
      <c r="O856" s="41"/>
      <c r="P856" s="41"/>
      <c r="Q856" s="208"/>
      <c r="R856" s="237" cm="1">
        <f t="array" ref="R856">_xlfn.LET(
  _xlpm.an, SensorLab[[#This Row],[Analyte]],
  _xlpm.rf, N(SensorLab[[#This Row],[Raw_Factored]]),
  _xlpm.slope,     IFERROR(_xlfn.XLOOKUP(_xlpm.an, ScaleFactors[Analyte], ScaleFactors[Slope]), 0),
  _xlpm.intercept, IFERROR(_xlfn.XLOOKUP(_xlpm.an, ScaleFactors[Analyte], ScaleFactors[Intercept]), 0),
  _xlpm.pred_calibrated, _xlpm.rf * _xlpm.slope + _xlpm.intercept,
  _xlpm.labVal, N(SensorLab[[#This Row],[Labs_Result]]),
 _xlpm.pred,
    _xlfn.SWITCH(
      _xlpm.an,
      "Sand", _xlpm.labVal,
      "Silt", _xlpm.labVal,
      "Clay", _xlpm.labVal,
      _xlpm.pred_calibrated
    ),
  ROUND(_xlpm.pred, 5)
)</f>
        <v>0</v>
      </c>
      <c r="S856" s="238" cm="1">
        <f t="array" ref="S856">_xlfn.LET(
  _xlpm.an, SensorLab[[#This Row],[Analyte]],
  _xlpm.pb, N(SensorLab[[#This Row],[Predicted_Base]]),
  _xlpm.offset, IFERROR(_xlfn.XLOOKUP(_xlpm.an, ScaleFactors[Analyte], ScaleFactors[Offset]), 0),
  _xlpm.labVal, N(SensorLab[[#This Row],[Labs_Result]]),
  _xlpm.final,
    _xlfn.SWITCH(
      _xlpm.an,
      "Sand", _xlpm.labVal,
      "Silt", _xlpm.labVal,
      "Clay", _xlpm.labVal,
      _xlpm.pb + _xlpm.offset
    ),
  ROUND(_xlpm.final, 5)
)</f>
        <v>0</v>
      </c>
      <c r="T856" s="238" cm="1">
        <f t="array" ref="T856">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-7</v>
      </c>
      <c r="U856" s="41" t="str" cm="1">
        <f t="array" ref="U856">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Final_Result must be between 12.03933 and 0.00000</v>
      </c>
      <c r="V856" s="22"/>
    </row>
    <row r="857" spans="10:22" ht="11.25" thickBot="1" x14ac:dyDescent="0.2">
      <c r="J857" s="192" t="s">
        <v>281</v>
      </c>
      <c r="K857" s="193" t="s">
        <v>69</v>
      </c>
      <c r="L857" s="255" t="str" cm="1">
        <f t="array" ref="L857">_xlfn.LET(
  _xlpm.bs,L854, _xlpm.si,L855, _xlpm.c,L856,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M857" s="256" t="str" cm="1">
        <f t="array" ref="M857">_xlfn.LET(
  _xlpm.bs,M854, _xlpm.si,M855, _xlpm.c,M856,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N857" s="245" t="str" cm="1">
        <f t="array" ref="N857">_xlfn.LET(
  _xlpm.bs,N854, _xlpm.si,N855, _xlpm.c,N856,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O857" s="245" t="str" cm="1">
        <f t="array" ref="O857">_xlfn.LET(
  _xlpm.bs,O854, _xlpm.si,O855, _xlpm.c,O856,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P857" s="245" t="str" cm="1">
        <f t="array" ref="P857">_xlfn.LET(
  _xlpm.bs,P854, _xlpm.si,P855, _xlpm.c,P856,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Q857" s="255" t="str" cm="1">
        <f t="array" ref="Q857">_xlfn.LET(
  _xlpm.bs,Q854, _xlpm.si,Q855, _xlpm.c,Q856,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Unclassified</v>
      </c>
      <c r="R857" s="256" t="str" cm="1">
        <f t="array" ref="R857">_xlfn.LET(
  _xlpm.bs,R854, _xlpm.si,R855, _xlpm.c,R856,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S857" s="256" t="str" cm="1">
        <f t="array" ref="S857">_xlfn.LET(
  _xlpm.bs,S854, _xlpm.si,S855, _xlpm.c,S856,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T857" s="240" cm="1">
        <f t="array" ref="T857">_xlfn.LET(
    _xlpm.an, SensorLab[[#This Row],[Analyte]],
    _xlpm.sid, SensorLab[[#This Row],[Sample_ID]],
    _xlpm.L, N(SensorLab[[#This Row],[Labs_Result]]),
    _xlpm.F, N(SensorLab[[#This Row],[Final_Results]]),
    _xlpm.sampleTex,
        _xlfn.XLOOKUP(_xlpm.sid, Soil_Samples[Test No], Soil_Samples[Texture], "Unclassified"),
    _xlpm.specMin,
        _xlfn.SWITCH(_xlpm.an,
            "N", _xlfn.XLOOKUP(_xlpm.sampleTex, SoilSpec[Texture], SoilSpec[N_Min]),
            "P", _xlfn.XLOOKUP(_xlpm.sampleTex, SoilSpec[Texture], SoilSpec[P_Min]),
            "K", _xlfn.XLOOKUP(_xlpm.sampleTex, SoilSpec[Texture], SoilSpec[K_Min]),
            "Conductivity", _xlfn.XLOOKUP(_xlpm.sampleTex, SoilSpec[Texture], SoilSpec[EC_Min]),
            "pH", _xlfn.XLOOKUP(_xlpm.sampleTex, SoilSpec[Texture], SoilSpec[pH_Min]),
            "Moisture", _xlfn.XLOOKUP(_xlpm.sampleTex, SoilSpec[Texture], SoilSpec[Moisture_Min]),
            "OM", _xlfn.XLOOKUP(_xlpm.sampleTex, SoilSpec[Texture], SoilSpec[OM_Min]),
            "Sand", _xlfn.XLOOKUP(_xlpm.sampleTex, SoilSpec[Texture], SoilSpec[Sand_Min]),
            "Silt", _xlfn.XLOOKUP(_xlpm.sampleTex, SoilSpec[Texture], SoilSpec[Silt_Min]),
            "Clay", _xlfn.XLOOKUP(_xlpm.sampleTex, SoilSpec[Texture], SoilSpec[Clay_Min]),
            "SoilTemp", _xlfn.XLOOKUP(_xlpm.sampleTex, SoilSpec[Texture], SoilSpec[SoilTemp_Min]),
            NA()
        ),
    _xlpm.specMax,
        _xlfn.SWITCH(_xlpm.an,
            "N", _xlfn.XLOOKUP(_xlpm.sampleTex, SoilSpec[Texture], SoilSpec[N_Max]),
            "P", _xlfn.XLOOKUP(_xlpm.sampleTex, SoilSpec[Texture], SoilSpec[P_Max]),
            "K", _xlfn.XLOOKUP(_xlpm.sampleTex, SoilSpec[Texture], SoilSpec[K_Max]),
            "Conductivity", _xlfn.XLOOKUP(_xlpm.sampleTex, SoilSpec[Texture], SoilSpec[EC_Max]),
            "pH", _xlfn.XLOOKUP(_xlpm.sampleTex, SoilSpec[Texture], SoilSpec[pH_Max]),
            "Moisture", _xlfn.XLOOKUP(_xlpm.sampleTex, SoilSpec[Texture], SoilSpec[Moisture_Max]),
            "OM", _xlfn.XLOOKUP(_xlpm.sampleTex, SoilSpec[Texture], SoilSpec[OM_Max]),
            "Sand", _xlfn.XLOOKUP(_xlpm.sampleTex, SoilSpec[Texture], SoilSpec[Sand_Max]),
            "Silt", _xlfn.XLOOKUP(_xlpm.sampleTex, SoilSpec[Texture], SoilSpec[Silt_Max]),
            "Clay", _xlfn.XLOOKUP(_xlpm.sampleTex, SoilSpec[Texture], SoilSpec[Clay_Max]),
            "SoilTemp", _xlfn.XLOOKUP(_xlpm.sampleTex, SoilSpec[Texture], SoilSpec[SoilTemp_Max]),
            NA()
        ),
    _xlpm.baseResidual, IF(OR(ISNA(_xlpm.L), ISNA(_xlpm.F)), "", ROUND(_xlpm.L - _xlpm.F, 5)),
    _xlpm.belowMin, IF(_xlpm.F &lt; _xlpm.specMin, _xlpm.F - _xlpm.specMin, 0),
    _xlpm.aboveMax, IF(_xlpm.F &gt; _xlpm.specMax, _xlpm.F - _xlpm.specMax, 0),
    _xlpm.texMismatch,
        IF(_xlpm.an="Texture",
            IF(SensorLab[[#This Row],[Labs_Result]] &lt;&gt; SensorLab[[#This Row],[Final_Results]], -1, 0),
            ""
        ),
    _xlpm.result,
        IF(_xlpm.an="Texture",
            _xlpm.texMismatch,
        IF(_xlpm.belowMin&lt;&gt;0,
            _xlpm.belowMin,
        IF(_xlpm.aboveMax&lt;&gt;0,
            _xlpm.aboveMax,
            _xlpm.baseResidual
        ))),
    _xlpm.result
)</f>
        <v>-1</v>
      </c>
      <c r="U857" s="229" t="str" cm="1">
        <f t="array" ref="U857">_xlfn.LET(
  _xlpm.analyte, SensorLab[[#This Row],[Analyte]],
  _xlpm.sid, SensorLab[[#This Row],[Sample_ID]],
  _xlpm.Lraw, SensorLab[[#This Row],[Labs_Result]],
  _xlpm.Fraw, SensorLab[[#This Row],[Final_Results]],
  _xlpm.rawFactored, N(SensorLab[[#This Row],[Raw_Factored]]),
  _xlpm.mapLabel, _xlfn.LAMBDA(_xlpm.lbl,
    _xlfn.LET(
      _xlpm.key, UPPER(TRIM(_xlpm.lbl)),
      _xlpm.idx, IFERROR(MATCH(1, (UPPER(TRIM(TextureMap[Texture]))=_xlpm.key)*1, 0), NA()),
      IF(ISNUMBER(_xlpm.idx), INDEX(TextureMap[Index], _xlpm.idx), NA())
    )
  ),
  _xlpm.L, IF(_xlpm.analyte="Texture", _xlpm.mapLabel(_xlpm.Lraw), N(_xlpm.Lraw)),
  _xlpm.F, IF(_xlpm.analyte="Texture", _xlpm.mapLabel(_xlpm.Fraw), N(_xlpm.Fraw)),
  _xlpm.absTol,      _xlfn.XLOOKUP(_xlpm.analyte, CalibrationCoefficients[Analyte], CalibrationCoefficients[Abs_Tol], NA()),
  _xlpm.relTol,      _xlfn.XLOOKUP(_xlpm.analyte, CalibrationCoefficients[Analyte], CalibrationCoefficients[Rel_Tol], NA()),
  _xlpm.fitTolStdev, _xlfn.XLOOKUP(_xlpm.analyte, CalibrationCoefficients[Analyte], CalibrationCoefficients[Fit_Stdev_Tol], NA()),
  _xlpm.fitTolP95,   _xlfn.XLOOKUP(_xlpm.analyte, CalibrationCoefficients[Analyte], CalibrationCoefficients[Fit_P95_Tol], NA()),
  _xlpm.slope,       _xlfn.XLOOKUP(_xlpm.analyte, CalibrationCoefficients[Analyte], CalibrationCoefficients[Slope], 1),
  _xlpm.intercept,   _xlfn.XLOOKUP(_xlpm.analyte, CalibrationCoefficients[Analyte], CalibrationCoefficients[Intercept], 0),
  _xlpm.predictedBase, _xlpm.rawFactored * _xlpm.slope + _xlpm.intercept,
  _xlpm.absLow,       IF(ISNUMBER(_xlpm.absTol),      _xlpm.L - _xlpm.absTol,                -1E+99),
  _xlpm.absHigh,      IF(ISNUMBER(_xlpm.absTol),      _xlpm.L + _xlpm.absTol,                 1E+99),
  _xlpm.relLow,       IF(ISNUMBER(_xlpm.relTol),      _xlpm.L * (1 - _xlpm.relTol),          -1E+99),
  _xlpm.relHigh,      IF(ISNUMBER(_xlpm.relTol),      _xlpm.L * (1 + _xlpm.relTol),           1E+99),
  _xlpm.fitLowStdev,  IF(ISNUMBER(_xlpm.fitTolStdev), _xlpm.predictedBase - _xlpm.fitTolStdev, -1E+99),
  _xlpm.fitHighStdev, IF(ISNUMBER(_xlpm.fitTolStdev), _xlpm.predictedBase + _xlpm.fitTolStdev,  1E+99),
  _xlpm.fitLowP95,    IF(ISNUMBER(_xlpm.fitTolP95),   _xlpm.predictedBase - _xlpm.fitTolP95,   -1E+99),
  _xlpm.fitHighP95,   IF(ISNUMBER(_xlpm.fitTolP95),   _xlpm.predictedBase + _xlpm.fitTolP95,    1E+99),
  _xlpm.okLow,  MAX(_xlpm.absLow, _xlpm.relLow, _xlpm.fitLowStdev, _xlpm.fitLowP95),
  _xlpm.okHigh, MIN(_xlpm.absHigh, _xlpm.relHigh, _xlpm.fitHighStdev, _xlpm.fitHighP95),
  _xlpm.sampleTex,
    _xlfn.XLOOKUP(_xlpm.sid, Soil_Samples[Test No], Soil_Samples[Texture], "Unclassified"),
  IF(_xlpm.analyte="Texture",
     IF(OR(ISNA(_xlpm.L), ISNA(_xlpm.F)),
        "#N/A",
        IF(_xlpm.L=_xlpm.F,
           "OK (Texture match: " &amp; _xlpm.Lraw &amp; ")",
           "Texture mismatch: " &amp; _xlpm.Lraw &amp; " vs " &amp; _xlpm.Fraw &amp;
           " (Residual Index: " &amp; TEXT(_xlpm.L-_xlpm.F,"0") &amp; ")"
        )
     ),
     IF(AND(ISNUMBER(_xlpm.L), ISNUMBER(_xlpm.F)),
        IF(AND(_xlpm.F&gt;=_xlpm.okLow, _xlpm.F&lt;=_xlpm.okHigh),
           "OK (Residual: " &amp; TEXT(ROUND(_xlpm.L-_xlpm.F,5),"0.00000") &amp; ")",
           "Final_Result must be between " &amp;
           TEXT(_xlpm.okLow,"0.00000") &amp; " and " &amp; TEXT(_xlpm.okHigh,"0.00000")
        ),
        "#N/A"
     )
  )
)</f>
        <v>#N/A</v>
      </c>
      <c r="V857" s="22"/>
    </row>
    <row r="858" spans="10:22" x14ac:dyDescent="0.15">
      <c r="J858" s="127"/>
      <c r="K858" s="127"/>
      <c r="L858" s="30"/>
      <c r="M858" s="237"/>
      <c r="N858" s="194"/>
      <c r="O858" s="41"/>
      <c r="P858" s="41"/>
      <c r="Q858" s="208"/>
      <c r="R858" s="237"/>
      <c r="S858" s="237"/>
      <c r="T858" s="237"/>
      <c r="U858" s="41"/>
    </row>
    <row r="859" spans="10:22" x14ac:dyDescent="0.15">
      <c r="J859" s="127"/>
      <c r="K859" s="127"/>
      <c r="L859" s="30"/>
      <c r="M859" s="237"/>
      <c r="N859" s="194"/>
      <c r="O859" s="41"/>
      <c r="P859" s="41"/>
      <c r="Q859" s="208"/>
      <c r="R859" s="237"/>
      <c r="S859" s="237"/>
      <c r="T859" s="237"/>
      <c r="U859" s="41"/>
    </row>
    <row r="860" spans="10:22" x14ac:dyDescent="0.15">
      <c r="J860" s="127"/>
      <c r="K860" s="127"/>
      <c r="L860" s="30"/>
      <c r="M860" s="237"/>
      <c r="N860" s="194"/>
      <c r="O860" s="41"/>
      <c r="P860" s="41"/>
      <c r="Q860" s="208"/>
      <c r="R860" s="237"/>
      <c r="S860" s="237"/>
      <c r="T860" s="237"/>
      <c r="U860" s="41"/>
    </row>
    <row r="861" spans="10:22" x14ac:dyDescent="0.15">
      <c r="J861" s="127"/>
      <c r="K861" s="127"/>
      <c r="L861" s="30"/>
      <c r="M861" s="237"/>
      <c r="N861" s="194"/>
      <c r="O861" s="41"/>
      <c r="P861" s="41"/>
      <c r="Q861" s="208"/>
      <c r="R861" s="237"/>
      <c r="S861" s="237"/>
      <c r="T861" s="237"/>
      <c r="U861" s="41"/>
    </row>
    <row r="862" spans="10:22" x14ac:dyDescent="0.15">
      <c r="J862" s="127"/>
      <c r="K862" s="127"/>
      <c r="L862" s="30"/>
      <c r="M862" s="237"/>
      <c r="N862" s="194"/>
      <c r="O862" s="41"/>
      <c r="P862" s="41"/>
      <c r="Q862" s="208"/>
      <c r="R862" s="237"/>
      <c r="S862" s="237"/>
      <c r="T862" s="237"/>
      <c r="U862" s="41"/>
    </row>
    <row r="863" spans="10:22" x14ac:dyDescent="0.15">
      <c r="J863" s="127"/>
      <c r="K863" s="127"/>
      <c r="L863" s="30"/>
      <c r="M863" s="237"/>
      <c r="N863" s="194"/>
      <c r="O863" s="41"/>
      <c r="P863" s="41"/>
      <c r="Q863" s="208"/>
      <c r="R863" s="237"/>
      <c r="S863" s="237"/>
      <c r="T863" s="237"/>
      <c r="U863" s="41"/>
    </row>
  </sheetData>
  <sortState xmlns:xlrd2="http://schemas.microsoft.com/office/spreadsheetml/2017/richdata2" ref="AG39:AP43">
    <sortCondition ref="AG39:AG43"/>
  </sortState>
  <mergeCells count="12">
    <mergeCell ref="B101:G101"/>
    <mergeCell ref="AD2:AK2"/>
    <mergeCell ref="D20:F20"/>
    <mergeCell ref="B53:E53"/>
    <mergeCell ref="AD6:AK6"/>
    <mergeCell ref="B6:L6"/>
    <mergeCell ref="Q6:R6"/>
    <mergeCell ref="T5:U5"/>
    <mergeCell ref="V6:AA6"/>
    <mergeCell ref="M6:O6"/>
    <mergeCell ref="T6:U6"/>
    <mergeCell ref="J52:U52"/>
  </mergeCells>
  <phoneticPr fontId="10" type="noConversion"/>
  <dataValidations disablePrompts="1" count="1">
    <dataValidation type="list" allowBlank="1" showInputMessage="1" showErrorMessage="1" sqref="C54" xr:uid="{49B2529F-1963-48DE-AB05-82BF0E86AB3E}">
      <formula1>$J$53:$J$857</formula1>
    </dataValidation>
  </dataValidations>
  <pageMargins left="0.7" right="0.7" top="0.75" bottom="0.75" header="0.3" footer="0.3"/>
  <pageSetup scale="19" fitToHeight="0" orientation="landscape" verticalDpi="0" r:id="rId1"/>
  <ignoredErrors>
    <ignoredError sqref="S39:S50 T39:T50" formulaRange="1"/>
    <ignoredError sqref="M53:U53 R410:S410 R409:S409 R408:S408 R407:S407 R406:S406 R405:S405 R404:S404 R403:S403 R402:S402 R374:S374 R373:S373 R372:S372 R371:S371 R370:S370 R369:S369 R368:S368 R367:S367 R366:S366 R350:S350 R349:S349 R348:S348 R347:S347 R346:S346 R345:S345 R344:S344 R343:S343 R342:S342 R378:S379 R362:S362 R361:S361 R360:S360 R359:S359 R358:S358 R357:S357 R354:S354 R338:S338 R337:S337 R336:S336 R335:S335 R334:S334 R333:S333 R332:S332 R331:S331 R330:S330 R326:S326 R325:S325 R324:S324 R323:S323 R322:S322 R321:S321 R320:S320 R242:S242 R241:S241 R240:S240 R239:S239 R238:S238 R237:S237 R236:S236 R235:S235 R234:S234 R98:S98 R97:S97 R96:S96 R95:S95 R94:S94 R93:S93 R92:S92 R91:S91 R90:S90 R86:S86 R84:S84 R83:S83 R82:S82 R81:S81 R80:S80 R79:S79 R78:S78 R158:S158 R157:S157 R156:S156 R155:S155 R154:S154 R153:S153 R152:S152 R151:S151 R150:S150 R122:S122 R121:S121 R120:S120 R119:S119 R118:S118 R117:S117 R116:S116 R115:S115 R114:S114 R146:S146 R145:S145 R144:S144 R143:S143 R142:S142 R141:S141 R140:S140 R139:S139 R138:S138 R110:S110 R109:S109 R108:S108 R107:S107 R106:S106 R105:S105 R104:S104 R103:S103 R102:S102 Q365 R88:S88 R66:S73 R85:S85 R99:S99 R111:S111 R123:S123 R126:S136 R147:S147 R162:S172 R174:S181 R186:S196 R198:S208 R210:S220 R222:S232 R244:S244 R246:S256 R258:S268 R270:S280 R282:S292 R294:S304 R306:S316 R319:S319 R327:S327 R339:S339 R351:S351 R356:S356 R363:S363 R375:S375 R390:S400 R411:S411 R426:S426 R438:S439 R450:S453 R462:S464 R474:S484 R486:S496 R498:S508 R510:S512 R522:S532 R534:S544 R546:S547 R558:S568 R570:S572 R582:S592 R594:S604 R606:S607 R618:S628 R630:S640 R642:S652 R654:S656 R666:S676 R678:S680 R690:S690 R702:S703 R714:S724 R726:S728 R738:S739 R750:S751 R762:S763 R774:S784 R786:S786 R798:S799 R810:S820 R822:S832 R834:S844 R846:S856 R74:S76 N54:O54 R182:S184 R87:S87 R100:S100 R112:S112 R124:S124 R148:S148 R160:S160 R328:S328 R340:S340 R352:S352 R364:S364 R376:S376 R380:S388 R412:S412 R427:S436 R440:S448 R454:S460 R465:S472 R513:S520 R548:S556 R573:S580 R608:S616 R657:S664 R681:S688 R691:S700 R704:S712 R729:S736 R740:S748 R752:S760 R764:S772 R787:S796 R800:S808 L65 L77 L89 L101 L113 L125 L137 L149 R159:S159 L161 L173 L185 L197 L209 L221 L233 R243:S243 L245 L257 L269 L281 L293 L305 L317 R318:S318 L329 L341 L353 R355:S355 L365 L377 L389 L401 L413 L425 L437 L449 L461 L473 L485 L497 L509 L521 L533 L545 L557 L569 L581 L593 L605 L617 L629 L641 L653 L665 L677 L689 L701 L713 L725 L737 L749 L761 L773 L785 L797 L809 L821 L833 L845 L857 K857 K845 K833 K821 K809 K797 K785 K773 K761 K749 K737 K725 K713 K701 K689 K677 K665 K653 K641 K629 K617 K605 K593 K581 K569 K557 K545 K533 K521 K509 K497 K485 K473 K461 K449 K437 K425 K413 K401 K389 K377 K365 K353 K341 K329 K317 K305 K293 K281 K269 K257 K245 K233 K221 K209 K197 K185 K173 K161 K149 K137 K125 K113 K101 K89 K77 J62:L63 J54:L55 J56:L61 J66:L76 J64:L64 J65:K65 J78:L88 J77 J90:L100 J89 J102:L112 J101 J114:L124 J113 J126:L136 J125 J138:L148 J137 J150:L160 J149 J162:L172 J161 J174:L184 J173 J186:L196 J185 J198:L208 J197 J210:L220 J209 J222:L232 J221 J234:L244 J233 J246:L256 J245 J258:L268 J257 J270:L280 J269 J282:L292 J281 J294:L304 J293 J306:L316 J305 J318:L328 J317 J330:L340 J329 J342:L352 J341 J354:L364 J353 J366:L376 J365 J378:L388 J377 J390:L400 J389 J402:L412 J401 J414:L424 J413 J426:L436 J425 J438:L448 J437 J450:L460 J449 J462:L472 J461 J474:L484 J473 J486:L496 J485 J498:L508 J497 J510:L520 J509 J522:L532 J521 J534:L544 J533 J546:L556 J545 J558:L568 J557 J570:L580 J569 J582:L592 J581 J594:L604 J593 J606:L616 J605 J618:L628 J617 J630:L640 J629 J642:L652 J641 J654:L664 J653 J666:L676 J665 J678:L688 J677 J690:L700 J689 J702:L712 J701 J714:L724 J713 J726:L736 J725 J738:L748 J737 J750:L760 J749 J762:L772 J761 J774:L784 J773 J786:L796 J785 J798:L808 J797 J810:L820 J809 J822:L832 J821 J834:L844 J833 J846:L856 J845 J857 M65:S65 O800:P808 O787:P796 O764:P772 O752:P760 O740:P748 O729:P736 O704:P712 O691:P700 O681:P688 O657:P664 O608:P616 O573:P580 O548:P556 O513:P520 O465:P472 O454:P460 O440:P448 O427:P436 O412 O380:O388 O376 O352 O340 O328 O160 O148 O124 O112 O100 P182:P184 Q74:Q76 N182:N184 Q846:Q856 O846:P856 M846:M856 O834:P844 M834:M844 O822:P832 M822:M832 O810:P820 M810:M820 O798:Q799 M798:M808 O786:Q786 M786:M796 O774:P784 M774:M784 O762:Q763 M762:M772 O750:Q751 M750:M760 O738:Q739 M738:M748 O726:Q728 M726:M736 O714:P724 M714:M724 O702:Q703 M702:M712 O690:Q690 M690:M700 O678:Q680 M678:M688 O666:P676 M666:M676 O654:Q656 M654:M664 O642:P652 M642:M652 O630:P640 M630:M640 O618:P628 M618:M628 O606:Q607 M606:M616 O594:P604 M594:M604 O582:P592 M582:M592 O570:Q572 M570:M580 O558:P568 M558:M568 O546:Q547 M546:M556 O534:P544 M534:M544 O522:P532 M522:M532 O510:Q512 M510:M520 O498:P508 M498:M508 O486:P496 M486:M496 O474:P484 M474:M484 O462:Q464 M462:M472 O450:Q453 M450:M460 O438:Q439 M438:M448 O426:Q426 M426:M436 M414:M424 O403 M402:M412 O390:P400 M390:M400 O378:O379 M378:M388 O367 M366:M376 M354:M364 O343 M342:M352 O331 M330:M340 O319 M318:M328 O306:P316 O294:P304 O282:P292 O270:P280 O258:P268 O246:P256 O244 O222:P232 O210:P220 O198:P208 O186:P196 O174:P181 O162:P172 O150 O141 O126:P136 O118 O105 O94 O85 O66:Q73 M306:M316 M294:M304 M282:M292 M270:M280 M258:M268 M246:M256 M234:M244 M222:M232 M210:M220 M198:M208 M186:M196 M174:M184 M162:M172 M150:M160 M138:M148 M126:M136 M114:M124 M102:M112 M90:M100 M78:M88 M64 M66:M76 M56:M61 M54:M55 M62:M63 P60 O55:O64 N56:N61 N64 N62:N63 N55 N66:N76 N78:N88 N90:N100 N102:N112 N114:N124 N126:N136 N138:N148 N150:N160 N162:N172 N174:N181 N186:N196 N198:N208 N210:N220 N222:N232 N234:N244 N246:N256 N258:N268 N270:N280 N282:N292 N294:N304 N306:N316 N318:N328 N330:N340 N342:N352 N366:N376 N378:N388 N390:N400 N402:N412 N426:N436 N438:N448 N450:N460 N462:N472 N474:N484 N486:N496 N498:N508 N510:N520 N522:N532 N534:N544 N546:N556 N558:N568 N570:N580 N582:N592 N594:N604 N606:N616 N618:N628 N630:N640 N642:N652 N654:N664 N666:N676 N678:N688 N690:N700 N702:N712 N714:N724 N726:N736 N738:N748 N750:N760 N762:N772 N774:N784 N786:N796 N798:N808 N810:N820 N822:N832 N834:N844 N846:N856 O182:O184 O74:P76 O88 M857:S857 M89:S89 M77:S77 M185:S185 M845:S845 M833:S833 M821:S821 M809:S809 Q800:Q808 M797:S797 Q787:Q796 M785:S785 M773:S773 Q764:Q772 M761:S761 Q752:Q760 M749:S749 Q740:Q748 M737:S737 Q729:Q736 M725:S725 M713:S713 Q704:Q712 M701:S701 Q691:Q700 M689:S689 Q681:Q688 M677:S677 M665:S665 Q657:Q664 M653:S653 M641:S641 M629:S629 M617:S617 Q608:Q616 M605:S605 M593:S593 M581:S581 Q573:Q580 M569:S569 M557:S557 Q548:Q556 M545:S545 M533:S533 M521:S521 Q513:Q520 M509:S509 M497:S497 M485:S485 M473:S473 Q465:Q472 M461:S461 Q454:Q460 M449:S449 Q440:Q448 M437:S437 Q427:Q436 M425:S425 M413:S413 M401:S401 M389:S389 M377:S377 M365:P365 M353:S353 M341:S341 M329:S329 M317:S317 M305:S305 M293:S293 M281:S281 M269:S269 M257:S257 M245:S245 M233:S233 M221:S221 M209:S209 M197:S197 M173:S173 M161:S161 M149:O149 M137:S137 M125:S125 M113:O113 M101:O101 P54:P59 P61:P64 O102 O103 O104 O106 O107 O108 O109 O110 O111 O138 O139 O140 O142 O143 O144 O145 O146 O147 P138:P144 O114 O115 O116 O117 O119 O120 O121 O122 O123 Q113:S113 P114:P124 O151 O152 O153 O154 O155 O156 O157 O158 O159 Q149:S149 P146:P147 P149 P145 P150:P159 O78 O79 O80 O81 O82 O83 O84 O86 O87 P78:P88 O90 O91 O92 O93 O95 O96 O97 O98 O99 P90:P99 O234 O235 O236 O237 O238 O239 O240 O241 O242 O243 P234:P244 O318 O320 O321 O322 O323 O324 O325 O326 O327 P318:P327 O330 O332 O333 O334 O335 O336 O337 O338 O339 P330:P340 R365:S365 P378:P388 O342 O344 O345 O346 O347 O348 O349 O350 O351 P342:P352 O366 O368 O369 O370 O371 O372 O373 O374 O375 P366:P376 O402 O404 O405 O406 O407 O408 O409 O410 O411 P402:P412 Q54:Q64 R54:R64 Q410 Q374 Q350 Q378:Q379 Q338 Q326 Q242 Q98 Q86 Q158 Q145 Q146 Q122 Q109 Q110 Q144 Q108 Q182:Q184 Q834:Q844 Q822:Q832 Q810:Q820 Q774:Q784 Q714:Q724 Q666:Q676 Q642:Q652 Q630:Q640 Q618:Q628 Q594:Q604 Q582:Q592 Q558:Q568 Q534:Q544 Q522:Q532 Q498:Q508 Q486:Q496 Q474:Q484 Q390:Q400 Q306:Q316 Q294:Q304 Q282:Q292 Q270:Q280 Q258:Q268 Q246:Q256 Q222:Q232 Q210:Q220 Q198:Q208 Q186:Q196 Q174:Q181 Q162:Q172 Q126:Q136 Q84 Q318 Q244 Q243 P160:Q160 Q159 Q412 Q380:Q388 Q376 Q352 Q340 P328:Q328 P148:Q148 Q124 Q112 Q100 Q88 Q87 Q411 Q375 Q351 Q339 Q327 Q319 Q147 Q123 Q111 Q99 Q85 Q102 Q103 Q104 Q105 Q106 Q107 Q138 Q139 Q140 Q141 Q142 Q143 Q114 Q115 Q116 Q117 Q118 Q119 Q120 Q121 Q150 Q151 Q152 Q153 Q154 Q155 Q156 Q157 Q78 Q79 Q80 Q81 Q82 Q83 Q90 Q91 Q92 Q93 Q94 Q95 Q96 Q97 Q234 Q235 Q236 Q237 Q238 Q239 Q240 Q241 Q320 Q321 Q322 Q323 Q324 Q325 Q330 Q331 Q332 Q333 Q334 Q335 Q336 Q337 Q342 Q343 Q344 Q345 Q346 Q347 Q348 Q349 Q366 Q367 Q368 Q369 Q370 Q371 Q372 Q373 Q402 Q403 Q404 Q405 Q406 Q407 Q408 Q409 S54:S64 Q101:S101 P109 P113 P110:P111 P102:P108 P101 P100 P112 R414:S424" calculatedColumn="1"/>
  </ignoredErrors>
  <legacyDrawing r:id="rId2"/>
  <tableParts count="10">
    <tablePart r:id="rId3"/>
    <tablePart r:id="rId4"/>
    <tablePart r:id="rId5"/>
    <tablePart r:id="rId6"/>
    <tablePart r:id="rId7"/>
    <tablePart r:id="rId8"/>
    <tablePart r:id="rId9"/>
    <tablePart r:id="rId10"/>
    <tablePart r:id="rId11"/>
    <tablePart r:id="rId1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2EA49-3A92-4C12-AD81-15A571A14CDC}">
  <sheetPr codeName="Sheet2"/>
  <dimension ref="A1:D54"/>
  <sheetViews>
    <sheetView workbookViewId="0">
      <selection sqref="A1:D13"/>
    </sheetView>
  </sheetViews>
  <sheetFormatPr defaultRowHeight="10.5" x14ac:dyDescent="0.15"/>
  <cols>
    <col min="1" max="1" width="12.7109375" style="25" bestFit="1" customWidth="1"/>
    <col min="2" max="2" width="11.140625" style="4" customWidth="1"/>
    <col min="3" max="3" width="10.42578125" style="4" customWidth="1"/>
    <col min="4" max="4" width="7.85546875" style="4" customWidth="1"/>
    <col min="5" max="16384" width="9.140625" style="4"/>
  </cols>
  <sheetData>
    <row r="1" spans="1:4" x14ac:dyDescent="0.15">
      <c r="A1" s="246" t="s">
        <v>69</v>
      </c>
      <c r="B1" s="247" t="s">
        <v>76</v>
      </c>
      <c r="C1" s="247" t="s">
        <v>77</v>
      </c>
      <c r="D1" s="80" t="s">
        <v>83</v>
      </c>
    </row>
    <row r="2" spans="1:4" x14ac:dyDescent="0.15">
      <c r="A2" s="11" t="s">
        <v>0</v>
      </c>
      <c r="B2" s="22">
        <v>6</v>
      </c>
      <c r="C2" s="22">
        <v>1</v>
      </c>
      <c r="D2" s="4">
        <v>1</v>
      </c>
    </row>
    <row r="3" spans="1:4" x14ac:dyDescent="0.15">
      <c r="A3" s="11" t="s">
        <v>1</v>
      </c>
      <c r="B3" s="22">
        <v>7</v>
      </c>
      <c r="C3" s="22">
        <v>2</v>
      </c>
      <c r="D3" s="4">
        <v>2</v>
      </c>
    </row>
    <row r="4" spans="1:4" x14ac:dyDescent="0.15">
      <c r="A4" s="124" t="s">
        <v>2</v>
      </c>
      <c r="B4" s="125">
        <v>8</v>
      </c>
      <c r="C4" s="125">
        <v>3</v>
      </c>
      <c r="D4" s="126">
        <v>3</v>
      </c>
    </row>
    <row r="5" spans="1:4" x14ac:dyDescent="0.15">
      <c r="A5" s="11" t="s">
        <v>3</v>
      </c>
      <c r="B5" s="22">
        <v>9</v>
      </c>
      <c r="C5" s="22">
        <v>5</v>
      </c>
      <c r="D5" s="4">
        <v>4</v>
      </c>
    </row>
    <row r="6" spans="1:4" x14ac:dyDescent="0.15">
      <c r="A6" s="11" t="s">
        <v>4</v>
      </c>
      <c r="B6" s="22">
        <v>9</v>
      </c>
      <c r="C6" s="22">
        <v>6</v>
      </c>
      <c r="D6" s="4">
        <v>5</v>
      </c>
    </row>
    <row r="7" spans="1:4" x14ac:dyDescent="0.15">
      <c r="A7" s="11" t="s">
        <v>9</v>
      </c>
      <c r="B7" s="22">
        <v>10</v>
      </c>
      <c r="C7" s="22">
        <v>8</v>
      </c>
      <c r="D7" s="4">
        <v>6</v>
      </c>
    </row>
    <row r="8" spans="1:4" x14ac:dyDescent="0.15">
      <c r="A8" s="11" t="s">
        <v>5</v>
      </c>
      <c r="B8" s="22">
        <v>10</v>
      </c>
      <c r="C8" s="22">
        <v>8</v>
      </c>
      <c r="D8" s="4">
        <v>7</v>
      </c>
    </row>
    <row r="9" spans="1:4" x14ac:dyDescent="0.15">
      <c r="A9" s="124" t="s">
        <v>7</v>
      </c>
      <c r="B9" s="125">
        <v>9</v>
      </c>
      <c r="C9" s="125">
        <v>7</v>
      </c>
      <c r="D9" s="126">
        <v>8</v>
      </c>
    </row>
    <row r="10" spans="1:4" x14ac:dyDescent="0.15">
      <c r="A10" s="11" t="s">
        <v>81</v>
      </c>
      <c r="B10" s="22">
        <v>10</v>
      </c>
      <c r="C10" s="22">
        <v>9</v>
      </c>
      <c r="D10" s="4">
        <v>9</v>
      </c>
    </row>
    <row r="11" spans="1:4" x14ac:dyDescent="0.15">
      <c r="A11" s="11" t="s">
        <v>38</v>
      </c>
      <c r="B11" s="22">
        <v>10</v>
      </c>
      <c r="C11" s="22">
        <v>10</v>
      </c>
      <c r="D11" s="4">
        <v>10</v>
      </c>
    </row>
    <row r="12" spans="1:4" x14ac:dyDescent="0.15">
      <c r="A12" s="11" t="s">
        <v>6</v>
      </c>
      <c r="B12" s="22">
        <v>10</v>
      </c>
      <c r="C12" s="22">
        <v>11</v>
      </c>
      <c r="D12" s="4">
        <v>11</v>
      </c>
    </row>
    <row r="13" spans="1:4" x14ac:dyDescent="0.15">
      <c r="A13" s="11" t="s">
        <v>8</v>
      </c>
      <c r="B13" s="22">
        <v>9</v>
      </c>
      <c r="C13" s="22">
        <v>7</v>
      </c>
      <c r="D13" s="4">
        <v>12</v>
      </c>
    </row>
    <row r="18" spans="1:3" x14ac:dyDescent="0.15">
      <c r="A18" s="79" t="s">
        <v>69</v>
      </c>
      <c r="B18" s="79" t="s">
        <v>115</v>
      </c>
      <c r="C18" s="80" t="s">
        <v>116</v>
      </c>
    </row>
    <row r="19" spans="1:3" x14ac:dyDescent="0.15">
      <c r="A19" s="34" t="s">
        <v>0</v>
      </c>
      <c r="B19" s="34" t="s">
        <v>117</v>
      </c>
      <c r="C19" s="4">
        <v>8</v>
      </c>
    </row>
    <row r="20" spans="1:3" x14ac:dyDescent="0.15">
      <c r="A20" s="78" t="s">
        <v>0</v>
      </c>
      <c r="B20" s="78" t="s">
        <v>118</v>
      </c>
      <c r="C20" s="4">
        <v>10</v>
      </c>
    </row>
    <row r="21" spans="1:3" x14ac:dyDescent="0.15">
      <c r="A21" s="57" t="s">
        <v>0</v>
      </c>
      <c r="B21" s="57" t="s">
        <v>119</v>
      </c>
      <c r="C21" s="4">
        <v>12</v>
      </c>
    </row>
    <row r="22" spans="1:3" x14ac:dyDescent="0.15">
      <c r="A22" s="57" t="s">
        <v>1</v>
      </c>
      <c r="B22" s="34" t="s">
        <v>117</v>
      </c>
      <c r="C22" s="4">
        <v>9</v>
      </c>
    </row>
    <row r="23" spans="1:3" x14ac:dyDescent="0.15">
      <c r="A23" s="57" t="s">
        <v>1</v>
      </c>
      <c r="B23" s="78" t="s">
        <v>118</v>
      </c>
      <c r="C23" s="4">
        <v>11</v>
      </c>
    </row>
    <row r="24" spans="1:3" x14ac:dyDescent="0.15">
      <c r="A24" s="57" t="s">
        <v>1</v>
      </c>
      <c r="B24" s="57" t="s">
        <v>119</v>
      </c>
      <c r="C24" s="4">
        <v>13</v>
      </c>
    </row>
    <row r="25" spans="1:3" x14ac:dyDescent="0.15">
      <c r="A25" s="57" t="s">
        <v>2</v>
      </c>
      <c r="B25" s="34" t="s">
        <v>117</v>
      </c>
      <c r="C25" s="4">
        <v>10</v>
      </c>
    </row>
    <row r="26" spans="1:3" x14ac:dyDescent="0.15">
      <c r="A26" s="57" t="s">
        <v>2</v>
      </c>
      <c r="B26" s="78" t="s">
        <v>118</v>
      </c>
      <c r="C26" s="4">
        <v>12</v>
      </c>
    </row>
    <row r="27" spans="1:3" x14ac:dyDescent="0.15">
      <c r="A27" s="57" t="s">
        <v>2</v>
      </c>
      <c r="B27" s="57" t="s">
        <v>119</v>
      </c>
      <c r="C27" s="4">
        <v>14</v>
      </c>
    </row>
    <row r="28" spans="1:3" x14ac:dyDescent="0.15">
      <c r="A28" s="57" t="s">
        <v>3</v>
      </c>
      <c r="B28" s="34" t="s">
        <v>117</v>
      </c>
      <c r="C28" s="4">
        <v>11</v>
      </c>
    </row>
    <row r="29" spans="1:3" x14ac:dyDescent="0.15">
      <c r="A29" s="57" t="s">
        <v>3</v>
      </c>
      <c r="B29" s="78" t="s">
        <v>118</v>
      </c>
      <c r="C29" s="4">
        <v>13</v>
      </c>
    </row>
    <row r="30" spans="1:3" x14ac:dyDescent="0.15">
      <c r="A30" s="57" t="s">
        <v>3</v>
      </c>
      <c r="B30" s="57" t="s">
        <v>119</v>
      </c>
      <c r="C30" s="4">
        <v>15</v>
      </c>
    </row>
    <row r="31" spans="1:3" x14ac:dyDescent="0.15">
      <c r="A31" s="57" t="s">
        <v>4</v>
      </c>
      <c r="B31" s="34" t="s">
        <v>117</v>
      </c>
      <c r="C31" s="4">
        <v>11.5</v>
      </c>
    </row>
    <row r="32" spans="1:3" x14ac:dyDescent="0.15">
      <c r="A32" s="57" t="s">
        <v>4</v>
      </c>
      <c r="B32" s="78" t="s">
        <v>118</v>
      </c>
      <c r="C32" s="4">
        <v>13.5</v>
      </c>
    </row>
    <row r="33" spans="1:3" x14ac:dyDescent="0.15">
      <c r="A33" s="57" t="s">
        <v>4</v>
      </c>
      <c r="B33" s="57" t="s">
        <v>119</v>
      </c>
      <c r="C33" s="4">
        <v>16</v>
      </c>
    </row>
    <row r="34" spans="1:3" x14ac:dyDescent="0.15">
      <c r="A34" s="25" t="s">
        <v>9</v>
      </c>
      <c r="B34" s="34" t="s">
        <v>117</v>
      </c>
      <c r="C34" s="4">
        <v>12</v>
      </c>
    </row>
    <row r="35" spans="1:3" x14ac:dyDescent="0.15">
      <c r="A35" s="25" t="s">
        <v>9</v>
      </c>
      <c r="B35" s="78" t="s">
        <v>118</v>
      </c>
      <c r="C35" s="4">
        <v>14</v>
      </c>
    </row>
    <row r="36" spans="1:3" x14ac:dyDescent="0.15">
      <c r="A36" s="25" t="s">
        <v>9</v>
      </c>
      <c r="B36" s="57" t="s">
        <v>119</v>
      </c>
      <c r="C36" s="4">
        <v>16</v>
      </c>
    </row>
    <row r="37" spans="1:3" x14ac:dyDescent="0.15">
      <c r="A37" s="25" t="s">
        <v>5</v>
      </c>
      <c r="B37" s="34" t="s">
        <v>117</v>
      </c>
      <c r="C37" s="4">
        <v>12.5</v>
      </c>
    </row>
    <row r="38" spans="1:3" x14ac:dyDescent="0.15">
      <c r="A38" s="25" t="s">
        <v>5</v>
      </c>
      <c r="B38" s="78" t="s">
        <v>118</v>
      </c>
      <c r="C38" s="4">
        <v>14.5</v>
      </c>
    </row>
    <row r="39" spans="1:3" x14ac:dyDescent="0.15">
      <c r="A39" s="25" t="s">
        <v>5</v>
      </c>
      <c r="B39" s="57" t="s">
        <v>119</v>
      </c>
      <c r="C39" s="4">
        <v>17</v>
      </c>
    </row>
    <row r="40" spans="1:3" x14ac:dyDescent="0.15">
      <c r="A40" s="25" t="s">
        <v>7</v>
      </c>
      <c r="B40" s="34" t="s">
        <v>117</v>
      </c>
      <c r="C40" s="4">
        <v>10</v>
      </c>
    </row>
    <row r="41" spans="1:3" x14ac:dyDescent="0.15">
      <c r="A41" s="25" t="s">
        <v>7</v>
      </c>
      <c r="B41" s="78" t="s">
        <v>118</v>
      </c>
      <c r="C41" s="4">
        <v>12</v>
      </c>
    </row>
    <row r="42" spans="1:3" x14ac:dyDescent="0.15">
      <c r="A42" s="25" t="s">
        <v>7</v>
      </c>
      <c r="B42" s="57" t="s">
        <v>119</v>
      </c>
      <c r="C42" s="4">
        <v>14</v>
      </c>
    </row>
    <row r="43" spans="1:3" x14ac:dyDescent="0.15">
      <c r="A43" s="25" t="s">
        <v>81</v>
      </c>
      <c r="B43" s="34" t="s">
        <v>117</v>
      </c>
      <c r="C43" s="4">
        <v>10.5</v>
      </c>
    </row>
    <row r="44" spans="1:3" x14ac:dyDescent="0.15">
      <c r="A44" s="25" t="s">
        <v>81</v>
      </c>
      <c r="B44" s="78" t="s">
        <v>118</v>
      </c>
      <c r="C44" s="4">
        <v>13</v>
      </c>
    </row>
    <row r="45" spans="1:3" x14ac:dyDescent="0.15">
      <c r="A45" s="25" t="s">
        <v>81</v>
      </c>
      <c r="B45" s="57" t="s">
        <v>119</v>
      </c>
      <c r="C45" s="4">
        <v>15</v>
      </c>
    </row>
    <row r="46" spans="1:3" x14ac:dyDescent="0.15">
      <c r="A46" s="25" t="s">
        <v>38</v>
      </c>
      <c r="B46" s="34" t="s">
        <v>117</v>
      </c>
      <c r="C46" s="4">
        <v>11</v>
      </c>
    </row>
    <row r="47" spans="1:3" x14ac:dyDescent="0.15">
      <c r="A47" s="25" t="s">
        <v>38</v>
      </c>
      <c r="B47" s="78" t="s">
        <v>118</v>
      </c>
      <c r="C47" s="4">
        <v>14</v>
      </c>
    </row>
    <row r="48" spans="1:3" x14ac:dyDescent="0.15">
      <c r="A48" s="25" t="s">
        <v>38</v>
      </c>
      <c r="B48" s="57" t="s">
        <v>119</v>
      </c>
      <c r="C48" s="4">
        <v>17</v>
      </c>
    </row>
    <row r="49" spans="1:3" x14ac:dyDescent="0.15">
      <c r="A49" s="25" t="s">
        <v>6</v>
      </c>
      <c r="B49" s="34" t="s">
        <v>117</v>
      </c>
      <c r="C49" s="4">
        <v>10</v>
      </c>
    </row>
    <row r="50" spans="1:3" x14ac:dyDescent="0.15">
      <c r="A50" s="25" t="s">
        <v>6</v>
      </c>
      <c r="B50" s="78" t="s">
        <v>118</v>
      </c>
      <c r="C50" s="4">
        <v>12</v>
      </c>
    </row>
    <row r="51" spans="1:3" x14ac:dyDescent="0.15">
      <c r="A51" s="25" t="s">
        <v>6</v>
      </c>
      <c r="B51" s="57" t="s">
        <v>119</v>
      </c>
      <c r="C51" s="4">
        <v>14</v>
      </c>
    </row>
    <row r="52" spans="1:3" x14ac:dyDescent="0.15">
      <c r="A52" s="25" t="s">
        <v>8</v>
      </c>
      <c r="B52" s="34" t="s">
        <v>117</v>
      </c>
      <c r="C52" s="4">
        <v>10</v>
      </c>
    </row>
    <row r="53" spans="1:3" x14ac:dyDescent="0.15">
      <c r="A53" s="25" t="s">
        <v>8</v>
      </c>
      <c r="B53" s="78" t="s">
        <v>118</v>
      </c>
      <c r="C53" s="4">
        <v>12.5</v>
      </c>
    </row>
    <row r="54" spans="1:3" x14ac:dyDescent="0.15">
      <c r="A54" s="25" t="s">
        <v>8</v>
      </c>
      <c r="B54" s="57" t="s">
        <v>119</v>
      </c>
      <c r="C54" s="4">
        <v>15</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3A257-4BB6-4903-AA28-02D76DB3A7AE}">
  <sheetPr codeName="Sheet4"/>
  <dimension ref="A1:AF675"/>
  <sheetViews>
    <sheetView tabSelected="1" topLeftCell="E1" workbookViewId="0">
      <selection activeCell="AC2" sqref="AC2"/>
    </sheetView>
  </sheetViews>
  <sheetFormatPr defaultRowHeight="10.5" x14ac:dyDescent="0.15"/>
  <cols>
    <col min="1" max="1" width="7" style="4" bestFit="1" customWidth="1"/>
    <col min="2" max="3" width="9.28515625" style="216" bestFit="1" customWidth="1"/>
    <col min="4" max="4" width="9.42578125" style="216" bestFit="1" customWidth="1"/>
    <col min="5" max="6" width="5" style="209" bestFit="1" customWidth="1"/>
    <col min="7" max="7" width="5.85546875" style="209" bestFit="1" customWidth="1"/>
    <col min="8" max="8" width="11.140625" style="209" bestFit="1" customWidth="1"/>
    <col min="9" max="9" width="5" style="209" bestFit="1" customWidth="1"/>
    <col min="10" max="10" width="8.42578125" style="209" bestFit="1" customWidth="1"/>
    <col min="11" max="11" width="8.140625" style="209" bestFit="1" customWidth="1"/>
    <col min="12" max="15" width="5" style="209" bestFit="1" customWidth="1"/>
    <col min="16" max="16" width="11.28515625" style="4" bestFit="1" customWidth="1"/>
    <col min="17" max="17" width="8" style="209" bestFit="1" customWidth="1"/>
    <col min="18" max="18" width="9.85546875" style="4" bestFit="1" customWidth="1"/>
    <col min="19" max="19" width="9.28515625" style="4" bestFit="1" customWidth="1"/>
    <col min="20" max="20" width="11.140625" style="4" bestFit="1" customWidth="1"/>
    <col min="21" max="21" width="4.42578125" style="4" bestFit="1" customWidth="1"/>
    <col min="22" max="22" width="9.42578125" style="4" bestFit="1" customWidth="1"/>
    <col min="23" max="23" width="6" style="4" bestFit="1" customWidth="1"/>
    <col min="24" max="27" width="17" style="4" bestFit="1" customWidth="1"/>
    <col min="28" max="28" width="17" style="4" customWidth="1"/>
    <col min="29" max="29" width="7.28515625" style="4" bestFit="1" customWidth="1"/>
    <col min="30" max="30" width="5.85546875" style="4" bestFit="1" customWidth="1"/>
    <col min="31" max="31" width="6.7109375" style="4" bestFit="1" customWidth="1"/>
    <col min="32" max="32" width="12" style="4" bestFit="1" customWidth="1"/>
    <col min="33" max="16384" width="9.140625" style="4"/>
  </cols>
  <sheetData>
    <row r="1" spans="1:32" x14ac:dyDescent="0.15">
      <c r="A1" s="62" t="s">
        <v>70</v>
      </c>
      <c r="B1" s="233" t="s">
        <v>67</v>
      </c>
      <c r="C1" s="233" t="s">
        <v>68</v>
      </c>
      <c r="D1" s="233" t="s">
        <v>238</v>
      </c>
      <c r="E1" s="234" t="s">
        <v>39</v>
      </c>
      <c r="F1" s="234" t="s">
        <v>40</v>
      </c>
      <c r="G1" s="234" t="s">
        <v>41</v>
      </c>
      <c r="H1" s="234" t="s">
        <v>52</v>
      </c>
      <c r="I1" s="234" t="s">
        <v>34</v>
      </c>
      <c r="J1" s="234" t="s">
        <v>90</v>
      </c>
      <c r="K1" s="234" t="s">
        <v>43</v>
      </c>
      <c r="L1" s="234" t="s">
        <v>45</v>
      </c>
      <c r="M1" s="234" t="s">
        <v>0</v>
      </c>
      <c r="N1" s="234" t="s">
        <v>5</v>
      </c>
      <c r="O1" s="234" t="s">
        <v>6</v>
      </c>
      <c r="P1" s="235" t="s">
        <v>69</v>
      </c>
      <c r="Q1" s="234" t="s">
        <v>237</v>
      </c>
      <c r="R1" s="235" t="s">
        <v>84</v>
      </c>
      <c r="S1" s="235" t="s">
        <v>290</v>
      </c>
      <c r="T1" s="16"/>
      <c r="U1" s="105" t="s">
        <v>295</v>
      </c>
      <c r="V1" s="105" t="s">
        <v>238</v>
      </c>
      <c r="W1" s="105" t="s">
        <v>245</v>
      </c>
      <c r="X1" s="105" t="s">
        <v>241</v>
      </c>
      <c r="Y1" s="105" t="s">
        <v>242</v>
      </c>
      <c r="Z1" s="105" t="s">
        <v>243</v>
      </c>
      <c r="AA1" s="105" t="s">
        <v>244</v>
      </c>
      <c r="AB1" s="105" t="s">
        <v>296</v>
      </c>
      <c r="AC1" s="105" t="s">
        <v>156</v>
      </c>
      <c r="AD1" s="105" t="s">
        <v>157</v>
      </c>
      <c r="AE1" s="105" t="s">
        <v>145</v>
      </c>
      <c r="AF1" s="210" t="s">
        <v>240</v>
      </c>
    </row>
    <row r="2" spans="1:32" x14ac:dyDescent="0.15">
      <c r="A2" s="4" t="s">
        <v>206</v>
      </c>
      <c r="B2" s="211">
        <v>33.431467499999997</v>
      </c>
      <c r="C2" s="211">
        <v>73.231151800000006</v>
      </c>
      <c r="D2" s="216" t="str">
        <f>_xlfn.LET(
  _xlpm.lat, B2,
  _xlpm.lon, C2,
  _xlpm.lat_origin, 0,
  _xlpm.lon_origin, 0,
  _xlpm.cell_km, 1,
  _xlpm.lat_ref, 33.43,
  _xlpm.m_per_deg_lat, 111320,
  _xlpm.m_per_deg_lon_ref, 111320 * COS(RADIANS(_xlpm.lat_ref)),
  _xlpm.cell_m, _xlpm.cell_km * 1000,
  _xlpm.y_idx, FLOOR(((_xlpm.lat - _xlpm.lat_origin) * _xlpm.m_per_deg_lat) / _xlpm.cell_m, 1),
  _xlpm.x_idx, FLOOR(((_xlpm.lon - _xlpm.lon_origin) * _xlpm.m_per_deg_lon_ref) / _xlpm.cell_m, 1),
  _xlpm.y_idx &amp; "-" &amp; _xlpm.x_idx
)</f>
        <v>3721-6803</v>
      </c>
      <c r="E2" s="209" cm="1">
        <f t="array" ref="E2">_xlfn.XLOOKUP(1, (SensorLab[Sample_ID]=A2) * (SensorLab[Analyte]=$E$1), SensorLab[Final_Results], "Not Found")</f>
        <v>3.1230199999999999</v>
      </c>
      <c r="F2" s="209" cm="1">
        <f t="array" ref="F2">_xlfn.XLOOKUP(1, (SensorLab[Sample_ID]=A2) * (SensorLab[Analyte]=$F$1), SensorLab[Final_Results], "Not Found")</f>
        <v>5.7753500000000004</v>
      </c>
      <c r="G2" s="209" cm="1">
        <f t="array" ref="G2">_xlfn.XLOOKUP(1, (SensorLab[Sample_ID]=A2) * (SensorLab[Analyte]=$G$1), SensorLab[Final_Results], "Not Found")</f>
        <v>116.34125</v>
      </c>
      <c r="H2" s="209" cm="1">
        <f t="array" ref="H2">_xlfn.XLOOKUP(1, (SensorLab[Sample_ID]=A2) * (SensorLab[Analyte]=$H$1), SensorLab[Final_Results], "Not Found")</f>
        <v>1.0316099999999999</v>
      </c>
      <c r="I2" s="209" cm="1">
        <f t="array" ref="I2">_xlfn.XLOOKUP(1, (SensorLab[Sample_ID]=A2) * (SensorLab[Analyte]=$I$1), SensorLab[Final_Results], "Not Found")</f>
        <v>7.8571499999999999</v>
      </c>
      <c r="J2" s="209" cm="1">
        <f t="array" ref="J2">_xlfn.XLOOKUP(1, (SensorLab[Sample_ID]=A2) * (SensorLab[Analyte]=$J$1), SensorLab[Final_Results], "Not Found")</f>
        <v>15.48141</v>
      </c>
      <c r="K2" s="209" cm="1">
        <f t="array" ref="K2">_xlfn.XLOOKUP(1, (SensorLab[Sample_ID]=A2) * (SensorLab[Analyte]=$K$1), SensorLab[Final_Results], "Not Found")</f>
        <v>23.300160000000002</v>
      </c>
      <c r="L2" s="209" cm="1">
        <f t="array" ref="L2">_xlfn.XLOOKUP(1, (SensorLab[Sample_ID]=A2) * (SensorLab[Analyte]=$L$1), SensorLab[Final_Results], "Not Found")</f>
        <v>0.65447</v>
      </c>
      <c r="M2" s="209" cm="1">
        <f t="array" ref="M2">_xlfn.XLOOKUP(1, (SensorLab[Sample_ID]=A2) * (SensorLab[Analyte]=$M$1), SensorLab[Final_Results], "Not Found")</f>
        <v>52</v>
      </c>
      <c r="N2" s="209" cm="1">
        <f t="array" ref="N2">_xlfn.XLOOKUP(1, (SensorLab[Sample_ID]=A2) * (SensorLab[Analyte]=$N$1), SensorLab[Final_Results], "Not Found")</f>
        <v>33</v>
      </c>
      <c r="O2" s="209" cm="1">
        <f t="array" ref="O2">_xlfn.XLOOKUP(1, (SensorLab[Sample_ID]=A2) * (SensorLab[Analyte]=$O$1), SensorLab[Final_Results], "Not Found")</f>
        <v>15</v>
      </c>
      <c r="P2" s="51" t="str" cm="1">
        <f t="array" ref="P2">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Q2" s="209" t="str" cm="1">
        <f t="array" ref="Q2">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15.26</v>
      </c>
      <c r="R2" s="4" t="str" cm="1">
        <f t="array" ref="R2">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00%</v>
      </c>
      <c r="S2" s="4" t="str">
        <f t="shared" ref="S2:S37" si="0">_xlfn.LET(
   _xlpm.Dtxt, Q2,
   _xlpm.Ctxt, R2,
   _xlpm.Dnum, IFERROR(N(_xlpm.Dtxt), IFERROR(VALUE(SUBSTITUTE(_xlpm.Dtxt,"%",""))/100,"")),
   _xlpm.Dval, IF(_xlpm.Dnum="",NA(),N(_xlpm.Dnum)),
   _xlpm.Craw, IFERROR(
            IF(RIGHT(TRIM(_xlpm.Ctxt),1)="%",
               VALUE(SUBSTITUTE(TRIM(_xlpm.Ctxt),"%",""))/100,
               N(_xlpm.Ctxt)
            ),
            ""
         ),
   _xlpm.Cval, IF(_xlpm.Craw="",NA(),N(_xlpm.Craw)),
   _xlpm.distGood, 2,
   _xlpm.distPoor, 8,
   _xlpm.confHigh, 0.9,
   _xlpm.confLow, 0.5,
   _xlpm.result,
      IF(OR(ISNA(_xlpm.Dval),ISNA(_xlpm.Cval)),"Review: input",
         IF(AND(_xlpm.Dval&lt;=_xlpm.distGood,_xlpm.Cval&gt;=_xlpm.confHigh),"Suitable",
            IF(OR(_xlpm.Dval&gt;_xlpm.distPoor,_xlpm.Cval&lt;_xlpm.confLow),"Not Suitable","Moderate")
         )
      ),
   _xlpm.result
)</f>
        <v>Not Suitable</v>
      </c>
      <c r="U2" s="4">
        <v>1</v>
      </c>
      <c r="V2" s="216" t="s">
        <v>239</v>
      </c>
      <c r="W2" s="4">
        <f>COUNTIF($D$2:$D$644,V2)</f>
        <v>10</v>
      </c>
      <c r="X2" s="4" t="str">
        <f>_xlfn.LET(
  _xlpm.gi, V2,
  _xlpm.y_idx, VALUE(LEFT(_xlpm.gi, FIND("-", _xlpm.gi)-1)),
  _xlpm.x_idx, VALUE(MID(_xlpm.gi, FIND("-", _xlpm.gi)+1, 99)),
  _xlpm.lat_origin, 0,
  _xlpm.lon_origin, 0,
  _xlpm.cell_km, 1,
  _xlpm.lat_ref, 33.43,
  _xlpm.metres_per_deg_lat, 111.32 * 1000,
  _xlpm.metres_per_deg_lon_ref, 111.32 * 1000 * COS(RADIANS(_xlpm.lat_ref)),
  _xlpm.cell_m, _xlpm.cell_km * 1000,
  _xlpm.lat_center, _xlpm.lat_origin + ((_xlpm.y_idx + 0.5) * _xlpm.cell_m) / _xlpm.metres_per_deg_lat,
  _xlpm.lon_center, _xlpm.lon_origin + ((_xlpm.x_idx + 0.5) * _xlpm.cell_m) / _xlpm.metres_per_deg_lon_ref,
  _xlpm.dLat, (0.5 * _xlpm.cell_m) / _xlpm.metres_per_deg_lat,
  _xlpm.dLon, (0.5 * _xlpm.cell_m) / _xlpm.metres_per_deg_lon_ref,
  ROUND(_xlpm.lat_center + _xlpm.dLat, 6) &amp; ", " &amp; ROUND(_xlpm.lon_center - _xlpm.dLon, 6)
)</f>
        <v>33.435142, 73.226784</v>
      </c>
      <c r="Y2" s="4" t="str">
        <f>_xlfn.LET(
  _xlpm.gi, V2,
  _xlpm.y_idx, VALUE(LEFT(_xlpm.gi, FIND("-", _xlpm.gi)-1)),
  _xlpm.x_idx, VALUE(MID(_xlpm.gi, FIND("-", _xlpm.gi)+1, 99)),
  _xlpm.lat_origin, 0,
  _xlpm.lon_origin, 0,
  _xlpm.cell_km, 1,
  _xlpm.lat_ref, 33.43,
  _xlpm.metres_per_deg_lat, 111.32 * 1000,
  _xlpm.metres_per_deg_lon_ref, 111.32 * 1000 * COS(RADIANS(_xlpm.lat_ref)),
  _xlpm.cell_m, _xlpm.cell_km * 1000,
  _xlpm.lat_center, _xlpm.lat_origin + ((_xlpm.y_idx + 0.5) * _xlpm.cell_m) / _xlpm.metres_per_deg_lat,
  _xlpm.lon_center, _xlpm.lon_origin + ((_xlpm.x_idx + 0.5) * _xlpm.cell_m) / _xlpm.metres_per_deg_lon_ref,
  _xlpm.dLat, (0.5 * _xlpm.cell_m) / _xlpm.metres_per_deg_lat,
  _xlpm.dLon, (0.5 * _xlpm.cell_m) / _xlpm.metres_per_deg_lon_ref,
  ROUND(_xlpm.lat_center + _xlpm.dLat, 6) &amp; ", " &amp; ROUND(_xlpm.lon_center + _xlpm.dLon, 6)
)</f>
        <v>33.435142, 73.237548</v>
      </c>
      <c r="Z2" s="4" t="str">
        <f>_xlfn.LET(
  _xlpm.gi, V2,
  _xlpm.y_idx, VALUE(LEFT(_xlpm.gi, FIND("-", _xlpm.gi)-1)),
  _xlpm.x_idx, VALUE(MID(_xlpm.gi, FIND("-", _xlpm.gi)+1, 99)),
  _xlpm.lat_origin, 0,
  _xlpm.lon_origin, 0,
  _xlpm.cell_km, 1,                 _xlpm.lat_ref, 33.43,
  _xlpm.metres_per_deg_lat, 111.32 * 1000,
  _xlpm.metres_per_deg_lon_ref, 111.32 * 1000 * COS(RADIANS(_xlpm.lat_ref)),
  _xlpm.cell_m, _xlpm.cell_km * 1000,
  _xlpm.lat_center, _xlpm.lat_origin + ((_xlpm.y_idx + 0.5) * _xlpm.cell_m) / _xlpm.metres_per_deg_lat,
  _xlpm.lon_center, _xlpm.lon_origin + ((_xlpm.x_idx + 0.5) * _xlpm.cell_m) / _xlpm.metres_per_deg_lon_ref,
  _xlpm.dLat, (0.5 * _xlpm.cell_m) / _xlpm.metres_per_deg_lat,
  _xlpm.dLon, (0.5 * _xlpm.cell_m) / _xlpm.metres_per_deg_lon_ref,
  ROUND(_xlpm.lat_center - _xlpm.dLat, 6) &amp; ", " &amp; ROUND(_xlpm.lon_center - _xlpm.dLon, 6)
)</f>
        <v>33.426159, 73.226784</v>
      </c>
      <c r="AA2" s="4" t="str">
        <f>_xlfn.LET(
  _xlpm.gi, V2,
  _xlpm.y_idx, VALUE(LEFT(_xlpm.gi, FIND("-", _xlpm.gi)-1)),
  _xlpm.x_idx, VALUE(MID(_xlpm.gi, FIND("-", _xlpm.gi)+1, 99)),
  _xlpm.lat_origin, 0,
  _xlpm.lon_origin, 0,
  _xlpm.cell_km, 1,
  _xlpm.lat_ref, 33.43,
  _xlpm.metres_per_deg_lat, 111.32 * 1000,
  _xlpm.metres_per_deg_lon_ref, 111.32 * 1000 * COS(RADIANS(_xlpm.lat_ref)),
  _xlpm.cell_m, _xlpm.cell_km * 1000,
  _xlpm.lat_center, _xlpm.lat_origin + ((_xlpm.y_idx + 0.5) * _xlpm.cell_m) / _xlpm.metres_per_deg_lat,
  _xlpm.lon_center, _xlpm.lon_origin + ((_xlpm.x_idx + 0.5) * _xlpm.cell_m) / _xlpm.metres_per_deg_lon_ref,
  _xlpm.dLat, (0.5 * _xlpm.cell_m) / _xlpm.metres_per_deg_lat,
  _xlpm.dLon, (0.5 * _xlpm.cell_m) / _xlpm.metres_per_deg_lon_ref,
  ROUND(_xlpm.lat_center - _xlpm.dLat, 6) &amp; ", " &amp; ROUND(_xlpm.lon_center + _xlpm.dLon, 6)
)</f>
        <v>33.426159, 73.237548</v>
      </c>
      <c r="AB2" s="4" t="str">
        <f>_xlfn.LET(
  _xlpm.gi, V2,
  _xlpm.y_idx, VALUE(LEFT(_xlpm.gi, FIND("-", _xlpm.gi)-1)),
  _xlpm.x_idx, VALUE(MID(_xlpm.gi, FIND("-", _xlpm.gi)+1, 99)),
  _xlpm.lat_origin, 0,
  _xlpm.lon_origin, 0,
  _xlpm.cell_km, 1,
  _xlpm.lat_ref, 33.43,
  _xlpm.metres_per_deg_lat, 111.32 * 1000,
  _xlpm.metres_per_deg_lon_ref, 111.32 * 1000 * COS(RADIANS(_xlpm.lat_ref)),
  _xlpm.cell_m, _xlpm.cell_km * 1000,
  _xlpm.lat_center, _xlpm.lat_origin + ((_xlpm.y_idx + 0.5) * _xlpm.cell_m) / _xlpm.metres_per_deg_lat,
  _xlpm.lon_center, _xlpm.lon_origin + ((_xlpm.x_idx + 0.5) * _xlpm.cell_m) / _xlpm.metres_per_deg_lon_ref,
  TEXT(_xlpm.lat_center, "0.000000") &amp; ", " &amp; TEXT(_xlpm.lon_center, "0.000000")
)</f>
        <v>33.430650, 73.232166</v>
      </c>
      <c r="AC2" s="209" cm="1">
        <f t="array" ref="AC2">_xlfn.LET(
  _xlpm.w, MIN(MAX($R$2:$R$644,15%),70%) / MAX($Q$2:$Q$644,2.5),
  _xlpm.wm, SUMPRODUCT(($D$2:$D$644=V2)*$M$2:$M$644*_xlpm.w)/SUMPRODUCT(($D$2:$D$644=V2)*_xlpm.w),
  _xlpm.med, MEDIAN(IF($D$2:$D$644=V2,$M$2:$M$644)),
  0.6*_xlpm.wm + 0.4*_xlpm.med
)</f>
        <v>43.05</v>
      </c>
      <c r="AD2" s="209" cm="1">
        <f t="array" ref="AD2">_xlfn.LET(
  _xlpm.w, MIN(MAX($R$2:$R$644,15%),70%) / MAX($Q$2:$Q$644,2.5),
  _xlpm.wm, SUMPRODUCT(($D$2:$D$644=V2)*$N$2:$N$644*_xlpm.w)/SUMPRODUCT(($D$2:$D$644=V2)*_xlpm.w),
  _xlpm.med, MEDIAN(IF($D$2:$D$644=V2,$N$2:$N$644)),
  0.6*_xlpm.wm + 0.4*_xlpm.med
)</f>
        <v>34.049999999999997</v>
      </c>
      <c r="AE2" s="209" cm="1">
        <f t="array" ref="AE2">_xlfn.LET(
  _xlpm.w, MIN(MAX($R$2:$R$644,15%),70%) / MAX($Q$2:$Q$644,2.5),
  _xlpm.wm, SUMPRODUCT(($D$2:$D$644=V2)*$O$2:$O$644*_xlpm.w)/SUMPRODUCT(($D$2:$D$644=V2)*_xlpm.w),
  _xlpm.med, MEDIAN(IF($D$2:$D$644=V2,$O$2:$O$644)),
  0.6*_xlpm.wm + 0.4*_xlpm.med
)</f>
        <v>14.999999999999998</v>
      </c>
      <c r="AF2" s="4" t="str" cm="1">
        <f t="array" ref="AF2">_xlfn.LET(
  _xlpm.bs,AC2, _xlpm.si,AD2, _xlpm.c,AE2,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row>
    <row r="3" spans="1:32" x14ac:dyDescent="0.15">
      <c r="A3" s="4" t="s">
        <v>211</v>
      </c>
      <c r="B3" s="211">
        <v>33.431273099999999</v>
      </c>
      <c r="C3" s="211">
        <v>73.231076099999996</v>
      </c>
      <c r="D3" s="216" t="str">
        <f t="shared" ref="D3:D68" si="1">_xlfn.LET(
  _xlpm.lat, B3,
  _xlpm.lon, C3,
  _xlpm.lat_origin, 0,
  _xlpm.lon_origin, 0,
  _xlpm.cell_km, 1,
  _xlpm.lat_ref, 33.43,
  _xlpm.m_per_deg_lat, 111320,
  _xlpm.m_per_deg_lon_ref, 111320 * COS(RADIANS(_xlpm.lat_ref)),
  _xlpm.cell_m, _xlpm.cell_km * 1000,
  _xlpm.y_idx, FLOOR(((_xlpm.lat - _xlpm.lat_origin) * _xlpm.m_per_deg_lat) / _xlpm.cell_m, 1),
  _xlpm.x_idx, FLOOR(((_xlpm.lon - _xlpm.lon_origin) * _xlpm.m_per_deg_lon_ref) / _xlpm.cell_m, 1),
  _xlpm.y_idx &amp; "-" &amp; _xlpm.x_idx
)</f>
        <v>3721-6803</v>
      </c>
      <c r="E3" s="209" cm="1">
        <f t="array" ref="E3">_xlfn.XLOOKUP(1, (SensorLab[Sample_ID]=A3) * (SensorLab[Analyte]=$E$1), SensorLab[Final_Results], "Not Found")</f>
        <v>2</v>
      </c>
      <c r="F3" s="209" cm="1">
        <f t="array" ref="F3">_xlfn.XLOOKUP(1, (SensorLab[Sample_ID]=A3) * (SensorLab[Analyte]=$F$1), SensorLab[Final_Results], "Not Found")</f>
        <v>5.1498400000000002</v>
      </c>
      <c r="G3" s="209" cm="1">
        <f t="array" ref="G3">_xlfn.XLOOKUP(1, (SensorLab[Sample_ID]=A3) * (SensorLab[Analyte]=$G$1), SensorLab[Final_Results], "Not Found")</f>
        <v>108.17227</v>
      </c>
      <c r="H3" s="209" cm="1">
        <f t="array" ref="H3">_xlfn.XLOOKUP(1, (SensorLab[Sample_ID]=A3) * (SensorLab[Analyte]=$H$1), SensorLab[Final_Results], "Not Found")</f>
        <v>0.99753000000000003</v>
      </c>
      <c r="I3" s="209" cm="1">
        <f t="array" ref="I3">_xlfn.XLOOKUP(1, (SensorLab[Sample_ID]=A3) * (SensorLab[Analyte]=$I$1), SensorLab[Final_Results], "Not Found")</f>
        <v>7.8297299999999996</v>
      </c>
      <c r="J3" s="209" cm="1">
        <f t="array" ref="J3">_xlfn.XLOOKUP(1, (SensorLab[Sample_ID]=A3) * (SensorLab[Analyte]=$J$1), SensorLab[Final_Results], "Not Found")</f>
        <v>15.99174</v>
      </c>
      <c r="K3" s="209" cm="1">
        <f t="array" ref="K3">_xlfn.XLOOKUP(1, (SensorLab[Sample_ID]=A3) * (SensorLab[Analyte]=$K$1), SensorLab[Final_Results], "Not Found")</f>
        <v>20.299399999999999</v>
      </c>
      <c r="L3" s="209" cm="1">
        <f t="array" ref="L3">_xlfn.XLOOKUP(1, (SensorLab[Sample_ID]=A3) * (SensorLab[Analyte]=$L$1), SensorLab[Final_Results], "Not Found")</f>
        <v>0.6</v>
      </c>
      <c r="M3" s="209" cm="1">
        <f t="array" ref="M3">_xlfn.XLOOKUP(1, (SensorLab[Sample_ID]=A3) * (SensorLab[Analyte]=$M$1), SensorLab[Final_Results], "Not Found")</f>
        <v>0</v>
      </c>
      <c r="N3" s="209" cm="1">
        <f t="array" ref="N3">_xlfn.XLOOKUP(1, (SensorLab[Sample_ID]=A3) * (SensorLab[Analyte]=$N$1), SensorLab[Final_Results], "Not Found")</f>
        <v>0</v>
      </c>
      <c r="O3" s="209" cm="1">
        <f t="array" ref="O3">_xlfn.XLOOKUP(1, (SensorLab[Sample_ID]=A3) * (SensorLab[Analyte]=$O$1), SensorLab[Final_Results], "Not Found")</f>
        <v>0</v>
      </c>
      <c r="P3" s="51" t="str" cm="1">
        <f t="array" ref="P3">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Q3" s="209" t="str" cm="1">
        <f t="array" ref="Q3">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56.71</v>
      </c>
      <c r="R3" s="4" t="str" cm="1">
        <f t="array" ref="R3">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00%</v>
      </c>
      <c r="S3" s="4" t="str">
        <f t="shared" si="0"/>
        <v>Not Suitable</v>
      </c>
      <c r="U3" s="4">
        <f>U2+1</f>
        <v>2</v>
      </c>
      <c r="V3" s="216" t="s">
        <v>262</v>
      </c>
      <c r="W3" s="4">
        <f>COUNTIF($D$2:$D$644,V3)</f>
        <v>8</v>
      </c>
      <c r="X3" s="4" t="str">
        <f t="shared" ref="X3:X12" si="2">_xlfn.LET(
  _xlpm.gi, V3,
  _xlpm.y_idx, VALUE(LEFT(_xlpm.gi, FIND("-", _xlpm.gi)-1)),
  _xlpm.x_idx, VALUE(MID(_xlpm.gi, FIND("-", _xlpm.gi)+1, 99)),
  _xlpm.lat_origin, 0,
  _xlpm.lon_origin, 0,
  _xlpm.cell_km, 1,
  _xlpm.lat_ref, 33.43,
  _xlpm.metres_per_deg_lat, 111.32 * 1000,
  _xlpm.metres_per_deg_lon_ref, 111.32 * 1000 * COS(RADIANS(_xlpm.lat_ref)),
  _xlpm.cell_m, _xlpm.cell_km * 1000,
  _xlpm.lat_center, _xlpm.lat_origin + ((_xlpm.y_idx + 0.5) * _xlpm.cell_m) / _xlpm.metres_per_deg_lat,
  _xlpm.lon_center, _xlpm.lon_origin + ((_xlpm.x_idx + 0.5) * _xlpm.cell_m) / _xlpm.metres_per_deg_lon_ref,
  _xlpm.dLat, (0.5 * _xlpm.cell_m) / _xlpm.metres_per_deg_lat,
  _xlpm.dLon, (0.5 * _xlpm.cell_m) / _xlpm.metres_per_deg_lon_ref,
  ROUND(_xlpm.lat_center + _xlpm.dLat, 6) &amp; ", " &amp; ROUND(_xlpm.lon_center - _xlpm.dLon, 6)
)</f>
        <v>33.354294, 73.248311</v>
      </c>
      <c r="Y3" s="4" t="str">
        <f t="shared" ref="Y3:Y12" si="3">_xlfn.LET(
  _xlpm.gi, V3,
  _xlpm.y_idx, VALUE(LEFT(_xlpm.gi, FIND("-", _xlpm.gi)-1)),
  _xlpm.x_idx, VALUE(MID(_xlpm.gi, FIND("-", _xlpm.gi)+1, 99)),
  _xlpm.lat_origin, 0,
  _xlpm.lon_origin, 0,
  _xlpm.cell_km, 1,
  _xlpm.lat_ref, 33.43,
  _xlpm.metres_per_deg_lat, 111.32 * 1000,
  _xlpm.metres_per_deg_lon_ref, 111.32 * 1000 * COS(RADIANS(_xlpm.lat_ref)),
  _xlpm.cell_m, _xlpm.cell_km * 1000,
  _xlpm.lat_center, _xlpm.lat_origin + ((_xlpm.y_idx + 0.5) * _xlpm.cell_m) / _xlpm.metres_per_deg_lat,
  _xlpm.lon_center, _xlpm.lon_origin + ((_xlpm.x_idx + 0.5) * _xlpm.cell_m) / _xlpm.metres_per_deg_lon_ref,
  _xlpm.dLat, (0.5 * _xlpm.cell_m) / _xlpm.metres_per_deg_lat,
  _xlpm.dLon, (0.5 * _xlpm.cell_m) / _xlpm.metres_per_deg_lon_ref,
  ROUND(_xlpm.lat_center + _xlpm.dLat, 6) &amp; ", " &amp; ROUND(_xlpm.lon_center + _xlpm.dLon, 6)
)</f>
        <v>33.354294, 73.259075</v>
      </c>
      <c r="Z3" s="4" t="str">
        <f t="shared" ref="Z3:Z12" si="4">_xlfn.LET(
  _xlpm.gi, V3,
  _xlpm.y_idx, VALUE(LEFT(_xlpm.gi, FIND("-", _xlpm.gi)-1)),
  _xlpm.x_idx, VALUE(MID(_xlpm.gi, FIND("-", _xlpm.gi)+1, 99)),
  _xlpm.lat_origin, 0,
  _xlpm.lon_origin, 0,
  _xlpm.cell_km, 1,                 _xlpm.lat_ref, 33.43,
  _xlpm.metres_per_deg_lat, 111.32 * 1000,
  _xlpm.metres_per_deg_lon_ref, 111.32 * 1000 * COS(RADIANS(_xlpm.lat_ref)),
  _xlpm.cell_m, _xlpm.cell_km * 1000,
  _xlpm.lat_center, _xlpm.lat_origin + ((_xlpm.y_idx + 0.5) * _xlpm.cell_m) / _xlpm.metres_per_deg_lat,
  _xlpm.lon_center, _xlpm.lon_origin + ((_xlpm.x_idx + 0.5) * _xlpm.cell_m) / _xlpm.metres_per_deg_lon_ref,
  _xlpm.dLat, (0.5 * _xlpm.cell_m) / _xlpm.metres_per_deg_lat,
  _xlpm.dLon, (0.5 * _xlpm.cell_m) / _xlpm.metres_per_deg_lon_ref,
  ROUND(_xlpm.lat_center - _xlpm.dLat, 6) &amp; ", " &amp; ROUND(_xlpm.lon_center - _xlpm.dLon, 6)
)</f>
        <v>33.345311, 73.248311</v>
      </c>
      <c r="AA3" s="4" t="str">
        <f t="shared" ref="AA3:AA12" si="5">_xlfn.LET(
  _xlpm.gi, V3,
  _xlpm.y_idx, VALUE(LEFT(_xlpm.gi, FIND("-", _xlpm.gi)-1)),
  _xlpm.x_idx, VALUE(MID(_xlpm.gi, FIND("-", _xlpm.gi)+1, 99)),
  _xlpm.lat_origin, 0,
  _xlpm.lon_origin, 0,
  _xlpm.cell_km, 1,
  _xlpm.lat_ref, 33.43,
  _xlpm.metres_per_deg_lat, 111.32 * 1000,
  _xlpm.metres_per_deg_lon_ref, 111.32 * 1000 * COS(RADIANS(_xlpm.lat_ref)),
  _xlpm.cell_m, _xlpm.cell_km * 1000,
  _xlpm.lat_center, _xlpm.lat_origin + ((_xlpm.y_idx + 0.5) * _xlpm.cell_m) / _xlpm.metres_per_deg_lat,
  _xlpm.lon_center, _xlpm.lon_origin + ((_xlpm.x_idx + 0.5) * _xlpm.cell_m) / _xlpm.metres_per_deg_lon_ref,
  _xlpm.dLat, (0.5 * _xlpm.cell_m) / _xlpm.metres_per_deg_lat,
  _xlpm.dLon, (0.5 * _xlpm.cell_m) / _xlpm.metres_per_deg_lon_ref,
  ROUND(_xlpm.lat_center - _xlpm.dLat, 6) &amp; ", " &amp; ROUND(_xlpm.lon_center + _xlpm.dLon, 6)
)</f>
        <v>33.345311, 73.259075</v>
      </c>
      <c r="AB3" s="4" t="str">
        <f t="shared" ref="AB3:AB12" si="6">_xlfn.LET(
  _xlpm.gi, V3,
  _xlpm.y_idx, VALUE(LEFT(_xlpm.gi, FIND("-", _xlpm.gi)-1)),
  _xlpm.x_idx, VALUE(MID(_xlpm.gi, FIND("-", _xlpm.gi)+1, 99)),
  _xlpm.lat_origin, 0,
  _xlpm.lon_origin, 0,
  _xlpm.cell_km, 1,
  _xlpm.lat_ref, 33.43,
  _xlpm.metres_per_deg_lat, 111.32 * 1000,
  _xlpm.metres_per_deg_lon_ref, 111.32 * 1000 * COS(RADIANS(_xlpm.lat_ref)),
  _xlpm.cell_m, _xlpm.cell_km * 1000,
  _xlpm.lat_center, _xlpm.lat_origin + ((_xlpm.y_idx + 0.5) * _xlpm.cell_m) / _xlpm.metres_per_deg_lat,
  _xlpm.lon_center, _xlpm.lon_origin + ((_xlpm.x_idx + 0.5) * _xlpm.cell_m) / _xlpm.metres_per_deg_lon_ref,
  TEXT(_xlpm.lat_center, "0.000000") &amp; ", " &amp; TEXT(_xlpm.lon_center, "0.000000")
)</f>
        <v>33.349802, 73.253693</v>
      </c>
      <c r="AC3" s="209" cm="1">
        <f t="array" ref="AC3">_xlfn.LET(
  _xlpm.w, MIN(MAX($R$2:$R$644,15%),70%) / MAX($Q$2:$Q$644,2.5),
  _xlpm.wm, SUMPRODUCT(($D$2:$D$644=V3)*$M$2:$M$644*_xlpm.w)/SUMPRODUCT(($D$2:$D$644=V3)*_xlpm.w),
  _xlpm.med, MEDIAN(IF($D$2:$D$644=V3,$M$2:$M$644)),
  0.6*_xlpm.wm + 0.4*_xlpm.med
)</f>
        <v>25.912500000000001</v>
      </c>
      <c r="AD3" s="209" cm="1">
        <f t="array" ref="AD3">_xlfn.LET(
  _xlpm.w, MIN(MAX($R$2:$R$644,15%),70%) / MAX($Q$2:$Q$644,2.5),
  _xlpm.wm, SUMPRODUCT(($D$2:$D$644=V3)*$N$2:$N$644*_xlpm.w)/SUMPRODUCT(($D$2:$D$644=V3)*_xlpm.w),
  _xlpm.med, MEDIAN(IF($D$2:$D$644=V3,$N$2:$N$644)),
  0.6*_xlpm.wm + 0.4*_xlpm.med
)</f>
        <v>51.187499999999993</v>
      </c>
      <c r="AE3" s="209" cm="1">
        <f t="array" ref="AE3">_xlfn.LET(
  _xlpm.w, MIN(MAX($R$2:$R$644,15%),70%) / MAX($Q$2:$Q$644,2.5),
  _xlpm.wm, SUMPRODUCT(($D$2:$D$644=V3)*$O$2:$O$644*_xlpm.w)/SUMPRODUCT(($D$2:$D$644=V3)*_xlpm.w),
  _xlpm.med, MEDIAN(IF($D$2:$D$644=V3,$O$2:$O$644)),
  0.6*_xlpm.wm + 0.4*_xlpm.med
)</f>
        <v>18.9375</v>
      </c>
      <c r="AF3" s="4" t="str" cm="1">
        <f t="array" ref="AF3">_xlfn.LET(
  _xlpm.bs,AC3, _xlpm.si,AD3, _xlpm.c,AE3,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row>
    <row r="4" spans="1:32" x14ac:dyDescent="0.15">
      <c r="A4" s="4" t="s">
        <v>208</v>
      </c>
      <c r="B4" s="211">
        <v>33.431536700000002</v>
      </c>
      <c r="C4" s="211">
        <v>73.231251700000001</v>
      </c>
      <c r="D4" s="216" t="str">
        <f t="shared" si="1"/>
        <v>3721-6803</v>
      </c>
      <c r="E4" s="209" cm="1">
        <f t="array" ref="E4">_xlfn.XLOOKUP(1, (SensorLab[Sample_ID]=A4) * (SensorLab[Analyte]=$E$1), SensorLab[Final_Results], "Not Found")</f>
        <v>4.80755</v>
      </c>
      <c r="F4" s="209" cm="1">
        <f t="array" ref="F4">_xlfn.XLOOKUP(1, (SensorLab[Sample_ID]=A4) * (SensorLab[Analyte]=$F$1), SensorLab[Final_Results], "Not Found")</f>
        <v>6.4258699999999997</v>
      </c>
      <c r="G4" s="209" cm="1">
        <f t="array" ref="G4">_xlfn.XLOOKUP(1, (SensorLab[Sample_ID]=A4) * (SensorLab[Analyte]=$G$1), SensorLab[Final_Results], "Not Found")</f>
        <v>124.19604</v>
      </c>
      <c r="H4" s="209" cm="1">
        <f t="array" ref="H4">_xlfn.XLOOKUP(1, (SensorLab[Sample_ID]=A4) * (SensorLab[Analyte]=$H$1), SensorLab[Final_Results], "Not Found")</f>
        <v>1.0669900000000001</v>
      </c>
      <c r="I4" s="209" cm="1">
        <f t="array" ref="I4">_xlfn.XLOOKUP(1, (SensorLab[Sample_ID]=A4) * (SensorLab[Analyte]=$I$1), SensorLab[Final_Results], "Not Found")</f>
        <v>7.8297299999999996</v>
      </c>
      <c r="J4" s="209" cm="1">
        <f t="array" ref="J4">_xlfn.XLOOKUP(1, (SensorLab[Sample_ID]=A4) * (SensorLab[Analyte]=$J$1), SensorLab[Final_Results], "Not Found")</f>
        <v>13.440099999999999</v>
      </c>
      <c r="K4" s="209" cm="1">
        <f t="array" ref="K4">_xlfn.XLOOKUP(1, (SensorLab[Sample_ID]=A4) * (SensorLab[Analyte]=$K$1), SensorLab[Final_Results], "Not Found")</f>
        <v>27.301159999999999</v>
      </c>
      <c r="L4" s="209" cm="1">
        <f t="array" ref="L4">_xlfn.XLOOKUP(1, (SensorLab[Sample_ID]=A4) * (SensorLab[Analyte]=$L$1), SensorLab[Final_Results], "Not Found")</f>
        <v>0.73577999999999999</v>
      </c>
      <c r="M4" s="209" cm="1">
        <f t="array" ref="M4">_xlfn.XLOOKUP(1, (SensorLab[Sample_ID]=A4) * (SensorLab[Analyte]=$M$1), SensorLab[Final_Results], "Not Found")</f>
        <v>42.5</v>
      </c>
      <c r="N4" s="209" cm="1">
        <f t="array" ref="N4">_xlfn.XLOOKUP(1, (SensorLab[Sample_ID]=A4) * (SensorLab[Analyte]=$N$1), SensorLab[Final_Results], "Not Found")</f>
        <v>37.5</v>
      </c>
      <c r="O4" s="209" cm="1">
        <f t="array" ref="O4">_xlfn.XLOOKUP(1, (SensorLab[Sample_ID]=A4) * (SensorLab[Analyte]=$O$1), SensorLab[Final_Results], "Not Found")</f>
        <v>20</v>
      </c>
      <c r="P4" s="51" t="str" cm="1">
        <f t="array" ref="P4">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Q4" s="209" t="str" cm="1">
        <f t="array" ref="Q4">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06.02</v>
      </c>
      <c r="R4" s="4" t="str" cm="1">
        <f t="array" ref="R4">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100%</v>
      </c>
      <c r="S4" s="4" t="str">
        <f t="shared" si="0"/>
        <v>Suitable</v>
      </c>
      <c r="U4" s="4">
        <f t="shared" ref="U4:U12" si="7">U3+1</f>
        <v>3</v>
      </c>
      <c r="V4" s="216" t="s">
        <v>263</v>
      </c>
      <c r="W4" s="4">
        <f>COUNTIF($D$2:$D$644,V4)</f>
        <v>2</v>
      </c>
      <c r="X4" s="4" t="str">
        <f t="shared" si="2"/>
        <v>33.354294, 73.237548</v>
      </c>
      <c r="Y4" s="4" t="str">
        <f t="shared" si="3"/>
        <v>33.354294, 73.248311</v>
      </c>
      <c r="Z4" s="4" t="str">
        <f t="shared" si="4"/>
        <v>33.345311, 73.237548</v>
      </c>
      <c r="AA4" s="4" t="str">
        <f t="shared" si="5"/>
        <v>33.345311, 73.248311</v>
      </c>
      <c r="AB4" s="4" t="str">
        <f t="shared" si="6"/>
        <v>33.349802, 73.242929</v>
      </c>
      <c r="AC4" s="209" cm="1">
        <f t="array" ref="AC4">_xlfn.LET(
  _xlpm.w, MIN(MAX($R$2:$R$644,15%),70%) / MAX($Q$2:$Q$644,2.5),
  _xlpm.wm, SUMPRODUCT(($D$2:$D$644=V4)*$M$2:$M$644*_xlpm.w)/SUMPRODUCT(($D$2:$D$644=V4)*_xlpm.w),
  _xlpm.med, MEDIAN(IF($D$2:$D$644=V4,$M$2:$M$644)),
  0.6*_xlpm.wm + 0.4*_xlpm.med
)</f>
        <v>8.75</v>
      </c>
      <c r="AD4" s="209" cm="1">
        <f t="array" ref="AD4">_xlfn.LET(
  _xlpm.w, MIN(MAX($R$2:$R$644,15%),70%) / MAX($Q$2:$Q$644,2.5),
  _xlpm.wm, SUMPRODUCT(($D$2:$D$644=V4)*$N$2:$N$644*_xlpm.w)/SUMPRODUCT(($D$2:$D$644=V4)*_xlpm.w),
  _xlpm.med, MEDIAN(IF($D$2:$D$644=V4,$N$2:$N$644)),
  0.6*_xlpm.wm + 0.4*_xlpm.med
)</f>
        <v>68.75</v>
      </c>
      <c r="AE4" s="209" cm="1">
        <f t="array" ref="AE4">_xlfn.LET(
  _xlpm.w, MIN(MAX($R$2:$R$644,15%),70%) / MAX($Q$2:$Q$644,2.5),
  _xlpm.wm, SUMPRODUCT(($D$2:$D$644=V4)*$O$2:$O$644*_xlpm.w)/SUMPRODUCT(($D$2:$D$644=V4)*_xlpm.w),
  _xlpm.med, MEDIAN(IF($D$2:$D$644=V4,$O$2:$O$644)),
  0.6*_xlpm.wm + 0.4*_xlpm.med
)</f>
        <v>22.5</v>
      </c>
      <c r="AF4" s="4" t="str" cm="1">
        <f t="array" ref="AF4">_xlfn.LET(
  _xlpm.bs,AC4, _xlpm.si,AD4, _xlpm.c,AE4,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row>
    <row r="5" spans="1:32" x14ac:dyDescent="0.15">
      <c r="A5" s="4" t="s">
        <v>207</v>
      </c>
      <c r="B5" s="211">
        <v>33.431123700000001</v>
      </c>
      <c r="C5" s="211">
        <v>73.230875499999996</v>
      </c>
      <c r="D5" s="216" t="str">
        <f t="shared" si="1"/>
        <v>3721-6803</v>
      </c>
      <c r="E5" s="209" cm="1">
        <f t="array" ref="E5">_xlfn.XLOOKUP(1, (SensorLab[Sample_ID]=A5) * (SensorLab[Analyte]=$E$1), SensorLab[Final_Results], "Not Found")</f>
        <v>2.4211299999999998</v>
      </c>
      <c r="F5" s="209" cm="1">
        <f t="array" ref="F5">_xlfn.XLOOKUP(1, (SensorLab[Sample_ID]=A5) * (SensorLab[Analyte]=$F$1), SensorLab[Final_Results], "Not Found")</f>
        <v>5.4500799999999998</v>
      </c>
      <c r="G5" s="209" cm="1">
        <f t="array" ref="G5">_xlfn.XLOOKUP(1, (SensorLab[Sample_ID]=A5) * (SensorLab[Analyte]=$G$1), SensorLab[Final_Results], "Not Found")</f>
        <v>111.94257</v>
      </c>
      <c r="H5" s="209" cm="1">
        <f t="array" ref="H5">_xlfn.XLOOKUP(1, (SensorLab[Sample_ID]=A5) * (SensorLab[Analyte]=$H$1), SensorLab[Final_Results], "Not Found")</f>
        <v>1.0139100000000001</v>
      </c>
      <c r="I5" s="209" cm="1">
        <f t="array" ref="I5">_xlfn.XLOOKUP(1, (SensorLab[Sample_ID]=A5) * (SensorLab[Analyte]=$I$1), SensorLab[Final_Results], "Not Found")</f>
        <v>7.8297299999999996</v>
      </c>
      <c r="J5" s="209" cm="1">
        <f t="array" ref="J5">_xlfn.XLOOKUP(1, (SensorLab[Sample_ID]=A5) * (SensorLab[Analyte]=$J$1), SensorLab[Final_Results], "Not Found")</f>
        <v>15.48141</v>
      </c>
      <c r="K5" s="209" cm="1">
        <f t="array" ref="K5">_xlfn.XLOOKUP(1, (SensorLab[Sample_ID]=A5) * (SensorLab[Analyte]=$K$1), SensorLab[Final_Results], "Not Found")</f>
        <v>21.39968</v>
      </c>
      <c r="L5" s="209" cm="1">
        <f t="array" ref="L5">_xlfn.XLOOKUP(1, (SensorLab[Sample_ID]=A5) * (SensorLab[Analyte]=$L$1), SensorLab[Final_Results], "Not Found")</f>
        <v>0.62053000000000003</v>
      </c>
      <c r="M5" s="209" cm="1">
        <f t="array" ref="M5">_xlfn.XLOOKUP(1, (SensorLab[Sample_ID]=A5) * (SensorLab[Analyte]=$M$1), SensorLab[Final_Results], "Not Found")</f>
        <v>52</v>
      </c>
      <c r="N5" s="209" cm="1">
        <f t="array" ref="N5">_xlfn.XLOOKUP(1, (SensorLab[Sample_ID]=A5) * (SensorLab[Analyte]=$N$1), SensorLab[Final_Results], "Not Found")</f>
        <v>33</v>
      </c>
      <c r="O5" s="209" cm="1">
        <f t="array" ref="O5">_xlfn.XLOOKUP(1, (SensorLab[Sample_ID]=A5) * (SensorLab[Analyte]=$O$1), SensorLab[Final_Results], "Not Found")</f>
        <v>15</v>
      </c>
      <c r="P5" s="51" t="str" cm="1">
        <f t="array" ref="P5">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Q5" s="209" t="str" cm="1">
        <f t="array" ref="Q5">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15.26</v>
      </c>
      <c r="R5" s="4" t="str" cm="1">
        <f t="array" ref="R5">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00%</v>
      </c>
      <c r="S5" s="4" t="str">
        <f t="shared" si="0"/>
        <v>Not Suitable</v>
      </c>
      <c r="U5" s="4">
        <f t="shared" si="7"/>
        <v>4</v>
      </c>
      <c r="V5" s="216" t="s">
        <v>264</v>
      </c>
      <c r="W5" s="4">
        <f>COUNTIF($D$2:$D$644,V5)</f>
        <v>10</v>
      </c>
      <c r="X5" s="4" t="str">
        <f t="shared" si="2"/>
        <v>33.309378, 73.205256</v>
      </c>
      <c r="Y5" s="4" t="str">
        <f t="shared" si="3"/>
        <v>33.309378, 73.21602</v>
      </c>
      <c r="Z5" s="4" t="str">
        <f t="shared" si="4"/>
        <v>33.300395, 73.205256</v>
      </c>
      <c r="AA5" s="4" t="str">
        <f t="shared" si="5"/>
        <v>33.300395, 73.21602</v>
      </c>
      <c r="AB5" s="4" t="str">
        <f t="shared" si="6"/>
        <v>33.304887, 73.210638</v>
      </c>
      <c r="AC5" s="209" cm="1">
        <f t="array" ref="AC5">_xlfn.LET(
  _xlpm.w, MIN(MAX($R$2:$R$644,15%),70%) / MAX($Q$2:$Q$644,2.5),
  _xlpm.wm, SUMPRODUCT(($D$2:$D$644=V5)*$M$2:$M$644*_xlpm.w)/SUMPRODUCT(($D$2:$D$644=V5)*_xlpm.w),
  _xlpm.med, MEDIAN(IF($D$2:$D$644=V5,$M$2:$M$644)),
  0.6*_xlpm.wm + 0.4*_xlpm.med
)</f>
        <v>35.919999999999987</v>
      </c>
      <c r="AD5" s="209" cm="1">
        <f t="array" ref="AD5">_xlfn.LET(
  _xlpm.w, MIN(MAX($R$2:$R$644,15%),70%) / MAX($Q$2:$Q$644,2.5),
  _xlpm.wm, SUMPRODUCT(($D$2:$D$644=V5)*$N$2:$N$644*_xlpm.w)/SUMPRODUCT(($D$2:$D$644=V5)*_xlpm.w),
  _xlpm.med, MEDIAN(IF($D$2:$D$644=V5,$N$2:$N$644)),
  0.6*_xlpm.wm + 0.4*_xlpm.med
)</f>
        <v>39.129999999999995</v>
      </c>
      <c r="AE5" s="209" cm="1">
        <f t="array" ref="AE5">_xlfn.LET(
  _xlpm.w, MIN(MAX($R$2:$R$644,15%),70%) / MAX($Q$2:$Q$644,2.5),
  _xlpm.wm, SUMPRODUCT(($D$2:$D$644=V5)*$O$2:$O$644*_xlpm.w)/SUMPRODUCT(($D$2:$D$644=V5)*_xlpm.w),
  _xlpm.med, MEDIAN(IF($D$2:$D$644=V5,$O$2:$O$644)),
  0.6*_xlpm.wm + 0.4*_xlpm.med
)</f>
        <v>18.949999999999996</v>
      </c>
      <c r="AF5" s="4" t="str" cm="1">
        <f t="array" ref="AF5">_xlfn.LET(
  _xlpm.bs,AC5, _xlpm.si,AD5, _xlpm.c,AE5,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row>
    <row r="6" spans="1:32" x14ac:dyDescent="0.15">
      <c r="A6" s="4" t="s">
        <v>214</v>
      </c>
      <c r="B6" s="211">
        <v>33.431373299999997</v>
      </c>
      <c r="C6" s="211">
        <v>73.230481699999999</v>
      </c>
      <c r="D6" s="216" t="str">
        <f t="shared" si="1"/>
        <v>3721-6803</v>
      </c>
      <c r="E6" s="209" cm="1">
        <f t="array" ref="E6">_xlfn.XLOOKUP(1, (SensorLab[Sample_ID]=A6) * (SensorLab[Analyte]=$E$1), SensorLab[Final_Results], "Not Found")</f>
        <v>2</v>
      </c>
      <c r="F6" s="209" cm="1">
        <f t="array" ref="F6">_xlfn.XLOOKUP(1, (SensorLab[Sample_ID]=A6) * (SensorLab[Analyte]=$F$1), SensorLab[Final_Results], "Not Found")</f>
        <v>4.2491199999999996</v>
      </c>
      <c r="G6" s="209" cm="1">
        <f t="array" ref="G6">_xlfn.XLOOKUP(1, (SensorLab[Sample_ID]=A6) * (SensorLab[Analyte]=$G$1), SensorLab[Final_Results], "Not Found")</f>
        <v>97.80395</v>
      </c>
      <c r="H6" s="209" cm="1">
        <f t="array" ref="H6">_xlfn.XLOOKUP(1, (SensorLab[Sample_ID]=A6) * (SensorLab[Analyte]=$H$1), SensorLab[Final_Results], "Not Found")</f>
        <v>0.94969000000000003</v>
      </c>
      <c r="I6" s="209" cm="1">
        <f t="array" ref="I6">_xlfn.XLOOKUP(1, (SensorLab[Sample_ID]=A6) * (SensorLab[Analyte]=$I$1), SensorLab[Final_Results], "Not Found")</f>
        <v>7.8480100000000004</v>
      </c>
      <c r="J6" s="209" cm="1">
        <f t="array" ref="J6">_xlfn.XLOOKUP(1, (SensorLab[Sample_ID]=A6) * (SensorLab[Analyte]=$J$1), SensorLab[Final_Results], "Not Found")</f>
        <v>13.84836</v>
      </c>
      <c r="K6" s="209" cm="1">
        <f t="array" ref="K6">_xlfn.XLOOKUP(1, (SensorLab[Sample_ID]=A6) * (SensorLab[Analyte]=$K$1), SensorLab[Final_Results], "Not Found")</f>
        <v>16.99858</v>
      </c>
      <c r="L6" s="209" cm="1">
        <f t="array" ref="L6">_xlfn.XLOOKUP(1, (SensorLab[Sample_ID]=A6) * (SensorLab[Analyte]=$L$1), SensorLab[Final_Results], "Not Found")</f>
        <v>0.6</v>
      </c>
      <c r="M6" s="209" cm="1">
        <f t="array" ref="M6">_xlfn.XLOOKUP(1, (SensorLab[Sample_ID]=A6) * (SensorLab[Analyte]=$M$1), SensorLab[Final_Results], "Not Found")</f>
        <v>52</v>
      </c>
      <c r="N6" s="209" cm="1">
        <f t="array" ref="N6">_xlfn.XLOOKUP(1, (SensorLab[Sample_ID]=A6) * (SensorLab[Analyte]=$N$1), SensorLab[Final_Results], "Not Found")</f>
        <v>33</v>
      </c>
      <c r="O6" s="209" cm="1">
        <f t="array" ref="O6">_xlfn.XLOOKUP(1, (SensorLab[Sample_ID]=A6) * (SensorLab[Analyte]=$O$1), SensorLab[Final_Results], "Not Found")</f>
        <v>15</v>
      </c>
      <c r="P6" s="51" t="str" cm="1">
        <f t="array" ref="P6">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Q6" s="209" t="str" cm="1">
        <f t="array" ref="Q6">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15.26</v>
      </c>
      <c r="R6" s="4" t="str" cm="1">
        <f t="array" ref="R6">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00%</v>
      </c>
      <c r="S6" s="4" t="str">
        <f t="shared" si="0"/>
        <v>Not Suitable</v>
      </c>
      <c r="U6" s="4">
        <f t="shared" si="7"/>
        <v>5</v>
      </c>
      <c r="V6" s="216" t="s">
        <v>341</v>
      </c>
      <c r="W6" s="4">
        <f>COUNTIF($D$2:$D$644,V6)</f>
        <v>4</v>
      </c>
      <c r="X6" s="4" t="str">
        <f t="shared" si="2"/>
        <v>31.404959, 73.043797</v>
      </c>
      <c r="Y6" s="4" t="str">
        <f t="shared" si="3"/>
        <v>31.404959, 73.054561</v>
      </c>
      <c r="Z6" s="4" t="str">
        <f t="shared" si="4"/>
        <v>31.395976, 73.043797</v>
      </c>
      <c r="AA6" s="4" t="str">
        <f t="shared" si="5"/>
        <v>31.395976, 73.054561</v>
      </c>
      <c r="AB6" s="4" t="str">
        <f t="shared" si="6"/>
        <v>31.400467, 73.049179</v>
      </c>
      <c r="AC6" s="209" cm="1">
        <f t="array" ref="AC6">_xlfn.LET(
  _xlpm.w, MIN(MAX($R$2:$R$644,15%),70%) / MAX($Q$2:$Q$644,2.5),
  _xlpm.wm, SUMPRODUCT(($D$2:$D$644=V6)*$M$2:$M$644*_xlpm.w)/SUMPRODUCT(($D$2:$D$644=V6)*_xlpm.w),
  _xlpm.med, MEDIAN(IF($D$2:$D$644=V6,$M$2:$M$644)),
  0.6*_xlpm.wm + 0.4*_xlpm.med
)</f>
        <v>0</v>
      </c>
      <c r="AD6" s="209" cm="1">
        <f t="array" ref="AD6">_xlfn.LET(
  _xlpm.w, MIN(MAX($R$2:$R$644,15%),70%) / MAX($Q$2:$Q$644,2.5),
  _xlpm.wm, SUMPRODUCT(($D$2:$D$644=V6)*$N$2:$N$644*_xlpm.w)/SUMPRODUCT(($D$2:$D$644=V6)*_xlpm.w),
  _xlpm.med, MEDIAN(IF($D$2:$D$644=V6,$N$2:$N$644)),
  0.6*_xlpm.wm + 0.4*_xlpm.med
)</f>
        <v>0</v>
      </c>
      <c r="AE6" s="209" cm="1">
        <f t="array" ref="AE6">_xlfn.LET(
  _xlpm.w, MIN(MAX($R$2:$R$644,15%),70%) / MAX($Q$2:$Q$644,2.5),
  _xlpm.wm, SUMPRODUCT(($D$2:$D$644=V6)*$O$2:$O$644*_xlpm.w)/SUMPRODUCT(($D$2:$D$644=V6)*_xlpm.w),
  _xlpm.med, MEDIAN(IF($D$2:$D$644=V6,$O$2:$O$644)),
  0.6*_xlpm.wm + 0.4*_xlpm.med
)</f>
        <v>0</v>
      </c>
      <c r="AF6" s="4" t="str" cm="1">
        <f t="array" ref="AF6">_xlfn.LET(
  _xlpm.bs,AC6, _xlpm.si,AD6, _xlpm.c,AE6,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row>
    <row r="7" spans="1:32" x14ac:dyDescent="0.15">
      <c r="A7" s="4" t="s">
        <v>209</v>
      </c>
      <c r="B7" s="213">
        <v>33.430964000000003</v>
      </c>
      <c r="C7" s="213">
        <v>73.230722600000007</v>
      </c>
      <c r="D7" s="216" t="str">
        <f t="shared" si="1"/>
        <v>3721-6803</v>
      </c>
      <c r="E7" s="209" cm="1">
        <f t="array" ref="E7">_xlfn.XLOOKUP(1, (SensorLab[Sample_ID]=A7) * (SensorLab[Analyte]=$E$1), SensorLab[Final_Results], "Not Found")</f>
        <v>2</v>
      </c>
      <c r="F7" s="209" cm="1">
        <f t="array" ref="F7">_xlfn.XLOOKUP(1, (SensorLab[Sample_ID]=A7) * (SensorLab[Analyte]=$F$1), SensorLab[Final_Results], "Not Found")</f>
        <v>5.0747799999999996</v>
      </c>
      <c r="G7" s="209" cm="1">
        <f t="array" ref="G7">_xlfn.XLOOKUP(1, (SensorLab[Sample_ID]=A7) * (SensorLab[Analyte]=$G$1), SensorLab[Final_Results], "Not Found")</f>
        <v>107.22969999999999</v>
      </c>
      <c r="H7" s="209" cm="1">
        <f t="array" ref="H7">_xlfn.XLOOKUP(1, (SensorLab[Sample_ID]=A7) * (SensorLab[Analyte]=$H$1), SensorLab[Final_Results], "Not Found")</f>
        <v>0.99360000000000004</v>
      </c>
      <c r="I7" s="209" cm="1">
        <f t="array" ref="I7">_xlfn.XLOOKUP(1, (SensorLab[Sample_ID]=A7) * (SensorLab[Analyte]=$I$1), SensorLab[Final_Results], "Not Found")</f>
        <v>7.81602</v>
      </c>
      <c r="J7" s="209" cm="1">
        <f t="array" ref="J7">_xlfn.XLOOKUP(1, (SensorLab[Sample_ID]=A7) * (SensorLab[Analyte]=$J$1), SensorLab[Final_Results], "Not Found")</f>
        <v>15.889670000000001</v>
      </c>
      <c r="K7" s="209" cm="1">
        <f t="array" ref="K7">_xlfn.XLOOKUP(1, (SensorLab[Sample_ID]=A7) * (SensorLab[Analyte]=$K$1), SensorLab[Final_Results], "Not Found")</f>
        <v>20.799530000000001</v>
      </c>
      <c r="L7" s="209" cm="1">
        <f t="array" ref="L7">_xlfn.XLOOKUP(1, (SensorLab[Sample_ID]=A7) * (SensorLab[Analyte]=$L$1), SensorLab[Final_Results], "Not Found")</f>
        <v>0.6</v>
      </c>
      <c r="M7" s="209" cm="1">
        <f t="array" ref="M7">_xlfn.XLOOKUP(1, (SensorLab[Sample_ID]=A7) * (SensorLab[Analyte]=$M$1), SensorLab[Final_Results], "Not Found")</f>
        <v>42.5</v>
      </c>
      <c r="N7" s="209" cm="1">
        <f t="array" ref="N7">_xlfn.XLOOKUP(1, (SensorLab[Sample_ID]=A7) * (SensorLab[Analyte]=$N$1), SensorLab[Final_Results], "Not Found")</f>
        <v>37.5</v>
      </c>
      <c r="O7" s="209" cm="1">
        <f t="array" ref="O7">_xlfn.XLOOKUP(1, (SensorLab[Sample_ID]=A7) * (SensorLab[Analyte]=$O$1), SensorLab[Final_Results], "Not Found")</f>
        <v>20</v>
      </c>
      <c r="P7" s="51" t="str" cm="1">
        <f t="array" ref="P7">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Q7" s="209" t="str" cm="1">
        <f t="array" ref="Q7">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06.02</v>
      </c>
      <c r="R7" s="4" t="str" cm="1">
        <f t="array" ref="R7">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100%</v>
      </c>
      <c r="S7" s="4" t="str">
        <f t="shared" si="0"/>
        <v>Suitable</v>
      </c>
      <c r="U7" s="4">
        <f t="shared" si="7"/>
        <v>6</v>
      </c>
      <c r="V7" s="216" t="s">
        <v>282</v>
      </c>
      <c r="W7" s="4">
        <f>COUNTIF($D$2:$D$644,V7)</f>
        <v>6</v>
      </c>
      <c r="X7" s="4" t="str">
        <f t="shared" si="2"/>
        <v>33.821416, 72.602478</v>
      </c>
      <c r="Y7" s="4" t="str">
        <f t="shared" si="3"/>
        <v>33.821416, 72.613242</v>
      </c>
      <c r="Z7" s="4" t="str">
        <f t="shared" si="4"/>
        <v>33.812433, 72.602478</v>
      </c>
      <c r="AA7" s="4" t="str">
        <f t="shared" si="5"/>
        <v>33.812433, 72.613242</v>
      </c>
      <c r="AB7" s="4" t="str">
        <f t="shared" si="6"/>
        <v>33.816924, 72.607860</v>
      </c>
      <c r="AC7" s="209" cm="1">
        <f t="array" ref="AC7">_xlfn.LET(
  _xlpm.w, MIN(MAX($R$2:$R$644,15%),70%) / MAX($Q$2:$Q$644,2.5),
  _xlpm.wm, SUMPRODUCT(($D$2:$D$644=V7)*$M$2:$M$644*_xlpm.w)/SUMPRODUCT(($D$2:$D$644=V7)*_xlpm.w),
  _xlpm.med, MEDIAN(IF($D$2:$D$644=V7,$M$2:$M$644)),
  0.6*_xlpm.wm + 0.4*_xlpm.med
)</f>
        <v>17.5</v>
      </c>
      <c r="AD7" s="209" cm="1">
        <f t="array" ref="AD7">_xlfn.LET(
  _xlpm.w, MIN(MAX($R$2:$R$644,15%),70%) / MAX($Q$2:$Q$644,2.5),
  _xlpm.wm, SUMPRODUCT(($D$2:$D$644=V7)*$N$2:$N$644*_xlpm.w)/SUMPRODUCT(($D$2:$D$644=V7)*_xlpm.w),
  _xlpm.med, MEDIAN(IF($D$2:$D$644=V7,$N$2:$N$644)),
  0.6*_xlpm.wm + 0.4*_xlpm.med
)</f>
        <v>36.75</v>
      </c>
      <c r="AE7" s="209" cm="1">
        <f t="array" ref="AE7">_xlfn.LET(
  _xlpm.w, MIN(MAX($R$2:$R$644,15%),70%) / MAX($Q$2:$Q$644,2.5),
  _xlpm.wm, SUMPRODUCT(($D$2:$D$644=V7)*$O$2:$O$644*_xlpm.w)/SUMPRODUCT(($D$2:$D$644=V7)*_xlpm.w),
  _xlpm.med, MEDIAN(IF($D$2:$D$644=V7,$O$2:$O$644)),
  0.6*_xlpm.wm + 0.4*_xlpm.med
)</f>
        <v>10.75</v>
      </c>
      <c r="AF7" s="4" t="str" cm="1">
        <f t="array" ref="AF7">_xlfn.LET(
  _xlpm.bs,AC7, _xlpm.si,AD7, _xlpm.c,AE7,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row>
    <row r="8" spans="1:32" x14ac:dyDescent="0.15">
      <c r="A8" s="4" t="s">
        <v>213</v>
      </c>
      <c r="B8" s="213">
        <v>33.431045500000003</v>
      </c>
      <c r="C8" s="213">
        <v>73.230334900000003</v>
      </c>
      <c r="D8" s="216" t="str">
        <f t="shared" si="1"/>
        <v>3721-6803</v>
      </c>
      <c r="E8" s="209" cm="1">
        <f t="array" ref="E8">_xlfn.XLOOKUP(1, (SensorLab[Sample_ID]=A8) * (SensorLab[Analyte]=$E$1), SensorLab[Final_Results], "Not Found")</f>
        <v>5.7901899999999999</v>
      </c>
      <c r="F8" s="209" cm="1">
        <f t="array" ref="F8">_xlfn.XLOOKUP(1, (SensorLab[Sample_ID]=A8) * (SensorLab[Analyte]=$F$1), SensorLab[Final_Results], "Not Found")</f>
        <v>6.8261900000000004</v>
      </c>
      <c r="G8" s="209" cm="1">
        <f t="array" ref="G8">_xlfn.XLOOKUP(1, (SensorLab[Sample_ID]=A8) * (SensorLab[Analyte]=$G$1), SensorLab[Final_Results], "Not Found")</f>
        <v>129.53729999999999</v>
      </c>
      <c r="H8" s="209" cm="1">
        <f t="array" ref="H8">_xlfn.XLOOKUP(1, (SensorLab[Sample_ID]=A8) * (SensorLab[Analyte]=$H$1), SensorLab[Final_Results], "Not Found")</f>
        <v>1.08928</v>
      </c>
      <c r="I8" s="209" cm="1">
        <f t="array" ref="I8">_xlfn.XLOOKUP(1, (SensorLab[Sample_ID]=A8) * (SensorLab[Analyte]=$I$1), SensorLab[Final_Results], "Not Found")</f>
        <v>7.83887</v>
      </c>
      <c r="J8" s="209" cm="1">
        <f t="array" ref="J8">_xlfn.XLOOKUP(1, (SensorLab[Sample_ID]=A8) * (SensorLab[Analyte]=$J$1), SensorLab[Final_Results], "Not Found")</f>
        <v>15.17521</v>
      </c>
      <c r="K8" s="209" cm="1">
        <f t="array" ref="K8">_xlfn.XLOOKUP(1, (SensorLab[Sample_ID]=A8) * (SensorLab[Analyte]=$K$1), SensorLab[Final_Results], "Not Found")</f>
        <v>27.301159999999999</v>
      </c>
      <c r="L8" s="209" cm="1">
        <f t="array" ref="L8">_xlfn.XLOOKUP(1, (SensorLab[Sample_ID]=A8) * (SensorLab[Analyte]=$L$1), SensorLab[Final_Results], "Not Found")</f>
        <v>0.78351000000000004</v>
      </c>
      <c r="M8" s="209" cm="1">
        <f t="array" ref="M8">_xlfn.XLOOKUP(1, (SensorLab[Sample_ID]=A8) * (SensorLab[Analyte]=$M$1), SensorLab[Final_Results], "Not Found")</f>
        <v>42.5</v>
      </c>
      <c r="N8" s="209" cm="1">
        <f t="array" ref="N8">_xlfn.XLOOKUP(1, (SensorLab[Sample_ID]=A8) * (SensorLab[Analyte]=$N$1), SensorLab[Final_Results], "Not Found")</f>
        <v>37.5</v>
      </c>
      <c r="O8" s="209" cm="1">
        <f t="array" ref="O8">_xlfn.XLOOKUP(1, (SensorLab[Sample_ID]=A8) * (SensorLab[Analyte]=$O$1), SensorLab[Final_Results], "Not Found")</f>
        <v>20</v>
      </c>
      <c r="P8" s="51" t="str" cm="1">
        <f t="array" ref="P8">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Q8" s="209" t="str" cm="1">
        <f t="array" ref="Q8">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06.02</v>
      </c>
      <c r="R8" s="4" t="str" cm="1">
        <f t="array" ref="R8">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100%</v>
      </c>
      <c r="S8" s="4" t="str">
        <f t="shared" si="0"/>
        <v>Suitable</v>
      </c>
      <c r="U8" s="4">
        <f t="shared" si="7"/>
        <v>7</v>
      </c>
      <c r="V8" s="216" t="s">
        <v>283</v>
      </c>
      <c r="W8" s="4">
        <f>COUNTIF($D$2:$D$644,V8)</f>
        <v>1</v>
      </c>
      <c r="X8" s="4" t="str">
        <f t="shared" si="2"/>
        <v>33.821416, 72.537894</v>
      </c>
      <c r="Y8" s="4" t="str">
        <f t="shared" si="3"/>
        <v>33.821416, 72.548658</v>
      </c>
      <c r="Z8" s="4" t="str">
        <f t="shared" si="4"/>
        <v>33.812433, 72.537894</v>
      </c>
      <c r="AA8" s="4" t="str">
        <f t="shared" si="5"/>
        <v>33.812433, 72.548658</v>
      </c>
      <c r="AB8" s="4" t="str">
        <f t="shared" si="6"/>
        <v>33.816924, 72.543276</v>
      </c>
      <c r="AC8" s="209" cm="1">
        <f t="array" ref="AC8">_xlfn.LET(
  _xlpm.w, MIN(MAX($R$2:$R$644,15%),70%) / MAX($Q$2:$Q$644,2.5),
  _xlpm.wm, SUMPRODUCT(($D$2:$D$644=V8)*$M$2:$M$644*_xlpm.w)/SUMPRODUCT(($D$2:$D$644=V8)*_xlpm.w),
  _xlpm.med, MEDIAN(IF($D$2:$D$644=V8,$M$2:$M$644)),
  0.6*_xlpm.wm + 0.4*_xlpm.med
)</f>
        <v>52.5</v>
      </c>
      <c r="AD8" s="209" cm="1">
        <f t="array" ref="AD8">_xlfn.LET(
  _xlpm.w, MIN(MAX($R$2:$R$644,15%),70%) / MAX($Q$2:$Q$644,2.5),
  _xlpm.wm, SUMPRODUCT(($D$2:$D$644=V8)*$N$2:$N$644*_xlpm.w)/SUMPRODUCT(($D$2:$D$644=V8)*_xlpm.w),
  _xlpm.med, MEDIAN(IF($D$2:$D$644=V8,$N$2:$N$644)),
  0.6*_xlpm.wm + 0.4*_xlpm.med
)</f>
        <v>35</v>
      </c>
      <c r="AE8" s="209" cm="1">
        <f t="array" ref="AE8">_xlfn.LET(
  _xlpm.w, MIN(MAX($R$2:$R$644,15%),70%) / MAX($Q$2:$Q$644,2.5),
  _xlpm.wm, SUMPRODUCT(($D$2:$D$644=V8)*$O$2:$O$644*_xlpm.w)/SUMPRODUCT(($D$2:$D$644=V8)*_xlpm.w),
  _xlpm.med, MEDIAN(IF($D$2:$D$644=V8,$O$2:$O$644)),
  0.6*_xlpm.wm + 0.4*_xlpm.med
)</f>
        <v>12.5</v>
      </c>
      <c r="AF8" s="4" t="str" cm="1">
        <f t="array" ref="AF8">_xlfn.LET(
  _xlpm.bs,AC8, _xlpm.si,AD8, _xlpm.c,AE8,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row>
    <row r="9" spans="1:32" x14ac:dyDescent="0.15">
      <c r="A9" s="4" t="s">
        <v>210</v>
      </c>
      <c r="B9" s="213">
        <v>33.430646699999997</v>
      </c>
      <c r="C9" s="213">
        <v>73.230173800000003</v>
      </c>
      <c r="D9" s="216" t="str">
        <f t="shared" si="1"/>
        <v>3721-6803</v>
      </c>
      <c r="E9" s="209" cm="1">
        <f t="array" ref="E9">_xlfn.XLOOKUP(1, (SensorLab[Sample_ID]=A9) * (SensorLab[Analyte]=$E$1), SensorLab[Final_Results], "Not Found")</f>
        <v>2</v>
      </c>
      <c r="F9" s="209" cm="1">
        <f t="array" ref="F9">_xlfn.XLOOKUP(1, (SensorLab[Sample_ID]=A9) * (SensorLab[Analyte]=$F$1), SensorLab[Final_Results], "Not Found")</f>
        <v>4.3742200000000002</v>
      </c>
      <c r="G9" s="209" cm="1">
        <f t="array" ref="G9">_xlfn.XLOOKUP(1, (SensorLab[Sample_ID]=A9) * (SensorLab[Analyte]=$G$1), SensorLab[Final_Results], "Not Found")</f>
        <v>98.432339999999996</v>
      </c>
      <c r="H9" s="209" cm="1">
        <f t="array" ref="H9">_xlfn.XLOOKUP(1, (SensorLab[Sample_ID]=A9) * (SensorLab[Analyte]=$H$1), SensorLab[Final_Results], "Not Found")</f>
        <v>0.95559000000000005</v>
      </c>
      <c r="I9" s="209" cm="1">
        <f t="array" ref="I9">_xlfn.XLOOKUP(1, (SensorLab[Sample_ID]=A9) * (SensorLab[Analyte]=$I$1), SensorLab[Final_Results], "Not Found")</f>
        <v>7.8251600000000003</v>
      </c>
      <c r="J9" s="209" cm="1">
        <f t="array" ref="J9">_xlfn.XLOOKUP(1, (SensorLab[Sample_ID]=A9) * (SensorLab[Analyte]=$J$1), SensorLab[Final_Results], "Not Found")</f>
        <v>17.216519999999999</v>
      </c>
      <c r="K9" s="209" cm="1">
        <f t="array" ref="K9">_xlfn.XLOOKUP(1, (SensorLab[Sample_ID]=A9) * (SensorLab[Analyte]=$K$1), SensorLab[Final_Results], "Not Found")</f>
        <v>19.99933</v>
      </c>
      <c r="L9" s="209" cm="1">
        <f t="array" ref="L9">_xlfn.XLOOKUP(1, (SensorLab[Sample_ID]=A9) * (SensorLab[Analyte]=$L$1), SensorLab[Final_Results], "Not Found")</f>
        <v>0.6</v>
      </c>
      <c r="M9" s="209" cm="1">
        <f t="array" ref="M9">_xlfn.XLOOKUP(1, (SensorLab[Sample_ID]=A9) * (SensorLab[Analyte]=$M$1), SensorLab[Final_Results], "Not Found")</f>
        <v>52</v>
      </c>
      <c r="N9" s="209" cm="1">
        <f t="array" ref="N9">_xlfn.XLOOKUP(1, (SensorLab[Sample_ID]=A9) * (SensorLab[Analyte]=$N$1), SensorLab[Final_Results], "Not Found")</f>
        <v>33</v>
      </c>
      <c r="O9" s="209" cm="1">
        <f t="array" ref="O9">_xlfn.XLOOKUP(1, (SensorLab[Sample_ID]=A9) * (SensorLab[Analyte]=$O$1), SensorLab[Final_Results], "Not Found")</f>
        <v>15</v>
      </c>
      <c r="P9" s="51" t="str" cm="1">
        <f t="array" ref="P9">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Q9" s="209" t="str" cm="1">
        <f t="array" ref="Q9">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15.26</v>
      </c>
      <c r="R9" s="4" t="str" cm="1">
        <f t="array" ref="R9">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00%</v>
      </c>
      <c r="S9" s="4" t="str">
        <f t="shared" si="0"/>
        <v>Not Suitable</v>
      </c>
      <c r="U9" s="4">
        <f t="shared" si="7"/>
        <v>8</v>
      </c>
      <c r="V9" s="216" t="s">
        <v>284</v>
      </c>
      <c r="W9" s="4">
        <f>COUNTIF($D$2:$D$644,V9)</f>
        <v>6</v>
      </c>
      <c r="X9" s="4" t="str">
        <f t="shared" si="2"/>
        <v>33.848365, 72.451783</v>
      </c>
      <c r="Y9" s="4" t="str">
        <f t="shared" si="3"/>
        <v>33.848365, 72.462547</v>
      </c>
      <c r="Z9" s="4" t="str">
        <f t="shared" si="4"/>
        <v>33.839382, 72.451783</v>
      </c>
      <c r="AA9" s="4" t="str">
        <f t="shared" si="5"/>
        <v>33.839382, 72.462547</v>
      </c>
      <c r="AB9" s="4" t="str">
        <f t="shared" si="6"/>
        <v>33.843874, 72.457165</v>
      </c>
      <c r="AC9" s="209" cm="1">
        <f t="array" ref="AC9">_xlfn.LET(
  _xlpm.w, MIN(MAX($R$2:$R$644,15%),70%) / MAX($Q$2:$Q$644,2.5),
  _xlpm.wm, SUMPRODUCT(($D$2:$D$644=V9)*$M$2:$M$644*_xlpm.w)/SUMPRODUCT(($D$2:$D$644=V9)*_xlpm.w),
  _xlpm.med, MEDIAN(IF($D$2:$D$644=V9,$M$2:$M$644)),
  0.6*_xlpm.wm + 0.4*_xlpm.med
)</f>
        <v>22.2</v>
      </c>
      <c r="AD9" s="209" cm="1">
        <f t="array" ref="AD9">_xlfn.LET(
  _xlpm.w, MIN(MAX($R$2:$R$644,15%),70%) / MAX($Q$2:$Q$644,2.5),
  _xlpm.wm, SUMPRODUCT(($D$2:$D$644=V9)*$N$2:$N$644*_xlpm.w)/SUMPRODUCT(($D$2:$D$644=V9)*_xlpm.w),
  _xlpm.med, MEDIAN(IF($D$2:$D$644=V9,$N$2:$N$644)),
  0.6*_xlpm.wm + 0.4*_xlpm.med
)</f>
        <v>12.649999999999999</v>
      </c>
      <c r="AE9" s="209" cm="1">
        <f t="array" ref="AE9">_xlfn.LET(
  _xlpm.w, MIN(MAX($R$2:$R$644,15%),70%) / MAX($Q$2:$Q$644,2.5),
  _xlpm.wm, SUMPRODUCT(($D$2:$D$644=V9)*$O$2:$O$644*_xlpm.w)/SUMPRODUCT(($D$2:$D$644=V9)*_xlpm.w),
  _xlpm.med, MEDIAN(IF($D$2:$D$644=V9,$O$2:$O$644)),
  0.6*_xlpm.wm + 0.4*_xlpm.med
)</f>
        <v>4.25</v>
      </c>
      <c r="AF9" s="4" t="str" cm="1">
        <f t="array" ref="AF9">_xlfn.LET(
  _xlpm.bs,AC9, _xlpm.si,AD9, _xlpm.c,AE9,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row>
    <row r="10" spans="1:32" x14ac:dyDescent="0.15">
      <c r="A10" s="4" t="s">
        <v>215</v>
      </c>
      <c r="B10" s="213">
        <v>33.4306549</v>
      </c>
      <c r="C10" s="213">
        <v>73.230042299999994</v>
      </c>
      <c r="D10" s="216" t="str">
        <f t="shared" si="1"/>
        <v>3721-6803</v>
      </c>
      <c r="E10" s="209" cm="1">
        <f t="array" ref="E10">_xlfn.XLOOKUP(1, (SensorLab[Sample_ID]=A10) * (SensorLab[Analyte]=$E$1), SensorLab[Final_Results], "Not Found")</f>
        <v>2</v>
      </c>
      <c r="F10" s="209" cm="1">
        <f t="array" ref="F10">_xlfn.XLOOKUP(1, (SensorLab[Sample_ID]=A10) * (SensorLab[Analyte]=$F$1), SensorLab[Final_Results], "Not Found")</f>
        <v>4.5493600000000001</v>
      </c>
      <c r="G10" s="209" cm="1">
        <f t="array" ref="G10">_xlfn.XLOOKUP(1, (SensorLab[Sample_ID]=A10) * (SensorLab[Analyte]=$G$1), SensorLab[Final_Results], "Not Found")</f>
        <v>100.63168</v>
      </c>
      <c r="H10" s="209" cm="1">
        <f t="array" ref="H10">_xlfn.XLOOKUP(1, (SensorLab[Sample_ID]=A10) * (SensorLab[Analyte]=$H$1), SensorLab[Final_Results], "Not Found")</f>
        <v>0.96541999999999994</v>
      </c>
      <c r="I10" s="209" cm="1">
        <f t="array" ref="I10">_xlfn.XLOOKUP(1, (SensorLab[Sample_ID]=A10) * (SensorLab[Analyte]=$I$1), SensorLab[Final_Results], "Not Found")</f>
        <v>7.8297299999999996</v>
      </c>
      <c r="J10" s="209" cm="1">
        <f t="array" ref="J10">_xlfn.XLOOKUP(1, (SensorLab[Sample_ID]=A10) * (SensorLab[Analyte]=$J$1), SensorLab[Final_Results], "Not Found")</f>
        <v>13.23597</v>
      </c>
      <c r="K10" s="209" cm="1">
        <f t="array" ref="K10">_xlfn.XLOOKUP(1, (SensorLab[Sample_ID]=A10) * (SensorLab[Analyte]=$K$1), SensorLab[Final_Results], "Not Found")</f>
        <v>18.2989</v>
      </c>
      <c r="L10" s="209" cm="1">
        <f t="array" ref="L10">_xlfn.XLOOKUP(1, (SensorLab[Sample_ID]=A10) * (SensorLab[Analyte]=$L$1), SensorLab[Final_Results], "Not Found")</f>
        <v>0.6</v>
      </c>
      <c r="M10" s="209" cm="1">
        <f t="array" ref="M10">_xlfn.XLOOKUP(1, (SensorLab[Sample_ID]=A10) * (SensorLab[Analyte]=$M$1), SensorLab[Final_Results], "Not Found")</f>
        <v>52</v>
      </c>
      <c r="N10" s="209" cm="1">
        <f t="array" ref="N10">_xlfn.XLOOKUP(1, (SensorLab[Sample_ID]=A10) * (SensorLab[Analyte]=$N$1), SensorLab[Final_Results], "Not Found")</f>
        <v>33</v>
      </c>
      <c r="O10" s="209" cm="1">
        <f t="array" ref="O10">_xlfn.XLOOKUP(1, (SensorLab[Sample_ID]=A10) * (SensorLab[Analyte]=$O$1), SensorLab[Final_Results], "Not Found")</f>
        <v>15</v>
      </c>
      <c r="P10" s="51" t="str" cm="1">
        <f t="array" ref="P10">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Q10" s="209" t="str" cm="1">
        <f t="array" ref="Q10">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15.26</v>
      </c>
      <c r="R10" s="4" t="str" cm="1">
        <f t="array" ref="R10">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00%</v>
      </c>
      <c r="S10" s="4" t="str">
        <f t="shared" si="0"/>
        <v>Not Suitable</v>
      </c>
      <c r="U10" s="4">
        <f t="shared" si="7"/>
        <v>9</v>
      </c>
      <c r="V10" s="216" t="s">
        <v>285</v>
      </c>
      <c r="W10" s="4">
        <f>COUNTIF($D$2:$D$644,V10)</f>
        <v>2</v>
      </c>
      <c r="X10" s="4" t="str">
        <f t="shared" si="2"/>
        <v>33.893281, 72.354908</v>
      </c>
      <c r="Y10" s="4" t="str">
        <f t="shared" si="3"/>
        <v>33.893281, 72.365672</v>
      </c>
      <c r="Z10" s="4" t="str">
        <f t="shared" si="4"/>
        <v>33.884298, 72.354908</v>
      </c>
      <c r="AA10" s="4" t="str">
        <f t="shared" si="5"/>
        <v>33.884298, 72.365672</v>
      </c>
      <c r="AB10" s="4" t="str">
        <f t="shared" si="6"/>
        <v>33.888789, 72.360290</v>
      </c>
      <c r="AC10" s="209" cm="1">
        <f t="array" ref="AC10">_xlfn.LET(
  _xlpm.w, MIN(MAX($R$2:$R$644,15%),70%) / MAX($Q$2:$Q$644,2.5),
  _xlpm.wm, SUMPRODUCT(($D$2:$D$644=V10)*$M$2:$M$644*_xlpm.w)/SUMPRODUCT(($D$2:$D$644=V10)*_xlpm.w),
  _xlpm.med, MEDIAN(IF($D$2:$D$644=V10,$M$2:$M$644)),
  0.6*_xlpm.wm + 0.4*_xlpm.med
)</f>
        <v>56.25</v>
      </c>
      <c r="AD10" s="209" cm="1">
        <f t="array" ref="AD10">_xlfn.LET(
  _xlpm.w, MIN(MAX($R$2:$R$644,15%),70%) / MAX($Q$2:$Q$644,2.5),
  _xlpm.wm, SUMPRODUCT(($D$2:$D$644=V10)*$N$2:$N$644*_xlpm.w)/SUMPRODUCT(($D$2:$D$644=V10)*_xlpm.w),
  _xlpm.med, MEDIAN(IF($D$2:$D$644=V10,$N$2:$N$644)),
  0.6*_xlpm.wm + 0.4*_xlpm.med
)</f>
        <v>32.5</v>
      </c>
      <c r="AE10" s="209" cm="1">
        <f t="array" ref="AE10">_xlfn.LET(
  _xlpm.w, MIN(MAX($R$2:$R$644,15%),70%) / MAX($Q$2:$Q$644,2.5),
  _xlpm.wm, SUMPRODUCT(($D$2:$D$644=V10)*$O$2:$O$644*_xlpm.w)/SUMPRODUCT(($D$2:$D$644=V10)*_xlpm.w),
  _xlpm.med, MEDIAN(IF($D$2:$D$644=V10,$O$2:$O$644)),
  0.6*_xlpm.wm + 0.4*_xlpm.med
)</f>
        <v>11.25</v>
      </c>
      <c r="AF10" s="4" t="str" cm="1">
        <f t="array" ref="AF10">_xlfn.LET(
  _xlpm.bs,AC10, _xlpm.si,AD10, _xlpm.c,AE10,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row>
    <row r="11" spans="1:32" x14ac:dyDescent="0.15">
      <c r="A11" s="4" t="s">
        <v>216</v>
      </c>
      <c r="B11" s="213">
        <v>33.430401699999997</v>
      </c>
      <c r="C11" s="213">
        <v>73.230393300000003</v>
      </c>
      <c r="D11" s="216" t="str">
        <f t="shared" si="1"/>
        <v>3721-6803</v>
      </c>
      <c r="E11" s="209" cm="1">
        <f t="array" ref="E11">_xlfn.XLOOKUP(1, (SensorLab[Sample_ID]=A11) * (SensorLab[Analyte]=$E$1), SensorLab[Final_Results], "Not Found")</f>
        <v>2</v>
      </c>
      <c r="F11" s="209" cm="1">
        <f t="array" ref="F11">_xlfn.XLOOKUP(1, (SensorLab[Sample_ID]=A11) * (SensorLab[Analyte]=$F$1), SensorLab[Final_Results], "Not Found")</f>
        <v>4.4242600000000003</v>
      </c>
      <c r="G11" s="209" cm="1">
        <f t="array" ref="G11">_xlfn.XLOOKUP(1, (SensorLab[Sample_ID]=A11) * (SensorLab[Analyte]=$G$1), SensorLab[Final_Results], "Not Found")</f>
        <v>99.060720000000003</v>
      </c>
      <c r="H11" s="209" cm="1">
        <f t="array" ref="H11">_xlfn.XLOOKUP(1, (SensorLab[Sample_ID]=A11) * (SensorLab[Analyte]=$H$1), SensorLab[Final_Results], "Not Found")</f>
        <v>0.95886000000000005</v>
      </c>
      <c r="I11" s="209" cm="1">
        <f t="array" ref="I11">_xlfn.XLOOKUP(1, (SensorLab[Sample_ID]=A11) * (SensorLab[Analyte]=$I$1), SensorLab[Final_Results], "Not Found")</f>
        <v>7.8114499999999998</v>
      </c>
      <c r="J11" s="209" cm="1">
        <f t="array" ref="J11">_xlfn.XLOOKUP(1, (SensorLab[Sample_ID]=A11) * (SensorLab[Analyte]=$J$1), SensorLab[Final_Results], "Not Found")</f>
        <v>15.889670000000001</v>
      </c>
      <c r="K11" s="209" cm="1">
        <f t="array" ref="K11">_xlfn.XLOOKUP(1, (SensorLab[Sample_ID]=A11) * (SensorLab[Analyte]=$K$1), SensorLab[Final_Results], "Not Found")</f>
        <v>19.79928</v>
      </c>
      <c r="L11" s="209" cm="1">
        <f t="array" ref="L11">_xlfn.XLOOKUP(1, (SensorLab[Sample_ID]=A11) * (SensorLab[Analyte]=$L$1), SensorLab[Final_Results], "Not Found")</f>
        <v>0.6</v>
      </c>
      <c r="M11" s="209" cm="1">
        <f t="array" ref="M11">_xlfn.XLOOKUP(1, (SensorLab[Sample_ID]=A11) * (SensorLab[Analyte]=$M$1), SensorLab[Final_Results], "Not Found")</f>
        <v>15</v>
      </c>
      <c r="N11" s="209" cm="1">
        <f t="array" ref="N11">_xlfn.XLOOKUP(1, (SensorLab[Sample_ID]=A11) * (SensorLab[Analyte]=$N$1), SensorLab[Final_Results], "Not Found")</f>
        <v>70</v>
      </c>
      <c r="O11" s="209" cm="1">
        <f t="array" ref="O11">_xlfn.XLOOKUP(1, (SensorLab[Sample_ID]=A11) * (SensorLab[Analyte]=$O$1), SensorLab[Final_Results], "Not Found")</f>
        <v>15</v>
      </c>
      <c r="P11" s="51" t="str" cm="1">
        <f t="array" ref="P11">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Q11" s="209" t="str" cm="1">
        <f t="array" ref="Q11">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10.16</v>
      </c>
      <c r="R11" s="4" t="str" cm="1">
        <f t="array" ref="R11">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88%</v>
      </c>
      <c r="S11" s="4" t="str">
        <f t="shared" si="0"/>
        <v>Moderate</v>
      </c>
      <c r="U11" s="4">
        <f t="shared" si="7"/>
        <v>10</v>
      </c>
      <c r="V11" s="216" t="s">
        <v>286</v>
      </c>
      <c r="W11" s="4">
        <f>COUNTIF($D$2:$D$644,V11)</f>
        <v>5</v>
      </c>
      <c r="X11" s="4" t="str">
        <f t="shared" si="2"/>
        <v>33.884298, 72.354908</v>
      </c>
      <c r="Y11" s="4" t="str">
        <f t="shared" si="3"/>
        <v>33.884298, 72.365672</v>
      </c>
      <c r="Z11" s="4" t="str">
        <f t="shared" si="4"/>
        <v>33.875314, 72.354908</v>
      </c>
      <c r="AA11" s="4" t="str">
        <f t="shared" si="5"/>
        <v>33.875314, 72.365672</v>
      </c>
      <c r="AB11" s="4" t="str">
        <f t="shared" si="6"/>
        <v>33.879806, 72.360290</v>
      </c>
      <c r="AC11" s="209" cm="1">
        <f t="array" ref="AC11">_xlfn.LET(
  _xlpm.w, MIN(MAX($R$2:$R$644,15%),70%) / MAX($Q$2:$Q$644,2.5),
  _xlpm.wm, SUMPRODUCT(($D$2:$D$644=V11)*$M$2:$M$644*_xlpm.w)/SUMPRODUCT(($D$2:$D$644=V11)*_xlpm.w),
  _xlpm.med, MEDIAN(IF($D$2:$D$644=V11,$M$2:$M$644)),
  0.6*_xlpm.wm + 0.4*_xlpm.med
)</f>
        <v>9</v>
      </c>
      <c r="AD11" s="209" cm="1">
        <f t="array" ref="AD11">_xlfn.LET(
  _xlpm.w, MIN(MAX($R$2:$R$644,15%),70%) / MAX($Q$2:$Q$644,2.5),
  _xlpm.wm, SUMPRODUCT(($D$2:$D$644=V11)*$N$2:$N$644*_xlpm.w)/SUMPRODUCT(($D$2:$D$644=V11)*_xlpm.w),
  _xlpm.med, MEDIAN(IF($D$2:$D$644=V11,$N$2:$N$644)),
  0.6*_xlpm.wm + 0.4*_xlpm.med
)</f>
        <v>12</v>
      </c>
      <c r="AE11" s="209" cm="1">
        <f t="array" ref="AE11">_xlfn.LET(
  _xlpm.w, MIN(MAX($R$2:$R$644,15%),70%) / MAX($Q$2:$Q$644,2.5),
  _xlpm.wm, SUMPRODUCT(($D$2:$D$644=V11)*$O$2:$O$644*_xlpm.w)/SUMPRODUCT(($D$2:$D$644=V11)*_xlpm.w),
  _xlpm.med, MEDIAN(IF($D$2:$D$644=V11,$O$2:$O$644)),
  0.6*_xlpm.wm + 0.4*_xlpm.med
)</f>
        <v>3</v>
      </c>
      <c r="AF11" s="4" t="str" cm="1">
        <f t="array" ref="AF11">_xlfn.LET(
  _xlpm.bs,AC11, _xlpm.si,AD11, _xlpm.c,AE11,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row>
    <row r="12" spans="1:32" x14ac:dyDescent="0.15">
      <c r="A12" s="4" t="s">
        <v>217</v>
      </c>
      <c r="B12" s="213">
        <v>33.353371699999997</v>
      </c>
      <c r="C12" s="213">
        <v>73.249139999999997</v>
      </c>
      <c r="D12" s="216" t="str">
        <f t="shared" si="1"/>
        <v>3712-6805</v>
      </c>
      <c r="E12" s="209" cm="1">
        <f t="array" ref="E12">_xlfn.XLOOKUP(1, (SensorLab[Sample_ID]=A12) * (SensorLab[Analyte]=$E$1), SensorLab[Final_Results], "Not Found")</f>
        <v>2</v>
      </c>
      <c r="F12" s="209" cm="1">
        <f t="array" ref="F12">_xlfn.XLOOKUP(1, (SensorLab[Sample_ID]=A12) * (SensorLab[Analyte]=$F$1), SensorLab[Final_Results], "Not Found")</f>
        <v>4.2991599999999996</v>
      </c>
      <c r="G12" s="209" cm="1">
        <f t="array" ref="G12">_xlfn.XLOOKUP(1, (SensorLab[Sample_ID]=A12) * (SensorLab[Analyte]=$G$1), SensorLab[Final_Results], "Not Found")</f>
        <v>97.80395</v>
      </c>
      <c r="H12" s="209" cm="1">
        <f t="array" ref="H12">_xlfn.XLOOKUP(1, (SensorLab[Sample_ID]=A12) * (SensorLab[Analyte]=$H$1), SensorLab[Final_Results], "Not Found")</f>
        <v>0.95230999999999999</v>
      </c>
      <c r="I12" s="209" cm="1">
        <f t="array" ref="I12">_xlfn.XLOOKUP(1, (SensorLab[Sample_ID]=A12) * (SensorLab[Analyte]=$I$1), SensorLab[Final_Results], "Not Found")</f>
        <v>7.83887</v>
      </c>
      <c r="J12" s="209" cm="1">
        <f t="array" ref="J12">_xlfn.XLOOKUP(1, (SensorLab[Sample_ID]=A12) * (SensorLab[Analyte]=$J$1), SensorLab[Final_Results], "Not Found")</f>
        <v>17.52272</v>
      </c>
      <c r="K12" s="209" cm="1">
        <f t="array" ref="K12">_xlfn.XLOOKUP(1, (SensorLab[Sample_ID]=A12) * (SensorLab[Analyte]=$K$1), SensorLab[Final_Results], "Not Found")</f>
        <v>22.19988</v>
      </c>
      <c r="L12" s="209" cm="1">
        <f t="array" ref="L12">_xlfn.XLOOKUP(1, (SensorLab[Sample_ID]=A12) * (SensorLab[Analyte]=$L$1), SensorLab[Final_Results], "Not Found")</f>
        <v>0.6</v>
      </c>
      <c r="M12" s="209" cm="1">
        <f t="array" ref="M12">_xlfn.XLOOKUP(1, (SensorLab[Sample_ID]=A12) * (SensorLab[Analyte]=$M$1), SensorLab[Final_Results], "Not Found")</f>
        <v>15</v>
      </c>
      <c r="N12" s="209" cm="1">
        <f t="array" ref="N12">_xlfn.XLOOKUP(1, (SensorLab[Sample_ID]=A12) * (SensorLab[Analyte]=$N$1), SensorLab[Final_Results], "Not Found")</f>
        <v>67.5</v>
      </c>
      <c r="O12" s="209" cm="1">
        <f t="array" ref="O12">_xlfn.XLOOKUP(1, (SensorLab[Sample_ID]=A12) * (SensorLab[Analyte]=$O$1), SensorLab[Final_Results], "Not Found")</f>
        <v>17.5</v>
      </c>
      <c r="P12" s="51" t="str" cm="1">
        <f t="array" ref="P12">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Q12" s="209" t="str" cm="1">
        <f t="array" ref="Q12">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10.87</v>
      </c>
      <c r="R12" s="4" t="str" cm="1">
        <f t="array" ref="R12">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57%</v>
      </c>
      <c r="S12" s="4" t="str">
        <f t="shared" si="0"/>
        <v>Moderate</v>
      </c>
      <c r="U12" s="4">
        <f t="shared" si="7"/>
        <v>11</v>
      </c>
      <c r="V12" s="216" t="s">
        <v>287</v>
      </c>
      <c r="W12" s="4">
        <f>COUNTIF($D$2:$D$644,V12)</f>
        <v>5</v>
      </c>
      <c r="X12" s="4" t="str">
        <f t="shared" si="2"/>
        <v>33.992095, 72.161158</v>
      </c>
      <c r="Y12" s="4" t="str">
        <f t="shared" si="3"/>
        <v>33.992095, 72.171922</v>
      </c>
      <c r="Z12" s="4" t="str">
        <f t="shared" si="4"/>
        <v>33.983112, 72.161158</v>
      </c>
      <c r="AA12" s="4" t="str">
        <f t="shared" si="5"/>
        <v>33.983112, 72.171922</v>
      </c>
      <c r="AB12" s="4" t="str">
        <f t="shared" si="6"/>
        <v>33.987603, 72.166540</v>
      </c>
      <c r="AC12" s="209" cm="1">
        <f t="array" ref="AC12">_xlfn.LET(
  _xlpm.w, MIN(MAX($R$2:$R$644,15%),70%) / MAX($Q$2:$Q$644,2.5),
  _xlpm.wm, SUMPRODUCT(($D$2:$D$644=V12)*$M$2:$M$644*_xlpm.w)/SUMPRODUCT(($D$2:$D$644=V12)*_xlpm.w),
  _xlpm.med, MEDIAN(IF($D$2:$D$644=V12,$M$2:$M$644)),
  0.6*_xlpm.wm + 0.4*_xlpm.med
)</f>
        <v>3.5999999999999996</v>
      </c>
      <c r="AD12" s="209" cm="1">
        <f t="array" ref="AD12">_xlfn.LET(
  _xlpm.w, MIN(MAX($R$2:$R$644,15%),70%) / MAX($Q$2:$Q$644,2.5),
  _xlpm.wm, SUMPRODUCT(($D$2:$D$644=V12)*$N$2:$N$644*_xlpm.w)/SUMPRODUCT(($D$2:$D$644=V12)*_xlpm.w),
  _xlpm.med, MEDIAN(IF($D$2:$D$644=V12,$N$2:$N$644)),
  0.6*_xlpm.wm + 0.4*_xlpm.med
)</f>
        <v>6</v>
      </c>
      <c r="AE12" s="209" cm="1">
        <f t="array" ref="AE12">_xlfn.LET(
  _xlpm.w, MIN(MAX($R$2:$R$644,15%),70%) / MAX($Q$2:$Q$644,2.5),
  _xlpm.wm, SUMPRODUCT(($D$2:$D$644=V12)*$O$2:$O$644*_xlpm.w)/SUMPRODUCT(($D$2:$D$644=V12)*_xlpm.w),
  _xlpm.med, MEDIAN(IF($D$2:$D$644=V12,$O$2:$O$644)),
  0.6*_xlpm.wm + 0.4*_xlpm.med
)</f>
        <v>2.4</v>
      </c>
      <c r="AF12" s="4" t="str" cm="1">
        <f t="array" ref="AF12">_xlfn.LET(
  _xlpm.bs,AC12, _xlpm.si,AD12, _xlpm.c,AE12,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row>
    <row r="13" spans="1:32" x14ac:dyDescent="0.15">
      <c r="A13" s="4" t="s">
        <v>218</v>
      </c>
      <c r="B13" s="213">
        <v>33.353011700000003</v>
      </c>
      <c r="C13" s="213">
        <v>73.249105</v>
      </c>
      <c r="D13" s="216" t="str">
        <f t="shared" si="1"/>
        <v>3712-6805</v>
      </c>
      <c r="E13" s="209" cm="1">
        <f t="array" ref="E13">_xlfn.XLOOKUP(1, (SensorLab[Sample_ID]=A13) * (SensorLab[Analyte]=$E$1), SensorLab[Final_Results], "Not Found")</f>
        <v>2</v>
      </c>
      <c r="F13" s="209" cm="1">
        <f t="array" ref="F13">_xlfn.XLOOKUP(1, (SensorLab[Sample_ID]=A13) * (SensorLab[Analyte]=$F$1), SensorLab[Final_Results], "Not Found")</f>
        <v>4.1240100000000002</v>
      </c>
      <c r="G13" s="209" cm="1">
        <f t="array" ref="G13">_xlfn.XLOOKUP(1, (SensorLab[Sample_ID]=A13) * (SensorLab[Analyte]=$G$1), SensorLab[Final_Results], "Not Found")</f>
        <v>97.80395</v>
      </c>
      <c r="H13" s="209" cm="1">
        <f t="array" ref="H13">_xlfn.XLOOKUP(1, (SensorLab[Sample_ID]=A13) * (SensorLab[Analyte]=$H$1), SensorLab[Final_Results], "Not Found")</f>
        <v>0.92281999999999997</v>
      </c>
      <c r="I13" s="209" cm="1">
        <f t="array" ref="I13">_xlfn.XLOOKUP(1, (SensorLab[Sample_ID]=A13) * (SensorLab[Analyte]=$I$1), SensorLab[Final_Results], "Not Found")</f>
        <v>7.83887</v>
      </c>
      <c r="J13" s="209" cm="1">
        <f t="array" ref="J13">_xlfn.XLOOKUP(1, (SensorLab[Sample_ID]=A13) * (SensorLab[Analyte]=$J$1), SensorLab[Final_Results], "Not Found")</f>
        <v>18.951630000000002</v>
      </c>
      <c r="K13" s="209" cm="1">
        <f t="array" ref="K13">_xlfn.XLOOKUP(1, (SensorLab[Sample_ID]=A13) * (SensorLab[Analyte]=$K$1), SensorLab[Final_Results], "Not Found")</f>
        <v>16.99858</v>
      </c>
      <c r="L13" s="209" cm="1">
        <f t="array" ref="L13">_xlfn.XLOOKUP(1, (SensorLab[Sample_ID]=A13) * (SensorLab[Analyte]=$L$1), SensorLab[Final_Results], "Not Found")</f>
        <v>0.6</v>
      </c>
      <c r="M13" s="209" cm="1">
        <f t="array" ref="M13">_xlfn.XLOOKUP(1, (SensorLab[Sample_ID]=A13) * (SensorLab[Analyte]=$M$1), SensorLab[Final_Results], "Not Found")</f>
        <v>33</v>
      </c>
      <c r="N13" s="209" cm="1">
        <f t="array" ref="N13">_xlfn.XLOOKUP(1, (SensorLab[Sample_ID]=A13) * (SensorLab[Analyte]=$N$1), SensorLab[Final_Results], "Not Found")</f>
        <v>35</v>
      </c>
      <c r="O13" s="209" cm="1">
        <f t="array" ref="O13">_xlfn.XLOOKUP(1, (SensorLab[Sample_ID]=A13) * (SensorLab[Analyte]=$O$1), SensorLab[Final_Results], "Not Found")</f>
        <v>22.5</v>
      </c>
      <c r="P13" s="51" t="str" cm="1">
        <f t="array" ref="P13">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Q13" s="209" t="str" cm="1">
        <f t="array" ref="Q13">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07.23</v>
      </c>
      <c r="R13" s="4" t="str" cm="1">
        <f t="array" ref="R13">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100%</v>
      </c>
      <c r="S13" s="4" t="str">
        <f t="shared" si="0"/>
        <v>Suitable</v>
      </c>
      <c r="U13" s="4">
        <v>12</v>
      </c>
      <c r="V13" s="216" t="s">
        <v>288</v>
      </c>
      <c r="W13" s="4">
        <f>COUNTIF($D$2:$D$644,V13)</f>
        <v>8</v>
      </c>
      <c r="X13" s="4" t="str">
        <f t="shared" ref="X13" si="8">_xlfn.LET(
  _xlpm.gi, V13,
  _xlpm.y_idx, VALUE(LEFT(_xlpm.gi, FIND("-", _xlpm.gi)-1)),
  _xlpm.x_idx, VALUE(MID(_xlpm.gi, FIND("-", _xlpm.gi)+1, 99)),
  _xlpm.lat_origin, 0,
  _xlpm.lon_origin, 0,
  _xlpm.cell_km, 1,
  _xlpm.lat_ref, 33.43,
  _xlpm.metres_per_deg_lat, 111.32 * 1000,
  _xlpm.metres_per_deg_lon_ref, 111.32 * 1000 * COS(RADIANS(_xlpm.lat_ref)),
  _xlpm.cell_m, _xlpm.cell_km * 1000,
  _xlpm.lat_center, _xlpm.lat_origin + ((_xlpm.y_idx + 0.5) * _xlpm.cell_m) / _xlpm.metres_per_deg_lat,
  _xlpm.lon_center, _xlpm.lon_origin + ((_xlpm.x_idx + 0.5) * _xlpm.cell_m) / _xlpm.metres_per_deg_lon_ref,
  _xlpm.dLat, (0.5 * _xlpm.cell_m) / _xlpm.metres_per_deg_lat,
  _xlpm.dLon, (0.5 * _xlpm.cell_m) / _xlpm.metres_per_deg_lon_ref,
  ROUND(_xlpm.lat_center + _xlpm.dLat, 6) &amp; ", " &amp; ROUND(_xlpm.lon_center - _xlpm.dLon, 6)
)</f>
        <v>34.028027, 72.042755</v>
      </c>
      <c r="Y13" s="4" t="str">
        <f t="shared" ref="Y13" si="9">_xlfn.LET(
  _xlpm.gi, V13,
  _xlpm.y_idx, VALUE(LEFT(_xlpm.gi, FIND("-", _xlpm.gi)-1)),
  _xlpm.x_idx, VALUE(MID(_xlpm.gi, FIND("-", _xlpm.gi)+1, 99)),
  _xlpm.lat_origin, 0,
  _xlpm.lon_origin, 0,
  _xlpm.cell_km, 1,
  _xlpm.lat_ref, 33.43,
  _xlpm.metres_per_deg_lat, 111.32 * 1000,
  _xlpm.metres_per_deg_lon_ref, 111.32 * 1000 * COS(RADIANS(_xlpm.lat_ref)),
  _xlpm.cell_m, _xlpm.cell_km * 1000,
  _xlpm.lat_center, _xlpm.lat_origin + ((_xlpm.y_idx + 0.5) * _xlpm.cell_m) / _xlpm.metres_per_deg_lat,
  _xlpm.lon_center, _xlpm.lon_origin + ((_xlpm.x_idx + 0.5) * _xlpm.cell_m) / _xlpm.metres_per_deg_lon_ref,
  _xlpm.dLat, (0.5 * _xlpm.cell_m) / _xlpm.metres_per_deg_lat,
  _xlpm.dLon, (0.5 * _xlpm.cell_m) / _xlpm.metres_per_deg_lon_ref,
  ROUND(_xlpm.lat_center + _xlpm.dLat, 6) &amp; ", " &amp; ROUND(_xlpm.lon_center + _xlpm.dLon, 6)
)</f>
        <v>34.028027, 72.053519</v>
      </c>
      <c r="Z13" s="4" t="str">
        <f t="shared" ref="Z13" si="10">_xlfn.LET(
  _xlpm.gi, V13,
  _xlpm.y_idx, VALUE(LEFT(_xlpm.gi, FIND("-", _xlpm.gi)-1)),
  _xlpm.x_idx, VALUE(MID(_xlpm.gi, FIND("-", _xlpm.gi)+1, 99)),
  _xlpm.lat_origin, 0,
  _xlpm.lon_origin, 0,
  _xlpm.cell_km, 1,                 _xlpm.lat_ref, 33.43,
  _xlpm.metres_per_deg_lat, 111.32 * 1000,
  _xlpm.metres_per_deg_lon_ref, 111.32 * 1000 * COS(RADIANS(_xlpm.lat_ref)),
  _xlpm.cell_m, _xlpm.cell_km * 1000,
  _xlpm.lat_center, _xlpm.lat_origin + ((_xlpm.y_idx + 0.5) * _xlpm.cell_m) / _xlpm.metres_per_deg_lat,
  _xlpm.lon_center, _xlpm.lon_origin + ((_xlpm.x_idx + 0.5) * _xlpm.cell_m) / _xlpm.metres_per_deg_lon_ref,
  _xlpm.dLat, (0.5 * _xlpm.cell_m) / _xlpm.metres_per_deg_lat,
  _xlpm.dLon, (0.5 * _xlpm.cell_m) / _xlpm.metres_per_deg_lon_ref,
  ROUND(_xlpm.lat_center - _xlpm.dLat, 6) &amp; ", " &amp; ROUND(_xlpm.lon_center - _xlpm.dLon, 6)
)</f>
        <v>34.019044, 72.042755</v>
      </c>
      <c r="AA13" s="4" t="str">
        <f t="shared" ref="AA13" si="11">_xlfn.LET(
  _xlpm.gi, V13,
  _xlpm.y_idx, VALUE(LEFT(_xlpm.gi, FIND("-", _xlpm.gi)-1)),
  _xlpm.x_idx, VALUE(MID(_xlpm.gi, FIND("-", _xlpm.gi)+1, 99)),
  _xlpm.lat_origin, 0,
  _xlpm.lon_origin, 0,
  _xlpm.cell_km, 1,
  _xlpm.lat_ref, 33.43,
  _xlpm.metres_per_deg_lat, 111.32 * 1000,
  _xlpm.metres_per_deg_lon_ref, 111.32 * 1000 * COS(RADIANS(_xlpm.lat_ref)),
  _xlpm.cell_m, _xlpm.cell_km * 1000,
  _xlpm.lat_center, _xlpm.lat_origin + ((_xlpm.y_idx + 0.5) * _xlpm.cell_m) / _xlpm.metres_per_deg_lat,
  _xlpm.lon_center, _xlpm.lon_origin + ((_xlpm.x_idx + 0.5) * _xlpm.cell_m) / _xlpm.metres_per_deg_lon_ref,
  _xlpm.dLat, (0.5 * _xlpm.cell_m) / _xlpm.metres_per_deg_lat,
  _xlpm.dLon, (0.5 * _xlpm.cell_m) / _xlpm.metres_per_deg_lon_ref,
  ROUND(_xlpm.lat_center - _xlpm.dLat, 6) &amp; ", " &amp; ROUND(_xlpm.lon_center + _xlpm.dLon, 6)
)</f>
        <v>34.019044, 72.053519</v>
      </c>
      <c r="AB13" s="4" t="str">
        <f t="shared" ref="AB13" si="12">_xlfn.LET(
  _xlpm.gi, V13,
  _xlpm.y_idx, VALUE(LEFT(_xlpm.gi, FIND("-", _xlpm.gi)-1)),
  _xlpm.x_idx, VALUE(MID(_xlpm.gi, FIND("-", _xlpm.gi)+1, 99)),
  _xlpm.lat_origin, 0,
  _xlpm.lon_origin, 0,
  _xlpm.cell_km, 1,
  _xlpm.lat_ref, 33.43,
  _xlpm.metres_per_deg_lat, 111.32 * 1000,
  _xlpm.metres_per_deg_lon_ref, 111.32 * 1000 * COS(RADIANS(_xlpm.lat_ref)),
  _xlpm.cell_m, _xlpm.cell_km * 1000,
  _xlpm.lat_center, _xlpm.lat_origin + ((_xlpm.y_idx + 0.5) * _xlpm.cell_m) / _xlpm.metres_per_deg_lat,
  _xlpm.lon_center, _xlpm.lon_origin + ((_xlpm.x_idx + 0.5) * _xlpm.cell_m) / _xlpm.metres_per_deg_lon_ref,
  TEXT(_xlpm.lat_center, "0.000000") &amp; ", " &amp; TEXT(_xlpm.lon_center, "0.000000")
)</f>
        <v>34.023536, 72.048137</v>
      </c>
      <c r="AC13" s="209" cm="1">
        <f t="array" ref="AC13">_xlfn.LET(
  _xlpm.w, MIN(MAX($R$2:$R$644,15%),70%) / MAX($Q$2:$Q$644,2.5),
  _xlpm.wm, SUMPRODUCT(($D$2:$D$644=V13)*$M$2:$M$644*_xlpm.w)/SUMPRODUCT(($D$2:$D$644=V13)*_xlpm.w),
  _xlpm.med, MEDIAN(IF($D$2:$D$644=V13,$M$2:$M$644)),
  0.6*_xlpm.wm + 0.4*_xlpm.med
)</f>
        <v>22.75</v>
      </c>
      <c r="AD13" s="209" cm="1">
        <f t="array" ref="AD13">_xlfn.LET(
  _xlpm.w, MIN(MAX($R$2:$R$644,15%),70%) / MAX($Q$2:$Q$644,2.5),
  _xlpm.wm, SUMPRODUCT(($D$2:$D$644=V13)*$N$2:$N$644*_xlpm.w)/SUMPRODUCT(($D$2:$D$644=V13)*_xlpm.w),
  _xlpm.med, MEDIAN(IF($D$2:$D$644=V13,$N$2:$N$644)),
  0.6*_xlpm.wm + 0.4*_xlpm.med
)</f>
        <v>15.687500000000002</v>
      </c>
      <c r="AE13" s="209" cm="1">
        <f t="array" ref="AE13">_xlfn.LET(
  _xlpm.w, MIN(MAX($R$2:$R$644,15%),70%) / MAX($Q$2:$Q$644,2.5),
  _xlpm.wm, SUMPRODUCT(($D$2:$D$644=V13)*$O$2:$O$644*_xlpm.w)/SUMPRODUCT(($D$2:$D$644=V13)*_xlpm.w),
  _xlpm.med, MEDIAN(IF($D$2:$D$644=V13,$O$2:$O$644)),
  0.6*_xlpm.wm + 0.4*_xlpm.med
)</f>
        <v>5.0625</v>
      </c>
      <c r="AF13" s="4" t="str" cm="1">
        <f t="array" ref="AF13">_xlfn.LET(
  _xlpm.bs,AC13, _xlpm.si,AD13, _xlpm.c,AE13,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row>
    <row r="14" spans="1:32" x14ac:dyDescent="0.15">
      <c r="A14" s="4" t="s">
        <v>219</v>
      </c>
      <c r="B14" s="213">
        <v>33.352673299999999</v>
      </c>
      <c r="C14" s="213">
        <v>73.249868300000003</v>
      </c>
      <c r="D14" s="216" t="str">
        <f t="shared" si="1"/>
        <v>3712-6805</v>
      </c>
      <c r="E14" s="209" cm="1">
        <f t="array" ref="E14">_xlfn.XLOOKUP(1, (SensorLab[Sample_ID]=A14) * (SensorLab[Analyte]=$E$1), SensorLab[Final_Results], "Not Found")</f>
        <v>2</v>
      </c>
      <c r="F14" s="209" cm="1">
        <f t="array" ref="F14">_xlfn.XLOOKUP(1, (SensorLab[Sample_ID]=A14) * (SensorLab[Analyte]=$F$1), SensorLab[Final_Results], "Not Found")</f>
        <v>4.1240100000000002</v>
      </c>
      <c r="G14" s="209" cm="1">
        <f t="array" ref="G14">_xlfn.XLOOKUP(1, (SensorLab[Sample_ID]=A14) * (SensorLab[Analyte]=$G$1), SensorLab[Final_Results], "Not Found")</f>
        <v>97.80395</v>
      </c>
      <c r="H14" s="209" cm="1">
        <f t="array" ref="H14">_xlfn.XLOOKUP(1, (SensorLab[Sample_ID]=A14) * (SensorLab[Analyte]=$H$1), SensorLab[Final_Results], "Not Found")</f>
        <v>0.88349999999999995</v>
      </c>
      <c r="I14" s="209" cm="1">
        <f t="array" ref="I14">_xlfn.XLOOKUP(1, (SensorLab[Sample_ID]=A14) * (SensorLab[Analyte]=$I$1), SensorLab[Final_Results], "Not Found")</f>
        <v>7.8342999999999998</v>
      </c>
      <c r="J14" s="209" cm="1">
        <f t="array" ref="J14">_xlfn.XLOOKUP(1, (SensorLab[Sample_ID]=A14) * (SensorLab[Analyte]=$J$1), SensorLab[Final_Results], "Not Found")</f>
        <v>20.584679999999999</v>
      </c>
      <c r="K14" s="209" cm="1">
        <f t="array" ref="K14">_xlfn.XLOOKUP(1, (SensorLab[Sample_ID]=A14) * (SensorLab[Analyte]=$K$1), SensorLab[Final_Results], "Not Found")</f>
        <v>16.99858</v>
      </c>
      <c r="L14" s="209" cm="1">
        <f t="array" ref="L14">_xlfn.XLOOKUP(1, (SensorLab[Sample_ID]=A14) * (SensorLab[Analyte]=$L$1), SensorLab[Final_Results], "Not Found")</f>
        <v>0.6</v>
      </c>
      <c r="M14" s="209" cm="1">
        <f t="array" ref="M14">_xlfn.XLOOKUP(1, (SensorLab[Sample_ID]=A14) * (SensorLab[Analyte]=$M$1), SensorLab[Final_Results], "Not Found")</f>
        <v>40</v>
      </c>
      <c r="N14" s="209" cm="1">
        <f t="array" ref="N14">_xlfn.XLOOKUP(1, (SensorLab[Sample_ID]=A14) * (SensorLab[Analyte]=$N$1), SensorLab[Final_Results], "Not Found")</f>
        <v>40</v>
      </c>
      <c r="O14" s="209" cm="1">
        <f t="array" ref="O14">_xlfn.XLOOKUP(1, (SensorLab[Sample_ID]=A14) * (SensorLab[Analyte]=$O$1), SensorLab[Final_Results], "Not Found")</f>
        <v>20</v>
      </c>
      <c r="P14" s="51" t="str" cm="1">
        <f t="array" ref="P14">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Q14" s="209" t="str" cm="1">
        <f t="array" ref="Q14">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04.03</v>
      </c>
      <c r="R14" s="4" t="str" cm="1">
        <f t="array" ref="R14">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100%</v>
      </c>
      <c r="S14" s="4" t="str">
        <f t="shared" si="0"/>
        <v>Suitable</v>
      </c>
    </row>
    <row r="15" spans="1:32" x14ac:dyDescent="0.15">
      <c r="A15" s="22" t="s">
        <v>220</v>
      </c>
      <c r="B15" s="213">
        <v>33.352141699999997</v>
      </c>
      <c r="C15" s="213">
        <v>73.252458300000001</v>
      </c>
      <c r="D15" s="216" t="str">
        <f t="shared" si="1"/>
        <v>3712-6805</v>
      </c>
      <c r="E15" s="209" cm="1">
        <f t="array" ref="E15">_xlfn.XLOOKUP(1, (SensorLab[Sample_ID]=A15) * (SensorLab[Analyte]=$E$1), SensorLab[Final_Results], "Not Found")</f>
        <v>2</v>
      </c>
      <c r="F15" s="209" cm="1">
        <f t="array" ref="F15">_xlfn.XLOOKUP(1, (SensorLab[Sample_ID]=A15) * (SensorLab[Analyte]=$F$1), SensorLab[Final_Results], "Not Found")</f>
        <v>4.5243399999999996</v>
      </c>
      <c r="G15" s="209" cm="1">
        <f t="array" ref="G15">_xlfn.XLOOKUP(1, (SensorLab[Sample_ID]=A15) * (SensorLab[Analyte]=$G$1), SensorLab[Final_Results], "Not Found")</f>
        <v>100.31749000000001</v>
      </c>
      <c r="H15" s="209" cm="1">
        <f t="array" ref="H15">_xlfn.XLOOKUP(1, (SensorLab[Sample_ID]=A15) * (SensorLab[Analyte]=$H$1), SensorLab[Final_Results], "Not Found")</f>
        <v>0.96411000000000002</v>
      </c>
      <c r="I15" s="209" cm="1">
        <f t="array" ref="I15">_xlfn.XLOOKUP(1, (SensorLab[Sample_ID]=A15) * (SensorLab[Analyte]=$I$1), SensorLab[Final_Results], "Not Found")</f>
        <v>7.8297299999999996</v>
      </c>
      <c r="J15" s="209" cm="1">
        <f t="array" ref="J15">_xlfn.XLOOKUP(1, (SensorLab[Sample_ID]=A15) * (SensorLab[Analyte]=$J$1), SensorLab[Final_Results], "Not Found")</f>
        <v>18.33924</v>
      </c>
      <c r="K15" s="209" cm="1">
        <f t="array" ref="K15">_xlfn.XLOOKUP(1, (SensorLab[Sample_ID]=A15) * (SensorLab[Analyte]=$K$1), SensorLab[Final_Results], "Not Found")</f>
        <v>22.80003</v>
      </c>
      <c r="L15" s="209" cm="1">
        <f t="array" ref="L15">_xlfn.XLOOKUP(1, (SensorLab[Sample_ID]=A15) * (SensorLab[Analyte]=$L$1), SensorLab[Final_Results], "Not Found")</f>
        <v>0.6</v>
      </c>
      <c r="M15" s="209" cm="1">
        <f t="array" ref="M15">_xlfn.XLOOKUP(1, (SensorLab[Sample_ID]=A15) * (SensorLab[Analyte]=$M$1), SensorLab[Final_Results], "Not Found")</f>
        <v>7.5</v>
      </c>
      <c r="N15" s="209" cm="1">
        <f t="array" ref="N15">_xlfn.XLOOKUP(1, (SensorLab[Sample_ID]=A15) * (SensorLab[Analyte]=$N$1), SensorLab[Final_Results], "Not Found")</f>
        <v>77.5</v>
      </c>
      <c r="O15" s="209" cm="1">
        <f t="array" ref="O15">_xlfn.XLOOKUP(1, (SensorLab[Sample_ID]=A15) * (SensorLab[Analyte]=$O$1), SensorLab[Final_Results], "Not Found")</f>
        <v>15</v>
      </c>
      <c r="P15" s="51" t="str" cm="1">
        <f t="array" ref="P15">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Q15" s="209" t="str" cm="1">
        <f t="array" ref="Q15">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13.69</v>
      </c>
      <c r="R15" s="4" t="str" cm="1">
        <f t="array" ref="R15">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00%</v>
      </c>
      <c r="S15" s="4" t="str">
        <f t="shared" si="0"/>
        <v>Not Suitable</v>
      </c>
    </row>
    <row r="16" spans="1:32" x14ac:dyDescent="0.15">
      <c r="A16" s="22" t="s">
        <v>221</v>
      </c>
      <c r="B16" s="213">
        <v>33.352018999999999</v>
      </c>
      <c r="C16" s="213">
        <v>73.252538599999994</v>
      </c>
      <c r="D16" s="216" t="str">
        <f t="shared" si="1"/>
        <v>3712-6805</v>
      </c>
      <c r="E16" s="209" cm="1">
        <f t="array" ref="E16">_xlfn.XLOOKUP(1, (SensorLab[Sample_ID]=A16) * (SensorLab[Analyte]=$E$1), SensorLab[Final_Results], "Not Found")</f>
        <v>2</v>
      </c>
      <c r="F16" s="209" cm="1">
        <f t="array" ref="F16">_xlfn.XLOOKUP(1, (SensorLab[Sample_ID]=A16) * (SensorLab[Analyte]=$F$1), SensorLab[Final_Results], "Not Found")</f>
        <v>4.1240100000000002</v>
      </c>
      <c r="G16" s="209" cm="1">
        <f t="array" ref="G16">_xlfn.XLOOKUP(1, (SensorLab[Sample_ID]=A16) * (SensorLab[Analyte]=$G$1), SensorLab[Final_Results], "Not Found")</f>
        <v>97.80395</v>
      </c>
      <c r="H16" s="209" cm="1">
        <f t="array" ref="H16">_xlfn.XLOOKUP(1, (SensorLab[Sample_ID]=A16) * (SensorLab[Analyte]=$H$1), SensorLab[Final_Results], "Not Found")</f>
        <v>0.93593000000000004</v>
      </c>
      <c r="I16" s="209" cm="1">
        <f t="array" ref="I16">_xlfn.XLOOKUP(1, (SensorLab[Sample_ID]=A16) * (SensorLab[Analyte]=$I$1), SensorLab[Final_Results], "Not Found")</f>
        <v>7.8342999999999998</v>
      </c>
      <c r="J16" s="209" cm="1">
        <f t="array" ref="J16">_xlfn.XLOOKUP(1, (SensorLab[Sample_ID]=A16) * (SensorLab[Analyte]=$J$1), SensorLab[Final_Results], "Not Found")</f>
        <v>19.053699999999999</v>
      </c>
      <c r="K16" s="209" cm="1">
        <f t="array" ref="K16">_xlfn.XLOOKUP(1, (SensorLab[Sample_ID]=A16) * (SensorLab[Analyte]=$K$1), SensorLab[Final_Results], "Not Found")</f>
        <v>19.0991</v>
      </c>
      <c r="L16" s="209" cm="1">
        <f t="array" ref="L16">_xlfn.XLOOKUP(1, (SensorLab[Sample_ID]=A16) * (SensorLab[Analyte]=$L$1), SensorLab[Final_Results], "Not Found")</f>
        <v>0.6</v>
      </c>
      <c r="M16" s="209" cm="1">
        <f t="array" ref="M16">_xlfn.XLOOKUP(1, (SensorLab[Sample_ID]=A16) * (SensorLab[Analyte]=$M$1), SensorLab[Final_Results], "Not Found")</f>
        <v>15</v>
      </c>
      <c r="N16" s="209" cm="1">
        <f t="array" ref="N16">_xlfn.XLOOKUP(1, (SensorLab[Sample_ID]=A16) * (SensorLab[Analyte]=$N$1), SensorLab[Final_Results], "Not Found")</f>
        <v>57.5</v>
      </c>
      <c r="O16" s="209" cm="1">
        <f t="array" ref="O16">_xlfn.XLOOKUP(1, (SensorLab[Sample_ID]=A16) * (SensorLab[Analyte]=$O$1), SensorLab[Final_Results], "Not Found")</f>
        <v>27.5</v>
      </c>
      <c r="P16" s="51" t="str" cm="1">
        <f t="array" ref="P16">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Silty Clay Loam</v>
      </c>
      <c r="Q16" s="209" t="str" cm="1">
        <f t="array" ref="Q16">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10.83</v>
      </c>
      <c r="R16" s="4" t="str" cm="1">
        <f t="array" ref="R16">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56%</v>
      </c>
      <c r="S16" s="4" t="str">
        <f t="shared" si="0"/>
        <v>Moderate</v>
      </c>
    </row>
    <row r="17" spans="1:30" x14ac:dyDescent="0.15">
      <c r="A17" s="22" t="s">
        <v>222</v>
      </c>
      <c r="B17" s="213">
        <v>33.353349199999997</v>
      </c>
      <c r="C17" s="213">
        <v>73.248777799999999</v>
      </c>
      <c r="D17" s="216" t="str">
        <f t="shared" si="1"/>
        <v>3712-6805</v>
      </c>
      <c r="E17" s="209" cm="1">
        <f t="array" ref="E17">_xlfn.XLOOKUP(1, (SensorLab[Sample_ID]=A17) * (SensorLab[Analyte]=$E$1), SensorLab[Final_Results], "Not Found")</f>
        <v>2</v>
      </c>
      <c r="F17" s="209" cm="1">
        <f t="array" ref="F17">_xlfn.XLOOKUP(1, (SensorLab[Sample_ID]=A17) * (SensorLab[Analyte]=$F$1), SensorLab[Final_Results], "Not Found")</f>
        <v>4.1240100000000002</v>
      </c>
      <c r="G17" s="209" cm="1">
        <f t="array" ref="G17">_xlfn.XLOOKUP(1, (SensorLab[Sample_ID]=A17) * (SensorLab[Analyte]=$G$1), SensorLab[Final_Results], "Not Found")</f>
        <v>97.80395</v>
      </c>
      <c r="H17" s="209" cm="1">
        <f t="array" ref="H17">_xlfn.XLOOKUP(1, (SensorLab[Sample_ID]=A17) * (SensorLab[Analyte]=$H$1), SensorLab[Final_Results], "Not Found")</f>
        <v>0.91954000000000002</v>
      </c>
      <c r="I17" s="209" cm="1">
        <f t="array" ref="I17">_xlfn.XLOOKUP(1, (SensorLab[Sample_ID]=A17) * (SensorLab[Analyte]=$I$1), SensorLab[Final_Results], "Not Found")</f>
        <v>7.8342999999999998</v>
      </c>
      <c r="J17" s="209" cm="1">
        <f t="array" ref="J17">_xlfn.XLOOKUP(1, (SensorLab[Sample_ID]=A17) * (SensorLab[Analyte]=$J$1), SensorLab[Final_Results], "Not Found")</f>
        <v>16.399999999999999</v>
      </c>
      <c r="K17" s="209" cm="1">
        <f t="array" ref="K17">_xlfn.XLOOKUP(1, (SensorLab[Sample_ID]=A17) * (SensorLab[Analyte]=$K$1), SensorLab[Final_Results], "Not Found")</f>
        <v>11.99733</v>
      </c>
      <c r="L17" s="209" cm="1">
        <f t="array" ref="L17">_xlfn.XLOOKUP(1, (SensorLab[Sample_ID]=A17) * (SensorLab[Analyte]=$L$1), SensorLab[Final_Results], "Not Found")</f>
        <v>0.6</v>
      </c>
      <c r="M17" s="209" cm="1">
        <f t="array" ref="M17">_xlfn.XLOOKUP(1, (SensorLab[Sample_ID]=A17) * (SensorLab[Analyte]=$M$1), SensorLab[Final_Results], "Not Found")</f>
        <v>40</v>
      </c>
      <c r="N17" s="209" cm="1">
        <f t="array" ref="N17">_xlfn.XLOOKUP(1, (SensorLab[Sample_ID]=A17) * (SensorLab[Analyte]=$N$1), SensorLab[Final_Results], "Not Found")</f>
        <v>40</v>
      </c>
      <c r="O17" s="209" cm="1">
        <f t="array" ref="O17">_xlfn.XLOOKUP(1, (SensorLab[Sample_ID]=A17) * (SensorLab[Analyte]=$O$1), SensorLab[Final_Results], "Not Found")</f>
        <v>20</v>
      </c>
      <c r="P17" s="51" t="str" cm="1">
        <f t="array" ref="P17">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Q17" s="209" t="str" cm="1">
        <f t="array" ref="Q17">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04.03</v>
      </c>
      <c r="R17" s="4" t="str" cm="1">
        <f t="array" ref="R17">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100%</v>
      </c>
      <c r="S17" s="4" t="str">
        <f t="shared" si="0"/>
        <v>Suitable</v>
      </c>
    </row>
    <row r="18" spans="1:30" x14ac:dyDescent="0.15">
      <c r="A18" s="22" t="s">
        <v>223</v>
      </c>
      <c r="B18" s="213">
        <v>33.352849499999998</v>
      </c>
      <c r="C18" s="213">
        <v>73.248091900000006</v>
      </c>
      <c r="D18" s="216" t="str">
        <f t="shared" si="1"/>
        <v>3712-6804</v>
      </c>
      <c r="E18" s="209" cm="1">
        <f t="array" ref="E18">_xlfn.XLOOKUP(1, (SensorLab[Sample_ID]=A18) * (SensorLab[Analyte]=$E$1), SensorLab[Final_Results], "Not Found")</f>
        <v>2</v>
      </c>
      <c r="F18" s="209" cm="1">
        <f t="array" ref="F18">_xlfn.XLOOKUP(1, (SensorLab[Sample_ID]=A18) * (SensorLab[Analyte]=$F$1), SensorLab[Final_Results], "Not Found")</f>
        <v>4.7995599999999996</v>
      </c>
      <c r="G18" s="209" cm="1">
        <f t="array" ref="G18">_xlfn.XLOOKUP(1, (SensorLab[Sample_ID]=A18) * (SensorLab[Analyte]=$G$1), SensorLab[Final_Results], "Not Found")</f>
        <v>103.77359</v>
      </c>
      <c r="H18" s="209" cm="1">
        <f t="array" ref="H18">_xlfn.XLOOKUP(1, (SensorLab[Sample_ID]=A18) * (SensorLab[Analyte]=$H$1), SensorLab[Final_Results], "Not Found")</f>
        <v>0.97851999999999995</v>
      </c>
      <c r="I18" s="209" cm="1">
        <f t="array" ref="I18">_xlfn.XLOOKUP(1, (SensorLab[Sample_ID]=A18) * (SensorLab[Analyte]=$I$1), SensorLab[Final_Results], "Not Found")</f>
        <v>7.8480100000000004</v>
      </c>
      <c r="J18" s="209" cm="1">
        <f t="array" ref="J18">_xlfn.XLOOKUP(1, (SensorLab[Sample_ID]=A18) * (SensorLab[Analyte]=$J$1), SensorLab[Final_Results], "Not Found")</f>
        <v>15.07315</v>
      </c>
      <c r="K18" s="209" cm="1">
        <f t="array" ref="K18">_xlfn.XLOOKUP(1, (SensorLab[Sample_ID]=A18) * (SensorLab[Analyte]=$K$1), SensorLab[Final_Results], "Not Found")</f>
        <v>20.299399999999999</v>
      </c>
      <c r="L18" s="209" cm="1">
        <f t="array" ref="L18">_xlfn.XLOOKUP(1, (SensorLab[Sample_ID]=A18) * (SensorLab[Analyte]=$L$1), SensorLab[Final_Results], "Not Found")</f>
        <v>0.6</v>
      </c>
      <c r="M18" s="209" cm="1">
        <f t="array" ref="M18">_xlfn.XLOOKUP(1, (SensorLab[Sample_ID]=A18) * (SensorLab[Analyte]=$M$1), SensorLab[Final_Results], "Not Found")</f>
        <v>12.5</v>
      </c>
      <c r="N18" s="209" cm="1">
        <f t="array" ref="N18">_xlfn.XLOOKUP(1, (SensorLab[Sample_ID]=A18) * (SensorLab[Analyte]=$N$1), SensorLab[Final_Results], "Not Found")</f>
        <v>65</v>
      </c>
      <c r="O18" s="209" cm="1">
        <f t="array" ref="O18">_xlfn.XLOOKUP(1, (SensorLab[Sample_ID]=A18) * (SensorLab[Analyte]=$O$1), SensorLab[Final_Results], "Not Found")</f>
        <v>22.5</v>
      </c>
      <c r="P18" s="51" t="str" cm="1">
        <f t="array" ref="P18">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Q18" s="209" t="str" cm="1">
        <f t="array" ref="Q18">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15.91</v>
      </c>
      <c r="R18" s="4" t="str" cm="1">
        <f t="array" ref="R18">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00%</v>
      </c>
      <c r="S18" s="4" t="str">
        <f t="shared" si="0"/>
        <v>Not Suitable</v>
      </c>
    </row>
    <row r="19" spans="1:30" x14ac:dyDescent="0.15">
      <c r="A19" s="22" t="s">
        <v>224</v>
      </c>
      <c r="B19" s="213">
        <v>33.352450500000003</v>
      </c>
      <c r="C19" s="213">
        <v>73.248228400000002</v>
      </c>
      <c r="D19" s="216" t="str">
        <f t="shared" si="1"/>
        <v>3712-6804</v>
      </c>
      <c r="E19" s="209" cm="1">
        <f t="array" ref="E19">_xlfn.XLOOKUP(1, (SensorLab[Sample_ID]=A19) * (SensorLab[Analyte]=$E$1), SensorLab[Final_Results], "Not Found")</f>
        <v>2</v>
      </c>
      <c r="F19" s="209" cm="1">
        <f t="array" ref="F19">_xlfn.XLOOKUP(1, (SensorLab[Sample_ID]=A19) * (SensorLab[Analyte]=$F$1), SensorLab[Final_Results], "Not Found")</f>
        <v>4.7995599999999996</v>
      </c>
      <c r="G19" s="209" cm="1">
        <f t="array" ref="G19">_xlfn.XLOOKUP(1, (SensorLab[Sample_ID]=A19) * (SensorLab[Analyte]=$G$1), SensorLab[Final_Results], "Not Found")</f>
        <v>103.77359</v>
      </c>
      <c r="H19" s="209" cm="1">
        <f t="array" ref="H19">_xlfn.XLOOKUP(1, (SensorLab[Sample_ID]=A19) * (SensorLab[Analyte]=$H$1), SensorLab[Final_Results], "Not Found")</f>
        <v>0.97851999999999995</v>
      </c>
      <c r="I19" s="209" cm="1">
        <f t="array" ref="I19">_xlfn.XLOOKUP(1, (SensorLab[Sample_ID]=A19) * (SensorLab[Analyte]=$I$1), SensorLab[Final_Results], "Not Found")</f>
        <v>7.8662900000000002</v>
      </c>
      <c r="J19" s="209" cm="1">
        <f t="array" ref="J19">_xlfn.XLOOKUP(1, (SensorLab[Sample_ID]=A19) * (SensorLab[Analyte]=$J$1), SensorLab[Final_Results], "Not Found")</f>
        <v>16.50206</v>
      </c>
      <c r="K19" s="209" cm="1">
        <f t="array" ref="K19">_xlfn.XLOOKUP(1, (SensorLab[Sample_ID]=A19) * (SensorLab[Analyte]=$K$1), SensorLab[Final_Results], "Not Found")</f>
        <v>22.399930000000001</v>
      </c>
      <c r="L19" s="209" cm="1">
        <f t="array" ref="L19">_xlfn.XLOOKUP(1, (SensorLab[Sample_ID]=A19) * (SensorLab[Analyte]=$L$1), SensorLab[Final_Results], "Not Found")</f>
        <v>0.6</v>
      </c>
      <c r="M19" s="209" cm="1">
        <f t="array" ref="M19">_xlfn.XLOOKUP(1, (SensorLab[Sample_ID]=A19) * (SensorLab[Analyte]=$M$1), SensorLab[Final_Results], "Not Found")</f>
        <v>5</v>
      </c>
      <c r="N19" s="209" cm="1">
        <f t="array" ref="N19">_xlfn.XLOOKUP(1, (SensorLab[Sample_ID]=A19) * (SensorLab[Analyte]=$N$1), SensorLab[Final_Results], "Not Found")</f>
        <v>72.5</v>
      </c>
      <c r="O19" s="209" cm="1">
        <f t="array" ref="O19">_xlfn.XLOOKUP(1, (SensorLab[Sample_ID]=A19) * (SensorLab[Analyte]=$O$1), SensorLab[Final_Results], "Not Found")</f>
        <v>22.5</v>
      </c>
      <c r="P19" s="51" t="str" cm="1">
        <f t="array" ref="P19">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Q19" s="209" t="str" cm="1">
        <f t="array" ref="Q19">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22.08</v>
      </c>
      <c r="R19" s="4" t="str" cm="1">
        <f t="array" ref="R19">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00%</v>
      </c>
      <c r="S19" s="4" t="str">
        <f t="shared" si="0"/>
        <v>Not Suitable</v>
      </c>
    </row>
    <row r="20" spans="1:30" x14ac:dyDescent="0.15">
      <c r="A20" s="22" t="s">
        <v>225</v>
      </c>
      <c r="B20" s="213">
        <v>33.353091399999997</v>
      </c>
      <c r="C20" s="213">
        <v>73.248827500000004</v>
      </c>
      <c r="D20" s="216" t="str">
        <f t="shared" si="1"/>
        <v>3712-6805</v>
      </c>
      <c r="E20" s="209" cm="1">
        <f t="array" ref="E20">_xlfn.XLOOKUP(1, (SensorLab[Sample_ID]=A20) * (SensorLab[Analyte]=$E$1), SensorLab[Final_Results], "Not Found")</f>
        <v>6.3517000000000001</v>
      </c>
      <c r="F20" s="209" cm="1">
        <f t="array" ref="F20">_xlfn.XLOOKUP(1, (SensorLab[Sample_ID]=A20) * (SensorLab[Analyte]=$F$1), SensorLab[Final_Results], "Not Found")</f>
        <v>7.1014200000000001</v>
      </c>
      <c r="G20" s="209" cm="1">
        <f t="array" ref="G20">_xlfn.XLOOKUP(1, (SensorLab[Sample_ID]=A20) * (SensorLab[Analyte]=$G$1), SensorLab[Final_Results], "Not Found")</f>
        <v>132.99340000000001</v>
      </c>
      <c r="H20" s="209" cm="1">
        <f t="array" ref="H20">_xlfn.XLOOKUP(1, (SensorLab[Sample_ID]=A20) * (SensorLab[Analyte]=$H$1), SensorLab[Final_Results], "Not Found")</f>
        <v>1.1036900000000001</v>
      </c>
      <c r="I20" s="209" cm="1">
        <f t="array" ref="I20">_xlfn.XLOOKUP(1, (SensorLab[Sample_ID]=A20) * (SensorLab[Analyte]=$I$1), SensorLab[Final_Results], "Not Found")</f>
        <v>7.8251600000000003</v>
      </c>
      <c r="J20" s="209" cm="1">
        <f t="array" ref="J20">_xlfn.XLOOKUP(1, (SensorLab[Sample_ID]=A20) * (SensorLab[Analyte]=$J$1), SensorLab[Final_Results], "Not Found")</f>
        <v>16.297930000000001</v>
      </c>
      <c r="K20" s="209" cm="1">
        <f t="array" ref="K20">_xlfn.XLOOKUP(1, (SensorLab[Sample_ID]=A20) * (SensorLab[Analyte]=$K$1), SensorLab[Final_Results], "Not Found")</f>
        <v>37.003590000000003</v>
      </c>
      <c r="L20" s="209" cm="1">
        <f t="array" ref="L20">_xlfn.XLOOKUP(1, (SensorLab[Sample_ID]=A20) * (SensorLab[Analyte]=$L$1), SensorLab[Final_Results], "Not Found")</f>
        <v>0.81072999999999995</v>
      </c>
      <c r="M20" s="209" cm="1">
        <f t="array" ref="M20">_xlfn.XLOOKUP(1, (SensorLab[Sample_ID]=A20) * (SensorLab[Analyte]=$M$1), SensorLab[Final_Results], "Not Found")</f>
        <v>54.5</v>
      </c>
      <c r="N20" s="209" cm="1">
        <f t="array" ref="N20">_xlfn.XLOOKUP(1, (SensorLab[Sample_ID]=A20) * (SensorLab[Analyte]=$N$1), SensorLab[Final_Results], "Not Found")</f>
        <v>32.5</v>
      </c>
      <c r="O20" s="209" cm="1">
        <f t="array" ref="O20">_xlfn.XLOOKUP(1, (SensorLab[Sample_ID]=A20) * (SensorLab[Analyte]=$O$1), SensorLab[Final_Results], "Not Found")</f>
        <v>15</v>
      </c>
      <c r="P20" s="51" t="str" cm="1">
        <f t="array" ref="P20">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Q20" s="209" t="str" cm="1">
        <f t="array" ref="Q20">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13.10</v>
      </c>
      <c r="R20" s="4" t="str" cm="1">
        <f t="array" ref="R20">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00%</v>
      </c>
      <c r="S20" s="4" t="str">
        <f t="shared" si="0"/>
        <v>Not Suitable</v>
      </c>
    </row>
    <row r="21" spans="1:30" x14ac:dyDescent="0.15">
      <c r="A21" s="22" t="s">
        <v>226</v>
      </c>
      <c r="B21" s="213">
        <v>33.3525566</v>
      </c>
      <c r="C21" s="213">
        <v>73.248809399999999</v>
      </c>
      <c r="D21" s="216" t="str">
        <f t="shared" si="1"/>
        <v>3712-6805</v>
      </c>
      <c r="E21" s="209" cm="1">
        <f t="array" ref="E21">_xlfn.XLOOKUP(1, (SensorLab[Sample_ID]=A21) * (SensorLab[Analyte]=$E$1), SensorLab[Final_Results], "Not Found")</f>
        <v>5.6498100000000004</v>
      </c>
      <c r="F21" s="209" cm="1">
        <f t="array" ref="F21">_xlfn.XLOOKUP(1, (SensorLab[Sample_ID]=A21) * (SensorLab[Analyte]=$F$1), SensorLab[Final_Results], "Not Found")</f>
        <v>6.7761500000000003</v>
      </c>
      <c r="G21" s="209" cm="1">
        <f t="array" ref="G21">_xlfn.XLOOKUP(1, (SensorLab[Sample_ID]=A21) * (SensorLab[Analyte]=$G$1), SensorLab[Final_Results], "Not Found")</f>
        <v>128.90890999999999</v>
      </c>
      <c r="H21" s="209" cm="1">
        <f t="array" ref="H21">_xlfn.XLOOKUP(1, (SensorLab[Sample_ID]=A21) * (SensorLab[Analyte]=$H$1), SensorLab[Final_Results], "Not Found")</f>
        <v>1.08666</v>
      </c>
      <c r="I21" s="209" cm="1">
        <f t="array" ref="I21">_xlfn.XLOOKUP(1, (SensorLab[Sample_ID]=A21) * (SensorLab[Analyte]=$I$1), SensorLab[Final_Results], "Not Found")</f>
        <v>7.8342999999999998</v>
      </c>
      <c r="J21" s="209" cm="1">
        <f t="array" ref="J21">_xlfn.XLOOKUP(1, (SensorLab[Sample_ID]=A21) * (SensorLab[Analyte]=$J$1), SensorLab[Final_Results], "Not Found")</f>
        <v>12.113250000000001</v>
      </c>
      <c r="K21" s="209" cm="1">
        <f t="array" ref="K21">_xlfn.XLOOKUP(1, (SensorLab[Sample_ID]=A21) * (SensorLab[Analyte]=$K$1), SensorLab[Final_Results], "Not Found")</f>
        <v>32.002330000000001</v>
      </c>
      <c r="L21" s="209" cm="1">
        <f t="array" ref="L21">_xlfn.XLOOKUP(1, (SensorLab[Sample_ID]=A21) * (SensorLab[Analyte]=$L$1), SensorLab[Final_Results], "Not Found")</f>
        <v>0.77671000000000001</v>
      </c>
      <c r="M21" s="209" cm="1">
        <f t="array" ref="M21">_xlfn.XLOOKUP(1, (SensorLab[Sample_ID]=A21) * (SensorLab[Analyte]=$M$1), SensorLab[Final_Results], "Not Found")</f>
        <v>12.5</v>
      </c>
      <c r="N21" s="209" cm="1">
        <f t="array" ref="N21">_xlfn.XLOOKUP(1, (SensorLab[Sample_ID]=A21) * (SensorLab[Analyte]=$N$1), SensorLab[Final_Results], "Not Found")</f>
        <v>72.5</v>
      </c>
      <c r="O21" s="209" cm="1">
        <f t="array" ref="O21">_xlfn.XLOOKUP(1, (SensorLab[Sample_ID]=A21) * (SensorLab[Analyte]=$O$1), SensorLab[Final_Results], "Not Found")</f>
        <v>15</v>
      </c>
      <c r="P21" s="51" t="str" cm="1">
        <f t="array" ref="P21">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Q21" s="209" t="str" cm="1">
        <f t="array" ref="Q21">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13.07</v>
      </c>
      <c r="R21" s="4" t="str" cm="1">
        <f t="array" ref="R21">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00%</v>
      </c>
      <c r="S21" s="4" t="str">
        <f t="shared" si="0"/>
        <v>Not Suitable</v>
      </c>
    </row>
    <row r="22" spans="1:30" x14ac:dyDescent="0.15">
      <c r="A22" s="22" t="s">
        <v>227</v>
      </c>
      <c r="B22" s="213">
        <v>33.302750500000002</v>
      </c>
      <c r="C22" s="213">
        <v>73.206872399999995</v>
      </c>
      <c r="D22" s="216" t="str">
        <f t="shared" si="1"/>
        <v>3707-6801</v>
      </c>
      <c r="E22" s="209" cm="1">
        <f t="array" ref="E22">_xlfn.XLOOKUP(1, (SensorLab[Sample_ID]=A22) * (SensorLab[Analyte]=$E$1), SensorLab[Final_Results], "Not Found")</f>
        <v>2.2807499999999998</v>
      </c>
      <c r="F22" s="209" cm="1">
        <f t="array" ref="F22">_xlfn.XLOOKUP(1, (SensorLab[Sample_ID]=A22) * (SensorLab[Analyte]=$F$1), SensorLab[Final_Results], "Not Found")</f>
        <v>5.4250600000000002</v>
      </c>
      <c r="G22" s="209" cm="1">
        <f t="array" ref="G22">_xlfn.XLOOKUP(1, (SensorLab[Sample_ID]=A22) * (SensorLab[Analyte]=$G$1), SensorLab[Final_Results], "Not Found")</f>
        <v>111.62838000000001</v>
      </c>
      <c r="H22" s="209" cm="1">
        <f t="array" ref="H22">_xlfn.XLOOKUP(1, (SensorLab[Sample_ID]=A22) * (SensorLab[Analyte]=$H$1), SensorLab[Final_Results], "Not Found")</f>
        <v>1.0125999999999999</v>
      </c>
      <c r="I22" s="209" cm="1">
        <f t="array" ref="I22">_xlfn.XLOOKUP(1, (SensorLab[Sample_ID]=A22) * (SensorLab[Analyte]=$I$1), SensorLab[Final_Results], "Not Found")</f>
        <v>7.83887</v>
      </c>
      <c r="J22" s="209" cm="1">
        <f t="array" ref="J22">_xlfn.XLOOKUP(1, (SensorLab[Sample_ID]=A22) * (SensorLab[Analyte]=$J$1), SensorLab[Final_Results], "Not Found")</f>
        <v>17.52272</v>
      </c>
      <c r="K22" s="209" cm="1">
        <f t="array" ref="K22">_xlfn.XLOOKUP(1, (SensorLab[Sample_ID]=A22) * (SensorLab[Analyte]=$K$1), SensorLab[Final_Results], "Not Found")</f>
        <v>22.7</v>
      </c>
      <c r="L22" s="209" cm="1">
        <f t="array" ref="L22">_xlfn.XLOOKUP(1, (SensorLab[Sample_ID]=A22) * (SensorLab[Analyte]=$L$1), SensorLab[Final_Results], "Not Found")</f>
        <v>0.61338999999999999</v>
      </c>
      <c r="M22" s="209" cm="1">
        <f t="array" ref="M22">_xlfn.XLOOKUP(1, (SensorLab[Sample_ID]=A22) * (SensorLab[Analyte]=$M$1), SensorLab[Final_Results], "Not Found")</f>
        <v>7.5</v>
      </c>
      <c r="N22" s="209" cm="1">
        <f t="array" ref="N22">_xlfn.XLOOKUP(1, (SensorLab[Sample_ID]=A22) * (SensorLab[Analyte]=$N$1), SensorLab[Final_Results], "Not Found")</f>
        <v>72.5</v>
      </c>
      <c r="O22" s="209" cm="1">
        <f t="array" ref="O22">_xlfn.XLOOKUP(1, (SensorLab[Sample_ID]=A22) * (SensorLab[Analyte]=$O$1), SensorLab[Final_Results], "Not Found")</f>
        <v>20</v>
      </c>
      <c r="P22" s="51" t="str" cm="1">
        <f t="array" ref="P22">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Q22" s="209" t="str" cm="1">
        <f t="array" ref="Q22">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18.99</v>
      </c>
      <c r="R22" s="4" t="str" cm="1">
        <f t="array" ref="R22">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00%</v>
      </c>
      <c r="S22" s="4" t="str">
        <f t="shared" si="0"/>
        <v>Not Suitable</v>
      </c>
    </row>
    <row r="23" spans="1:30" x14ac:dyDescent="0.15">
      <c r="A23" s="22" t="s">
        <v>228</v>
      </c>
      <c r="B23" s="213">
        <v>33.302718499999997</v>
      </c>
      <c r="C23" s="213">
        <v>73.206865100000002</v>
      </c>
      <c r="D23" s="216" t="str">
        <f t="shared" si="1"/>
        <v>3707-6801</v>
      </c>
      <c r="E23" s="209" cm="1">
        <f t="array" ref="E23">_xlfn.XLOOKUP(1, (SensorLab[Sample_ID]=A23) * (SensorLab[Analyte]=$E$1), SensorLab[Final_Results], "Not Found")</f>
        <v>2</v>
      </c>
      <c r="F23" s="209" cm="1">
        <f t="array" ref="F23">_xlfn.XLOOKUP(1, (SensorLab[Sample_ID]=A23) * (SensorLab[Analyte]=$F$1), SensorLab[Final_Results], "Not Found")</f>
        <v>4.6994800000000003</v>
      </c>
      <c r="G23" s="209" cm="1">
        <f t="array" ref="G23">_xlfn.XLOOKUP(1, (SensorLab[Sample_ID]=A23) * (SensorLab[Analyte]=$G$1), SensorLab[Final_Results], "Not Found")</f>
        <v>102.51683</v>
      </c>
      <c r="H23" s="209" cm="1">
        <f t="array" ref="H23">_xlfn.XLOOKUP(1, (SensorLab[Sample_ID]=A23) * (SensorLab[Analyte]=$H$1), SensorLab[Final_Results], "Not Found")</f>
        <v>0.97394000000000003</v>
      </c>
      <c r="I23" s="209" cm="1">
        <f t="array" ref="I23">_xlfn.XLOOKUP(1, (SensorLab[Sample_ID]=A23) * (SensorLab[Analyte]=$I$1), SensorLab[Final_Results], "Not Found")</f>
        <v>7.86172</v>
      </c>
      <c r="J23" s="209" cm="1">
        <f t="array" ref="J23">_xlfn.XLOOKUP(1, (SensorLab[Sample_ID]=A23) * (SensorLab[Analyte]=$J$1), SensorLab[Final_Results], "Not Found")</f>
        <v>16.50206</v>
      </c>
      <c r="K23" s="209" cm="1">
        <f t="array" ref="K23">_xlfn.XLOOKUP(1, (SensorLab[Sample_ID]=A23) * (SensorLab[Analyte]=$K$1), SensorLab[Final_Results], "Not Found")</f>
        <v>18.899049999999999</v>
      </c>
      <c r="L23" s="209" cm="1">
        <f t="array" ref="L23">_xlfn.XLOOKUP(1, (SensorLab[Sample_ID]=A23) * (SensorLab[Analyte]=$L$1), SensorLab[Final_Results], "Not Found")</f>
        <v>0.6</v>
      </c>
      <c r="M23" s="209" cm="1">
        <f t="array" ref="M23">_xlfn.XLOOKUP(1, (SensorLab[Sample_ID]=A23) * (SensorLab[Analyte]=$M$1), SensorLab[Final_Results], "Not Found")</f>
        <v>27.5</v>
      </c>
      <c r="N23" s="209" cm="1">
        <f t="array" ref="N23">_xlfn.XLOOKUP(1, (SensorLab[Sample_ID]=A23) * (SensorLab[Analyte]=$N$1), SensorLab[Final_Results], "Not Found")</f>
        <v>47.5</v>
      </c>
      <c r="O23" s="209" cm="1">
        <f t="array" ref="O23">_xlfn.XLOOKUP(1, (SensorLab[Sample_ID]=A23) * (SensorLab[Analyte]=$O$1), SensorLab[Final_Results], "Not Found")</f>
        <v>25</v>
      </c>
      <c r="P23" s="51" t="str" cm="1">
        <f t="array" ref="P23">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Q23" s="209" t="str" cm="1">
        <f t="array" ref="Q23">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11.61</v>
      </c>
      <c r="R23" s="4" t="str" cm="1">
        <f t="array" ref="R23">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00%</v>
      </c>
      <c r="S23" s="4" t="str">
        <f t="shared" si="0"/>
        <v>Not Suitable</v>
      </c>
    </row>
    <row r="24" spans="1:30" x14ac:dyDescent="0.15">
      <c r="A24" s="22" t="s">
        <v>229</v>
      </c>
      <c r="B24" s="213">
        <v>33.303047499999998</v>
      </c>
      <c r="C24" s="213">
        <v>73.206701100000004</v>
      </c>
      <c r="D24" s="216" t="str">
        <f t="shared" si="1"/>
        <v>3707-6801</v>
      </c>
      <c r="E24" s="209" cm="1">
        <f t="array" ref="E24">_xlfn.XLOOKUP(1, (SensorLab[Sample_ID]=A24) * (SensorLab[Analyte]=$E$1), SensorLab[Final_Results], "Not Found")</f>
        <v>3.9652799999999999</v>
      </c>
      <c r="F24" s="209" cm="1">
        <f t="array" ref="F24">_xlfn.XLOOKUP(1, (SensorLab[Sample_ID]=A24) * (SensorLab[Analyte]=$F$1), SensorLab[Final_Results], "Not Found")</f>
        <v>6.1256300000000001</v>
      </c>
      <c r="G24" s="209" cm="1">
        <f t="array" ref="G24">_xlfn.XLOOKUP(1, (SensorLab[Sample_ID]=A24) * (SensorLab[Analyte]=$G$1), SensorLab[Final_Results], "Not Found")</f>
        <v>120.73993</v>
      </c>
      <c r="H24" s="209" cm="1">
        <f t="array" ref="H24">_xlfn.XLOOKUP(1, (SensorLab[Sample_ID]=A24) * (SensorLab[Analyte]=$H$1), SensorLab[Final_Results], "Not Found")</f>
        <v>1.0512699999999999</v>
      </c>
      <c r="I24" s="209" cm="1">
        <f t="array" ref="I24">_xlfn.XLOOKUP(1, (SensorLab[Sample_ID]=A24) * (SensorLab[Analyte]=$I$1), SensorLab[Final_Results], "Not Found")</f>
        <v>7.8434400000000002</v>
      </c>
      <c r="J24" s="209" cm="1">
        <f t="array" ref="J24">_xlfn.XLOOKUP(1, (SensorLab[Sample_ID]=A24) * (SensorLab[Analyte]=$J$1), SensorLab[Final_Results], "Not Found")</f>
        <v>18.03304</v>
      </c>
      <c r="K24" s="209" cm="1">
        <f t="array" ref="K24">_xlfn.XLOOKUP(1, (SensorLab[Sample_ID]=A24) * (SensorLab[Analyte]=$K$1), SensorLab[Final_Results], "Not Found")</f>
        <v>25.10061</v>
      </c>
      <c r="L24" s="209" cm="1">
        <f t="array" ref="L24">_xlfn.XLOOKUP(1, (SensorLab[Sample_ID]=A24) * (SensorLab[Analyte]=$L$1), SensorLab[Final_Results], "Not Found")</f>
        <v>0.69504999999999995</v>
      </c>
      <c r="M24" s="209" cm="1">
        <f t="array" ref="M24">_xlfn.XLOOKUP(1, (SensorLab[Sample_ID]=A24) * (SensorLab[Analyte]=$M$1), SensorLab[Final_Results], "Not Found")</f>
        <v>52</v>
      </c>
      <c r="N24" s="209" cm="1">
        <f t="array" ref="N24">_xlfn.XLOOKUP(1, (SensorLab[Sample_ID]=A24) * (SensorLab[Analyte]=$N$1), SensorLab[Final_Results], "Not Found")</f>
        <v>33</v>
      </c>
      <c r="O24" s="209" cm="1">
        <f t="array" ref="O24">_xlfn.XLOOKUP(1, (SensorLab[Sample_ID]=A24) * (SensorLab[Analyte]=$O$1), SensorLab[Final_Results], "Not Found")</f>
        <v>15</v>
      </c>
      <c r="P24" s="51" t="str" cm="1">
        <f t="array" ref="P24">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Q24" s="209" t="str" cm="1">
        <f t="array" ref="Q24">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15.26</v>
      </c>
      <c r="R24" s="4" t="str" cm="1">
        <f t="array" ref="R24">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00%</v>
      </c>
      <c r="S24" s="4" t="str">
        <f t="shared" si="0"/>
        <v>Not Suitable</v>
      </c>
    </row>
    <row r="25" spans="1:30" x14ac:dyDescent="0.15">
      <c r="A25" s="22" t="s">
        <v>230</v>
      </c>
      <c r="B25" s="213">
        <v>33.3030519</v>
      </c>
      <c r="C25" s="213">
        <v>73.206341800000004</v>
      </c>
      <c r="D25" s="216" t="str">
        <f t="shared" si="1"/>
        <v>3707-6801</v>
      </c>
      <c r="E25" s="209" cm="1">
        <f t="array" ref="E25">_xlfn.XLOOKUP(1, (SensorLab[Sample_ID]=A25) * (SensorLab[Analyte]=$E$1), SensorLab[Final_Results], "Not Found")</f>
        <v>4.9479199999999999</v>
      </c>
      <c r="F25" s="209" cm="1">
        <f t="array" ref="F25">_xlfn.XLOOKUP(1, (SensorLab[Sample_ID]=A25) * (SensorLab[Analyte]=$F$1), SensorLab[Final_Results], "Not Found")</f>
        <v>6.5009300000000003</v>
      </c>
      <c r="G25" s="209" cm="1">
        <f t="array" ref="G25">_xlfn.XLOOKUP(1, (SensorLab[Sample_ID]=A25) * (SensorLab[Analyte]=$G$1), SensorLab[Final_Results], "Not Found")</f>
        <v>125.45281</v>
      </c>
      <c r="H25" s="209" cm="1">
        <f t="array" ref="H25">_xlfn.XLOOKUP(1, (SensorLab[Sample_ID]=A25) * (SensorLab[Analyte]=$H$1), SensorLab[Final_Results], "Not Found")</f>
        <v>1.07158</v>
      </c>
      <c r="I25" s="209" cm="1">
        <f t="array" ref="I25">_xlfn.XLOOKUP(1, (SensorLab[Sample_ID]=A25) * (SensorLab[Analyte]=$I$1), SensorLab[Final_Results], "Not Found")</f>
        <v>7.83887</v>
      </c>
      <c r="J25" s="209" cm="1">
        <f t="array" ref="J25">_xlfn.XLOOKUP(1, (SensorLab[Sample_ID]=A25) * (SensorLab[Analyte]=$J$1), SensorLab[Final_Results], "Not Found")</f>
        <v>18.645440000000001</v>
      </c>
      <c r="K25" s="209" cm="1">
        <f t="array" ref="K25">_xlfn.XLOOKUP(1, (SensorLab[Sample_ID]=A25) * (SensorLab[Analyte]=$K$1), SensorLab[Final_Results], "Not Found")</f>
        <v>26.901060000000001</v>
      </c>
      <c r="L25" s="209" cm="1">
        <f t="array" ref="L25">_xlfn.XLOOKUP(1, (SensorLab[Sample_ID]=A25) * (SensorLab[Analyte]=$L$1), SensorLab[Final_Results], "Not Found")</f>
        <v>0.74268000000000001</v>
      </c>
      <c r="M25" s="209" cm="1">
        <f t="array" ref="M25">_xlfn.XLOOKUP(1, (SensorLab[Sample_ID]=A25) * (SensorLab[Analyte]=$M$1), SensorLab[Final_Results], "Not Found")</f>
        <v>40</v>
      </c>
      <c r="N25" s="209" cm="1">
        <f t="array" ref="N25">_xlfn.XLOOKUP(1, (SensorLab[Sample_ID]=A25) * (SensorLab[Analyte]=$N$1), SensorLab[Final_Results], "Not Found")</f>
        <v>40</v>
      </c>
      <c r="O25" s="209" cm="1">
        <f t="array" ref="O25">_xlfn.XLOOKUP(1, (SensorLab[Sample_ID]=A25) * (SensorLab[Analyte]=$O$1), SensorLab[Final_Results], "Not Found")</f>
        <v>20</v>
      </c>
      <c r="P25" s="51" t="str" cm="1">
        <f t="array" ref="P25">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Q25" s="209" t="str" cm="1">
        <f t="array" ref="Q25">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04.03</v>
      </c>
      <c r="R25" s="4" t="str" cm="1">
        <f t="array" ref="R25">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100%</v>
      </c>
      <c r="S25" s="4" t="str">
        <f t="shared" si="0"/>
        <v>Suitable</v>
      </c>
    </row>
    <row r="26" spans="1:30" x14ac:dyDescent="0.15">
      <c r="A26" s="22" t="s">
        <v>231</v>
      </c>
      <c r="B26" s="213">
        <v>33.3030501</v>
      </c>
      <c r="C26" s="213">
        <v>73.206337700000006</v>
      </c>
      <c r="D26" s="216" t="str">
        <f t="shared" si="1"/>
        <v>3707-6801</v>
      </c>
      <c r="E26" s="209" cm="1">
        <f t="array" ref="E26">_xlfn.XLOOKUP(1, (SensorLab[Sample_ID]=A26) * (SensorLab[Analyte]=$E$1), SensorLab[Final_Results], "Not Found")</f>
        <v>6.3517000000000001</v>
      </c>
      <c r="F26" s="209" cm="1">
        <f t="array" ref="F26">_xlfn.XLOOKUP(1, (SensorLab[Sample_ID]=A26) * (SensorLab[Analyte]=$F$1), SensorLab[Final_Results], "Not Found")</f>
        <v>7.0763999999999996</v>
      </c>
      <c r="G26" s="209" cm="1">
        <f t="array" ref="G26">_xlfn.XLOOKUP(1, (SensorLab[Sample_ID]=A26) * (SensorLab[Analyte]=$G$1), SensorLab[Final_Results], "Not Found")</f>
        <v>132.67921000000001</v>
      </c>
      <c r="H26" s="209" cm="1">
        <f t="array" ref="H26">_xlfn.XLOOKUP(1, (SensorLab[Sample_ID]=A26) * (SensorLab[Analyte]=$H$1), SensorLab[Final_Results], "Not Found")</f>
        <v>1.1023799999999999</v>
      </c>
      <c r="I26" s="209" cm="1">
        <f t="array" ref="I26">_xlfn.XLOOKUP(1, (SensorLab[Sample_ID]=A26) * (SensorLab[Analyte]=$I$1), SensorLab[Final_Results], "Not Found")</f>
        <v>7.8342999999999998</v>
      </c>
      <c r="J26" s="209" cm="1">
        <f t="array" ref="J26">_xlfn.XLOOKUP(1, (SensorLab[Sample_ID]=A26) * (SensorLab[Analyte]=$J$1), SensorLab[Final_Results], "Not Found")</f>
        <v>19.666090000000001</v>
      </c>
      <c r="K26" s="209" cm="1">
        <f t="array" ref="K26">_xlfn.XLOOKUP(1, (SensorLab[Sample_ID]=A26) * (SensorLab[Analyte]=$K$1), SensorLab[Final_Results], "Not Found")</f>
        <v>27.40118</v>
      </c>
      <c r="L26" s="209" cm="1">
        <f t="array" ref="L26">_xlfn.XLOOKUP(1, (SensorLab[Sample_ID]=A26) * (SensorLab[Analyte]=$L$1), SensorLab[Final_Results], "Not Found")</f>
        <v>0.81072999999999995</v>
      </c>
      <c r="M26" s="209" cm="1">
        <f t="array" ref="M26">_xlfn.XLOOKUP(1, (SensorLab[Sample_ID]=A26) * (SensorLab[Analyte]=$M$1), SensorLab[Final_Results], "Not Found")</f>
        <v>40</v>
      </c>
      <c r="N26" s="209" cm="1">
        <f t="array" ref="N26">_xlfn.XLOOKUP(1, (SensorLab[Sample_ID]=A26) * (SensorLab[Analyte]=$N$1), SensorLab[Final_Results], "Not Found")</f>
        <v>40</v>
      </c>
      <c r="O26" s="209" cm="1">
        <f t="array" ref="O26">_xlfn.XLOOKUP(1, (SensorLab[Sample_ID]=A26) * (SensorLab[Analyte]=$O$1), SensorLab[Final_Results], "Not Found")</f>
        <v>20</v>
      </c>
      <c r="P26" s="51" t="str" cm="1">
        <f t="array" ref="P26">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Q26" s="209" t="str" cm="1">
        <f t="array" ref="Q26">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04.03</v>
      </c>
      <c r="R26" s="4" t="str" cm="1">
        <f t="array" ref="R26">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100%</v>
      </c>
      <c r="S26" s="4" t="str">
        <f t="shared" si="0"/>
        <v>Suitable</v>
      </c>
      <c r="X26" s="279"/>
      <c r="Y26" s="280"/>
      <c r="Z26" s="280"/>
      <c r="AA26" s="280"/>
      <c r="AB26" s="280"/>
      <c r="AC26" s="280"/>
      <c r="AD26" s="280"/>
    </row>
    <row r="27" spans="1:30" x14ac:dyDescent="0.15">
      <c r="A27" s="22" t="s">
        <v>232</v>
      </c>
      <c r="B27" s="213">
        <v>33.302413299999998</v>
      </c>
      <c r="C27" s="213">
        <v>73.206961699999994</v>
      </c>
      <c r="D27" s="216" t="str">
        <f t="shared" si="1"/>
        <v>3707-6801</v>
      </c>
      <c r="E27" s="209" cm="1">
        <f t="array" ref="E27">_xlfn.XLOOKUP(1, (SensorLab[Sample_ID]=A27) * (SensorLab[Analyte]=$E$1), SensorLab[Final_Results], "Not Found")</f>
        <v>2</v>
      </c>
      <c r="F27" s="209" cm="1">
        <f t="array" ref="F27">_xlfn.XLOOKUP(1, (SensorLab[Sample_ID]=A27) * (SensorLab[Analyte]=$F$1), SensorLab[Final_Results], "Not Found")</f>
        <v>4.1240100000000002</v>
      </c>
      <c r="G27" s="209" cm="1">
        <f t="array" ref="G27">_xlfn.XLOOKUP(1, (SensorLab[Sample_ID]=A27) * (SensorLab[Analyte]=$G$1), SensorLab[Final_Results], "Not Found")</f>
        <v>97.80395</v>
      </c>
      <c r="H27" s="209" cm="1">
        <f t="array" ref="H27">_xlfn.XLOOKUP(1, (SensorLab[Sample_ID]=A27) * (SensorLab[Analyte]=$H$1), SensorLab[Final_Results], "Not Found")</f>
        <v>0.93067999999999995</v>
      </c>
      <c r="I27" s="209" cm="1">
        <f t="array" ref="I27">_xlfn.XLOOKUP(1, (SensorLab[Sample_ID]=A27) * (SensorLab[Analyte]=$I$1), SensorLab[Final_Results], "Not Found")</f>
        <v>7.8342999999999998</v>
      </c>
      <c r="J27" s="209" cm="1">
        <f t="array" ref="J27">_xlfn.XLOOKUP(1, (SensorLab[Sample_ID]=A27) * (SensorLab[Analyte]=$J$1), SensorLab[Final_Results], "Not Found")</f>
        <v>21.605329999999999</v>
      </c>
      <c r="K27" s="209" cm="1">
        <f t="array" ref="K27">_xlfn.XLOOKUP(1, (SensorLab[Sample_ID]=A27) * (SensorLab[Analyte]=$K$1), SensorLab[Final_Results], "Not Found")</f>
        <v>17.898800000000001</v>
      </c>
      <c r="L27" s="209" cm="1">
        <f t="array" ref="L27">_xlfn.XLOOKUP(1, (SensorLab[Sample_ID]=A27) * (SensorLab[Analyte]=$L$1), SensorLab[Final_Results], "Not Found")</f>
        <v>0.6</v>
      </c>
      <c r="M27" s="209" cm="1">
        <f t="array" ref="M27">_xlfn.XLOOKUP(1, (SensorLab[Sample_ID]=A27) * (SensorLab[Analyte]=$M$1), SensorLab[Final_Results], "Not Found")</f>
        <v>0</v>
      </c>
      <c r="N27" s="209" cm="1">
        <f t="array" ref="N27">_xlfn.XLOOKUP(1, (SensorLab[Sample_ID]=A27) * (SensorLab[Analyte]=$N$1), SensorLab[Final_Results], "Not Found")</f>
        <v>0</v>
      </c>
      <c r="O27" s="209" cm="1">
        <f t="array" ref="O27">_xlfn.XLOOKUP(1, (SensorLab[Sample_ID]=A27) * (SensorLab[Analyte]=$O$1), SensorLab[Final_Results], "Not Found")</f>
        <v>0</v>
      </c>
      <c r="P27" s="51" t="str" cm="1">
        <f t="array" ref="P27">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Q27" s="209" t="str" cm="1">
        <f t="array" ref="Q27">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56.71</v>
      </c>
      <c r="R27" s="4" t="str" cm="1">
        <f t="array" ref="R27">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00%</v>
      </c>
      <c r="S27" s="4" t="str">
        <f t="shared" si="0"/>
        <v>Not Suitable</v>
      </c>
      <c r="X27" s="281"/>
      <c r="Y27" s="282"/>
      <c r="Z27" s="282"/>
      <c r="AA27" s="282"/>
      <c r="AB27" s="282"/>
      <c r="AC27" s="282"/>
      <c r="AD27" s="282"/>
    </row>
    <row r="28" spans="1:30" x14ac:dyDescent="0.15">
      <c r="A28" s="22" t="s">
        <v>233</v>
      </c>
      <c r="B28" s="213">
        <v>33.302208299999997</v>
      </c>
      <c r="C28" s="213">
        <v>73.206914999999995</v>
      </c>
      <c r="D28" s="216" t="str">
        <f t="shared" si="1"/>
        <v>3707-6801</v>
      </c>
      <c r="E28" s="209" cm="1">
        <f t="array" ref="E28">_xlfn.XLOOKUP(1, (SensorLab[Sample_ID]=A28) * (SensorLab[Analyte]=$E$1), SensorLab[Final_Results], "Not Found")</f>
        <v>2</v>
      </c>
      <c r="F28" s="209" cm="1">
        <f t="array" ref="F28">_xlfn.XLOOKUP(1, (SensorLab[Sample_ID]=A28) * (SensorLab[Analyte]=$F$1), SensorLab[Final_Results], "Not Found")</f>
        <v>4.1240100000000002</v>
      </c>
      <c r="G28" s="209" cm="1">
        <f t="array" ref="G28">_xlfn.XLOOKUP(1, (SensorLab[Sample_ID]=A28) * (SensorLab[Analyte]=$G$1), SensorLab[Final_Results], "Not Found")</f>
        <v>97.80395</v>
      </c>
      <c r="H28" s="209" cm="1">
        <f t="array" ref="H28">_xlfn.XLOOKUP(1, (SensorLab[Sample_ID]=A28) * (SensorLab[Analyte]=$H$1), SensorLab[Final_Results], "Not Found")</f>
        <v>0.93920000000000003</v>
      </c>
      <c r="I28" s="209" cm="1">
        <f t="array" ref="I28">_xlfn.XLOOKUP(1, (SensorLab[Sample_ID]=A28) * (SensorLab[Analyte]=$I$1), SensorLab[Final_Results], "Not Found")</f>
        <v>7.7794600000000003</v>
      </c>
      <c r="J28" s="209" cm="1">
        <f t="array" ref="J28">_xlfn.XLOOKUP(1, (SensorLab[Sample_ID]=A28) * (SensorLab[Analyte]=$J$1), SensorLab[Final_Results], "Not Found")</f>
        <v>21.095009999999998</v>
      </c>
      <c r="K28" s="209" cm="1">
        <f t="array" ref="K28">_xlfn.XLOOKUP(1, (SensorLab[Sample_ID]=A28) * (SensorLab[Analyte]=$K$1), SensorLab[Final_Results], "Not Found")</f>
        <v>18.198879999999999</v>
      </c>
      <c r="L28" s="209" cm="1">
        <f t="array" ref="L28">_xlfn.XLOOKUP(1, (SensorLab[Sample_ID]=A28) * (SensorLab[Analyte]=$L$1), SensorLab[Final_Results], "Not Found")</f>
        <v>0.6</v>
      </c>
      <c r="M28" s="209" cm="1">
        <f t="array" ref="M28">_xlfn.XLOOKUP(1, (SensorLab[Sample_ID]=A28) * (SensorLab[Analyte]=$M$1), SensorLab[Final_Results], "Not Found")</f>
        <v>40</v>
      </c>
      <c r="N28" s="209" cm="1">
        <f t="array" ref="N28">_xlfn.XLOOKUP(1, (SensorLab[Sample_ID]=A28) * (SensorLab[Analyte]=$N$1), SensorLab[Final_Results], "Not Found")</f>
        <v>40</v>
      </c>
      <c r="O28" s="209" cm="1">
        <f t="array" ref="O28">_xlfn.XLOOKUP(1, (SensorLab[Sample_ID]=A28) * (SensorLab[Analyte]=$O$1), SensorLab[Final_Results], "Not Found")</f>
        <v>20</v>
      </c>
      <c r="P28" s="51" t="str" cm="1">
        <f t="array" ref="P28">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Q28" s="209" t="str" cm="1">
        <f t="array" ref="Q28">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04.03</v>
      </c>
      <c r="R28" s="4" t="str" cm="1">
        <f t="array" ref="R28">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100%</v>
      </c>
      <c r="S28" s="4" t="str">
        <f t="shared" si="0"/>
        <v>Suitable</v>
      </c>
      <c r="X28" s="281"/>
      <c r="Y28" s="282"/>
      <c r="Z28" s="282"/>
      <c r="AA28" s="282"/>
      <c r="AB28" s="282"/>
      <c r="AC28" s="282"/>
      <c r="AD28" s="282"/>
    </row>
    <row r="29" spans="1:30" x14ac:dyDescent="0.15">
      <c r="A29" s="22" t="s">
        <v>234</v>
      </c>
      <c r="B29" s="213">
        <v>33.30227</v>
      </c>
      <c r="C29" s="213">
        <v>73.207336699999999</v>
      </c>
      <c r="D29" s="216" t="str">
        <f t="shared" si="1"/>
        <v>3707-6801</v>
      </c>
      <c r="E29" s="209" cm="1">
        <f t="array" ref="E29">_xlfn.XLOOKUP(1, (SensorLab[Sample_ID]=A29) * (SensorLab[Analyte]=$E$1), SensorLab[Final_Results], "Not Found")</f>
        <v>2</v>
      </c>
      <c r="F29" s="209" cm="1">
        <f t="array" ref="F29">_xlfn.XLOOKUP(1, (SensorLab[Sample_ID]=A29) * (SensorLab[Analyte]=$F$1), SensorLab[Final_Results], "Not Found")</f>
        <v>4.1740500000000003</v>
      </c>
      <c r="G29" s="209" cm="1">
        <f t="array" ref="G29">_xlfn.XLOOKUP(1, (SensorLab[Sample_ID]=A29) * (SensorLab[Analyte]=$G$1), SensorLab[Final_Results], "Not Found")</f>
        <v>97.80395</v>
      </c>
      <c r="H29" s="209" cm="1">
        <f t="array" ref="H29">_xlfn.XLOOKUP(1, (SensorLab[Sample_ID]=A29) * (SensorLab[Analyte]=$H$1), SensorLab[Final_Results], "Not Found")</f>
        <v>0.94510000000000005</v>
      </c>
      <c r="I29" s="209" cm="1">
        <f t="array" ref="I29">_xlfn.XLOOKUP(1, (SensorLab[Sample_ID]=A29) * (SensorLab[Analyte]=$I$1), SensorLab[Final_Results], "Not Found")</f>
        <v>7.8205900000000002</v>
      </c>
      <c r="J29" s="209" cm="1">
        <f t="array" ref="J29">_xlfn.XLOOKUP(1, (SensorLab[Sample_ID]=A29) * (SensorLab[Analyte]=$J$1), SensorLab[Final_Results], "Not Found")</f>
        <v>20.17642</v>
      </c>
      <c r="K29" s="209" cm="1">
        <f t="array" ref="K29">_xlfn.XLOOKUP(1, (SensorLab[Sample_ID]=A29) * (SensorLab[Analyte]=$K$1), SensorLab[Final_Results], "Not Found")</f>
        <v>19.0991</v>
      </c>
      <c r="L29" s="209" cm="1">
        <f t="array" ref="L29">_xlfn.XLOOKUP(1, (SensorLab[Sample_ID]=A29) * (SensorLab[Analyte]=$L$1), SensorLab[Final_Results], "Not Found")</f>
        <v>0.6</v>
      </c>
      <c r="M29" s="209" cm="1">
        <f t="array" ref="M29">_xlfn.XLOOKUP(1, (SensorLab[Sample_ID]=A29) * (SensorLab[Analyte]=$M$1), SensorLab[Final_Results], "Not Found")</f>
        <v>40</v>
      </c>
      <c r="N29" s="209" cm="1">
        <f t="array" ref="N29">_xlfn.XLOOKUP(1, (SensorLab[Sample_ID]=A29) * (SensorLab[Analyte]=$N$1), SensorLab[Final_Results], "Not Found")</f>
        <v>40</v>
      </c>
      <c r="O29" s="209" cm="1">
        <f t="array" ref="O29">_xlfn.XLOOKUP(1, (SensorLab[Sample_ID]=A29) * (SensorLab[Analyte]=$O$1), SensorLab[Final_Results], "Not Found")</f>
        <v>20</v>
      </c>
      <c r="P29" s="51" t="str" cm="1">
        <f t="array" ref="P29">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Q29" s="209" t="str" cm="1">
        <f t="array" ref="Q29">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04.03</v>
      </c>
      <c r="R29" s="4" t="str" cm="1">
        <f t="array" ref="R29">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100%</v>
      </c>
      <c r="S29" s="4" t="str">
        <f t="shared" si="0"/>
        <v>Suitable</v>
      </c>
      <c r="X29" s="281"/>
      <c r="Y29" s="282"/>
      <c r="Z29" s="282"/>
      <c r="AA29" s="282"/>
      <c r="AB29" s="282"/>
      <c r="AC29" s="282"/>
      <c r="AD29" s="282"/>
    </row>
    <row r="30" spans="1:30" x14ac:dyDescent="0.15">
      <c r="A30" s="22" t="s">
        <v>235</v>
      </c>
      <c r="B30" s="213">
        <v>33.302835000000002</v>
      </c>
      <c r="C30" s="213">
        <v>73.207899999999995</v>
      </c>
      <c r="D30" s="216" t="str">
        <f t="shared" si="1"/>
        <v>3707-6801</v>
      </c>
      <c r="E30" s="209" cm="1">
        <f t="array" ref="E30">_xlfn.XLOOKUP(1, (SensorLab[Sample_ID]=A30) * (SensorLab[Analyte]=$E$1), SensorLab[Final_Results], "Not Found")</f>
        <v>2</v>
      </c>
      <c r="F30" s="209" cm="1">
        <f t="array" ref="F30">_xlfn.XLOOKUP(1, (SensorLab[Sample_ID]=A30) * (SensorLab[Analyte]=$F$1), SensorLab[Final_Results], "Not Found")</f>
        <v>4.6244199999999998</v>
      </c>
      <c r="G30" s="209" cm="1">
        <f t="array" ref="G30">_xlfn.XLOOKUP(1, (SensorLab[Sample_ID]=A30) * (SensorLab[Analyte]=$G$1), SensorLab[Final_Results], "Not Found")</f>
        <v>101.57425000000001</v>
      </c>
      <c r="H30" s="209" cm="1">
        <f t="array" ref="H30">_xlfn.XLOOKUP(1, (SensorLab[Sample_ID]=A30) * (SensorLab[Analyte]=$H$1), SensorLab[Final_Results], "Not Found")</f>
        <v>0.97</v>
      </c>
      <c r="I30" s="209" cm="1">
        <f t="array" ref="I30">_xlfn.XLOOKUP(1, (SensorLab[Sample_ID]=A30) * (SensorLab[Analyte]=$I$1), SensorLab[Final_Results], "Not Found")</f>
        <v>7.7885999999999997</v>
      </c>
      <c r="J30" s="209" cm="1">
        <f t="array" ref="J30">_xlfn.XLOOKUP(1, (SensorLab[Sample_ID]=A30) * (SensorLab[Analyte]=$J$1), SensorLab[Final_Results], "Not Found")</f>
        <v>20.68674</v>
      </c>
      <c r="K30" s="209" cm="1">
        <f t="array" ref="K30">_xlfn.XLOOKUP(1, (SensorLab[Sample_ID]=A30) * (SensorLab[Analyte]=$K$1), SensorLab[Final_Results], "Not Found")</f>
        <v>21.899799999999999</v>
      </c>
      <c r="L30" s="209" cm="1">
        <f t="array" ref="L30">_xlfn.XLOOKUP(1, (SensorLab[Sample_ID]=A30) * (SensorLab[Analyte]=$L$1), SensorLab[Final_Results], "Not Found")</f>
        <v>0.6</v>
      </c>
      <c r="M30" s="209" cm="1">
        <f t="array" ref="M30">_xlfn.XLOOKUP(1, (SensorLab[Sample_ID]=A30) * (SensorLab[Analyte]=$M$1), SensorLab[Final_Results], "Not Found")</f>
        <v>45</v>
      </c>
      <c r="N30" s="209" cm="1">
        <f t="array" ref="N30">_xlfn.XLOOKUP(1, (SensorLab[Sample_ID]=A30) * (SensorLab[Analyte]=$N$1), SensorLab[Final_Results], "Not Found")</f>
        <v>32.5</v>
      </c>
      <c r="O30" s="209" cm="1">
        <f t="array" ref="O30">_xlfn.XLOOKUP(1, (SensorLab[Sample_ID]=A30) * (SensorLab[Analyte]=$O$1), SensorLab[Final_Results], "Not Found")</f>
        <v>22.5</v>
      </c>
      <c r="P30" s="51" t="str" cm="1">
        <f t="array" ref="P30">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Q30" s="209" t="str" cm="1">
        <f t="array" ref="Q30">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11.35</v>
      </c>
      <c r="R30" s="4" t="str" cm="1">
        <f t="array" ref="R30">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35%</v>
      </c>
      <c r="S30" s="4" t="str">
        <f t="shared" si="0"/>
        <v>Not Suitable</v>
      </c>
      <c r="X30" s="281"/>
      <c r="Y30" s="282"/>
      <c r="Z30" s="282"/>
      <c r="AA30" s="282"/>
      <c r="AB30" s="282"/>
      <c r="AC30" s="282"/>
      <c r="AD30" s="282"/>
    </row>
    <row r="31" spans="1:30" x14ac:dyDescent="0.15">
      <c r="A31" s="22" t="s">
        <v>212</v>
      </c>
      <c r="B31" s="213">
        <v>33.302390000000003</v>
      </c>
      <c r="C31" s="213">
        <v>73.2081333</v>
      </c>
      <c r="D31" s="216" t="str">
        <f t="shared" si="1"/>
        <v>3707-6801</v>
      </c>
      <c r="E31" s="209" cm="1">
        <f t="array" ref="E31">_xlfn.XLOOKUP(1, (SensorLab[Sample_ID]=A31) * (SensorLab[Analyte]=$E$1), SensorLab[Final_Results], "Not Found")</f>
        <v>2</v>
      </c>
      <c r="F31" s="209" cm="1">
        <f t="array" ref="F31">_xlfn.XLOOKUP(1, (SensorLab[Sample_ID]=A31) * (SensorLab[Analyte]=$F$1), SensorLab[Final_Results], "Not Found")</f>
        <v>4.1240100000000002</v>
      </c>
      <c r="G31" s="209" cm="1">
        <f t="array" ref="G31">_xlfn.XLOOKUP(1, (SensorLab[Sample_ID]=A31) * (SensorLab[Analyte]=$G$1), SensorLab[Final_Results], "Not Found")</f>
        <v>97.80395</v>
      </c>
      <c r="H31" s="209" cm="1">
        <f t="array" ref="H31">_xlfn.XLOOKUP(1, (SensorLab[Sample_ID]=A31) * (SensorLab[Analyte]=$H$1), SensorLab[Final_Results], "Not Found")</f>
        <v>0.93527000000000005</v>
      </c>
      <c r="I31" s="209" cm="1">
        <f t="array" ref="I31">_xlfn.XLOOKUP(1, (SensorLab[Sample_ID]=A31) * (SensorLab[Analyte]=$I$1), SensorLab[Final_Results], "Not Found")</f>
        <v>7.83887</v>
      </c>
      <c r="J31" s="209" cm="1">
        <f t="array" ref="J31">_xlfn.XLOOKUP(1, (SensorLab[Sample_ID]=A31) * (SensorLab[Analyte]=$J$1), SensorLab[Final_Results], "Not Found")</f>
        <v>21.809460000000001</v>
      </c>
      <c r="K31" s="209" cm="1">
        <f t="array" ref="K31">_xlfn.XLOOKUP(1, (SensorLab[Sample_ID]=A31) * (SensorLab[Analyte]=$K$1), SensorLab[Final_Results], "Not Found")</f>
        <v>17.69875</v>
      </c>
      <c r="L31" s="209" cm="1">
        <f t="array" ref="L31">_xlfn.XLOOKUP(1, (SensorLab[Sample_ID]=A31) * (SensorLab[Analyte]=$L$1), SensorLab[Final_Results], "Not Found")</f>
        <v>0.6</v>
      </c>
      <c r="M31" s="209" cm="1">
        <f t="array" ref="M31">_xlfn.XLOOKUP(1, (SensorLab[Sample_ID]=A31) * (SensorLab[Analyte]=$M$1), SensorLab[Final_Results], "Not Found")</f>
        <v>40</v>
      </c>
      <c r="N31" s="209" cm="1">
        <f t="array" ref="N31">_xlfn.XLOOKUP(1, (SensorLab[Sample_ID]=A31) * (SensorLab[Analyte]=$N$1), SensorLab[Final_Results], "Not Found")</f>
        <v>40</v>
      </c>
      <c r="O31" s="209" cm="1">
        <f t="array" ref="O31">_xlfn.XLOOKUP(1, (SensorLab[Sample_ID]=A31) * (SensorLab[Analyte]=$O$1), SensorLab[Final_Results], "Not Found")</f>
        <v>20</v>
      </c>
      <c r="P31" s="51" t="str" cm="1">
        <f t="array" ref="P31">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Q31" s="209" t="str" cm="1">
        <f t="array" ref="Q31">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04.03</v>
      </c>
      <c r="R31" s="4" t="str" cm="1">
        <f t="array" ref="R31">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100%</v>
      </c>
      <c r="S31" s="4" t="str">
        <f t="shared" si="0"/>
        <v>Suitable</v>
      </c>
      <c r="X31" s="281"/>
      <c r="Y31" s="282"/>
      <c r="Z31" s="282"/>
      <c r="AA31" s="282"/>
      <c r="AB31" s="282"/>
      <c r="AC31" s="282"/>
      <c r="AD31" s="282"/>
    </row>
    <row r="32" spans="1:30" x14ac:dyDescent="0.15">
      <c r="A32" s="22" t="s">
        <v>299</v>
      </c>
      <c r="B32" s="213">
        <v>31.401734999999999</v>
      </c>
      <c r="C32" s="213">
        <v>73.049121700000001</v>
      </c>
      <c r="D32" s="216" t="str">
        <f>_xlfn.LET(
  _xlpm.lat, B32,
  _xlpm.lon, C32,
  _xlpm.lat_origin, 0,
  _xlpm.lon_origin, 0,
  _xlpm.cell_km, 1,
  _xlpm.lat_ref, 33.43,
  _xlpm.m_per_deg_lat, 111320,
  _xlpm.m_per_deg_lon_ref, 111320 * COS(RADIANS(_xlpm.lat_ref)),
  _xlpm.cell_m, _xlpm.cell_km * 1000,
  _xlpm.y_idx, FLOOR(((_xlpm.lat - _xlpm.lat_origin) * _xlpm.m_per_deg_lat) / _xlpm.cell_m, 1),
  _xlpm.x_idx, FLOOR(((_xlpm.lon - _xlpm.lon_origin) * _xlpm.m_per_deg_lon_ref) / _xlpm.cell_m, 1),
  _xlpm.y_idx &amp; "-" &amp; _xlpm.x_idx
)</f>
        <v>3495-6786</v>
      </c>
      <c r="E32" s="209" cm="1">
        <f t="array" ref="E32">_xlfn.XLOOKUP(1, (SensorLab[Sample_ID]=A32) * (SensorLab[Analyte]=$E$1), SensorLab[Final_Results], "Not Found")</f>
        <v>14.91473</v>
      </c>
      <c r="F32" s="209" cm="1">
        <f t="array" ref="F32">_xlfn.XLOOKUP(1, (SensorLab[Sample_ID]=A32) * (SensorLab[Analyte]=$F$1), SensorLab[Final_Results], "Not Found")</f>
        <v>10.579219999999999</v>
      </c>
      <c r="G32" s="209" cm="1">
        <f t="array" ref="G32">_xlfn.XLOOKUP(1, (SensorLab[Sample_ID]=A32) * (SensorLab[Analyte]=$G$1), SensorLab[Final_Results], "Not Found")</f>
        <v>176.98022</v>
      </c>
      <c r="H32" s="209" cm="1">
        <f t="array" ref="H32">_xlfn.XLOOKUP(1, (SensorLab[Sample_ID]=A32) * (SensorLab[Analyte]=$H$1), SensorLab[Final_Results], "Not Found")</f>
        <v>1.29637</v>
      </c>
      <c r="I32" s="209" cm="1">
        <f t="array" ref="I32">_xlfn.XLOOKUP(1, (SensorLab[Sample_ID]=A32) * (SensorLab[Analyte]=$I$1), SensorLab[Final_Results], "Not Found")</f>
        <v>5.0831299999999997</v>
      </c>
      <c r="J32" s="209" cm="1">
        <f t="array" ref="J32">_xlfn.XLOOKUP(1, (SensorLab[Sample_ID]=A32) * (SensorLab[Analyte]=$J$1), SensorLab[Final_Results], "Not Found")</f>
        <v>25.687950000000001</v>
      </c>
      <c r="K32" s="209" cm="1">
        <f t="array" ref="K32">_xlfn.XLOOKUP(1, (SensorLab[Sample_ID]=A32) * (SensorLab[Analyte]=$K$1), SensorLab[Final_Results], "Not Found")</f>
        <v>31.702259999999999</v>
      </c>
      <c r="L32" s="209" cm="1">
        <f t="array" ref="L32">_xlfn.XLOOKUP(1, (SensorLab[Sample_ID]=A32) * (SensorLab[Analyte]=$L$1), SensorLab[Final_Results], "Not Found")</f>
        <v>42.926290000000002</v>
      </c>
      <c r="M32" s="209" cm="1">
        <f t="array" ref="M32">_xlfn.XLOOKUP(1, (SensorLab[Sample_ID]=A32) * (SensorLab[Analyte]=$M$1), SensorLab[Final_Results], "Not Found")</f>
        <v>0</v>
      </c>
      <c r="N32" s="209" cm="1">
        <f t="array" ref="N32">_xlfn.XLOOKUP(1, (SensorLab[Sample_ID]=A32) * (SensorLab[Analyte]=$N$1), SensorLab[Final_Results], "Not Found")</f>
        <v>0</v>
      </c>
      <c r="O32" s="209" cm="1">
        <f t="array" ref="O32">_xlfn.XLOOKUP(1, (SensorLab[Sample_ID]=A32) * (SensorLab[Analyte]=$O$1), SensorLab[Final_Results], "Not Found")</f>
        <v>0</v>
      </c>
      <c r="P32" s="51" t="str" cm="1">
        <f t="array" ref="P32">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Q32" s="209" t="str" cm="1">
        <f t="array" ref="Q32">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56.71</v>
      </c>
      <c r="R32" s="4" t="str" cm="1">
        <f t="array" ref="R32">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00%</v>
      </c>
      <c r="S32" s="4" t="str">
        <f>_xlfn.LET(
   _xlpm.Dtxt, Q32,
   _xlpm.Ctxt, R32,
   _xlpm.Dnum, IFERROR(N(_xlpm.Dtxt), IFERROR(VALUE(SUBSTITUTE(_xlpm.Dtxt,"%",""))/100,"")),
   _xlpm.Dval, IF(_xlpm.Dnum="",NA(),N(_xlpm.Dnum)),
   _xlpm.Craw, IFERROR(
            IF(RIGHT(TRIM(_xlpm.Ctxt),1)="%",
               VALUE(SUBSTITUTE(TRIM(_xlpm.Ctxt),"%",""))/100,
               N(_xlpm.Ctxt)
            ),
            ""
         ),
   _xlpm.Cval, IF(_xlpm.Craw="",NA(),N(_xlpm.Craw)),
   _xlpm.distGood, 2,
   _xlpm.distPoor, 8,
   _xlpm.confHigh, 0.9,
   _xlpm.confLow, 0.5,
   _xlpm.result,
      IF(OR(ISNA(_xlpm.Dval),ISNA(_xlpm.Cval)),"Review: input",
         IF(AND(_xlpm.Dval&lt;=_xlpm.distGood,_xlpm.Cval&gt;=_xlpm.confHigh),"Suitable",
            IF(OR(_xlpm.Dval&gt;_xlpm.distPoor,_xlpm.Cval&lt;_xlpm.confLow),"Not Suitable","Moderate")
         )
      ),
   _xlpm.result
)</f>
        <v>Not Suitable</v>
      </c>
      <c r="X32" s="281"/>
      <c r="Y32" s="282"/>
      <c r="Z32" s="282"/>
      <c r="AA32" s="282"/>
      <c r="AB32" s="282"/>
      <c r="AC32" s="282"/>
      <c r="AD32" s="282"/>
    </row>
    <row r="33" spans="1:30" x14ac:dyDescent="0.15">
      <c r="A33" s="22" t="s">
        <v>300</v>
      </c>
      <c r="B33" s="213">
        <v>31.401647000000001</v>
      </c>
      <c r="C33" s="213">
        <v>73.049202500000007</v>
      </c>
      <c r="D33" s="216" t="str">
        <f>_xlfn.LET(
  _xlpm.lat, B33,
  _xlpm.lon, C33,
  _xlpm.lat_origin, 0,
  _xlpm.lon_origin, 0,
  _xlpm.cell_km, 1,
  _xlpm.lat_ref, 33.43,
  _xlpm.m_per_deg_lat, 111320,
  _xlpm.m_per_deg_lon_ref, 111320 * COS(RADIANS(_xlpm.lat_ref)),
  _xlpm.cell_m, _xlpm.cell_km * 1000,
  _xlpm.y_idx, FLOOR(((_xlpm.lat - _xlpm.lat_origin) * _xlpm.m_per_deg_lat) / _xlpm.cell_m, 1),
  _xlpm.x_idx, FLOOR(((_xlpm.lon - _xlpm.lon_origin) * _xlpm.m_per_deg_lon_ref) / _xlpm.cell_m, 1),
  _xlpm.y_idx &amp; "-" &amp; _xlpm.x_idx
)</f>
        <v>3495-6786</v>
      </c>
      <c r="E33" s="209" cm="1">
        <f t="array" ref="E33">_xlfn.XLOOKUP(1, (SensorLab[Sample_ID]=A33) * (SensorLab[Analyte]=$E$1), SensorLab[Final_Results], "Not Found")</f>
        <v>7.0535899999999998</v>
      </c>
      <c r="F33" s="209" cm="1">
        <f t="array" ref="F33">_xlfn.XLOOKUP(1, (SensorLab[Sample_ID]=A33) * (SensorLab[Analyte]=$F$1), SensorLab[Final_Results], "Not Found")</f>
        <v>7.3766400000000001</v>
      </c>
      <c r="G33" s="209" cm="1">
        <f t="array" ref="G33">_xlfn.XLOOKUP(1, (SensorLab[Sample_ID]=A33) * (SensorLab[Analyte]=$G$1), SensorLab[Final_Results], "Not Found")</f>
        <v>136.44951</v>
      </c>
      <c r="H33" s="209" cm="1">
        <f t="array" ref="H33">_xlfn.XLOOKUP(1, (SensorLab[Sample_ID]=A33) * (SensorLab[Analyte]=$H$1), SensorLab[Final_Results], "Not Found")</f>
        <v>1.1194200000000001</v>
      </c>
      <c r="I33" s="209" cm="1">
        <f t="array" ref="I33">_xlfn.XLOOKUP(1, (SensorLab[Sample_ID]=A33) * (SensorLab[Analyte]=$I$1), SensorLab[Final_Results], "Not Found")</f>
        <v>5.3116300000000001</v>
      </c>
      <c r="J33" s="209" cm="1">
        <f t="array" ref="J33">_xlfn.XLOOKUP(1, (SensorLab[Sample_ID]=A33) * (SensorLab[Analyte]=$J$1), SensorLab[Final_Results], "Not Found")</f>
        <v>26.606539999999999</v>
      </c>
      <c r="K33" s="209" cm="1">
        <f t="array" ref="K33">_xlfn.XLOOKUP(1, (SensorLab[Sample_ID]=A33) * (SensorLab[Analyte]=$K$1), SensorLab[Final_Results], "Not Found")</f>
        <v>30.50196</v>
      </c>
      <c r="L33" s="209" cm="1">
        <f t="array" ref="L33">_xlfn.XLOOKUP(1, (SensorLab[Sample_ID]=A33) * (SensorLab[Analyte]=$L$1), SensorLab[Final_Results], "Not Found")</f>
        <v>9.3731799999999996</v>
      </c>
      <c r="M33" s="209" cm="1">
        <f t="array" ref="M33">_xlfn.XLOOKUP(1, (SensorLab[Sample_ID]=A33) * (SensorLab[Analyte]=$M$1), SensorLab[Final_Results], "Not Found")</f>
        <v>0</v>
      </c>
      <c r="N33" s="209" cm="1">
        <f t="array" ref="N33">_xlfn.XLOOKUP(1, (SensorLab[Sample_ID]=A33) * (SensorLab[Analyte]=$N$1), SensorLab[Final_Results], "Not Found")</f>
        <v>0</v>
      </c>
      <c r="O33" s="209" cm="1">
        <f t="array" ref="O33">_xlfn.XLOOKUP(1, (SensorLab[Sample_ID]=A33) * (SensorLab[Analyte]=$O$1), SensorLab[Final_Results], "Not Found")</f>
        <v>0</v>
      </c>
      <c r="P33" s="51" t="str" cm="1">
        <f t="array" ref="P33">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Q33" s="209" t="str" cm="1">
        <f t="array" ref="Q33">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56.71</v>
      </c>
      <c r="R33" s="4" t="str" cm="1">
        <f t="array" ref="R33">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00%</v>
      </c>
      <c r="S33" s="4" t="str">
        <f>_xlfn.LET(
   _xlpm.Dtxt, Q33,
   _xlpm.Ctxt, R33,
   _xlpm.Dnum, IFERROR(N(_xlpm.Dtxt), IFERROR(VALUE(SUBSTITUTE(_xlpm.Dtxt,"%",""))/100,"")),
   _xlpm.Dval, IF(_xlpm.Dnum="",NA(),N(_xlpm.Dnum)),
   _xlpm.Craw, IFERROR(
            IF(RIGHT(TRIM(_xlpm.Ctxt),1)="%",
               VALUE(SUBSTITUTE(TRIM(_xlpm.Ctxt),"%",""))/100,
               N(_xlpm.Ctxt)
            ),
            ""
         ),
   _xlpm.Cval, IF(_xlpm.Craw="",NA(),N(_xlpm.Craw)),
   _xlpm.distGood, 2,
   _xlpm.distPoor, 8,
   _xlpm.confHigh, 0.9,
   _xlpm.confLow, 0.5,
   _xlpm.result,
      IF(OR(ISNA(_xlpm.Dval),ISNA(_xlpm.Cval)),"Review: input",
         IF(AND(_xlpm.Dval&lt;=_xlpm.distGood,_xlpm.Cval&gt;=_xlpm.confHigh),"Suitable",
            IF(OR(_xlpm.Dval&gt;_xlpm.distPoor,_xlpm.Cval&lt;_xlpm.confLow),"Not Suitable","Moderate")
         )
      ),
   _xlpm.result
)</f>
        <v>Not Suitable</v>
      </c>
      <c r="X33" s="281"/>
      <c r="Y33" s="282"/>
      <c r="Z33" s="282"/>
      <c r="AA33" s="282"/>
      <c r="AB33" s="282"/>
      <c r="AC33" s="282"/>
      <c r="AD33" s="282"/>
    </row>
    <row r="34" spans="1:30" x14ac:dyDescent="0.15">
      <c r="A34" s="22" t="s">
        <v>301</v>
      </c>
      <c r="B34" s="213">
        <v>31.401515799999999</v>
      </c>
      <c r="C34" s="213">
        <v>73.049214399999997</v>
      </c>
      <c r="D34" s="216" t="str">
        <f>_xlfn.LET(
  _xlpm.lat, B34,
  _xlpm.lon, C34,
  _xlpm.lat_origin, 0,
  _xlpm.lon_origin, 0,
  _xlpm.cell_km, 1,
  _xlpm.lat_ref, 33.43,
  _xlpm.m_per_deg_lat, 111320,
  _xlpm.m_per_deg_lon_ref, 111320 * COS(RADIANS(_xlpm.lat_ref)),
  _xlpm.cell_m, _xlpm.cell_km * 1000,
  _xlpm.y_idx, FLOOR(((_xlpm.lat - _xlpm.lat_origin) * _xlpm.m_per_deg_lat) / _xlpm.cell_m, 1),
  _xlpm.x_idx, FLOOR(((_xlpm.lon - _xlpm.lon_origin) * _xlpm.m_per_deg_lon_ref) / _xlpm.cell_m, 1),
  _xlpm.y_idx &amp; "-" &amp; _xlpm.x_idx
)</f>
        <v>3495-6786</v>
      </c>
      <c r="E34" s="209" cm="1">
        <f t="array" ref="E34">_xlfn.XLOOKUP(1, (SensorLab[Sample_ID]=A34) * (SensorLab[Analyte]=$E$1), SensorLab[Final_Results], "Not Found")</f>
        <v>8.0362299999999998</v>
      </c>
      <c r="F34" s="209" cm="1">
        <f t="array" ref="F34">_xlfn.XLOOKUP(1, (SensorLab[Sample_ID]=A34) * (SensorLab[Analyte]=$F$1), SensorLab[Final_Results], "Not Found")</f>
        <v>7.8019800000000004</v>
      </c>
      <c r="G34" s="209" cm="1">
        <f t="array" ref="G34">_xlfn.XLOOKUP(1, (SensorLab[Sample_ID]=A34) * (SensorLab[Analyte]=$G$1), SensorLab[Final_Results], "Not Found")</f>
        <v>141.79077000000001</v>
      </c>
      <c r="H34" s="209" cm="1">
        <f t="array" ref="H34">_xlfn.XLOOKUP(1, (SensorLab[Sample_ID]=A34) * (SensorLab[Analyte]=$H$1), SensorLab[Final_Results], "Not Found")</f>
        <v>1.1390800000000001</v>
      </c>
      <c r="I34" s="209" cm="1">
        <f t="array" ref="I34">_xlfn.XLOOKUP(1, (SensorLab[Sample_ID]=A34) * (SensorLab[Analyte]=$I$1), SensorLab[Final_Results], "Not Found")</f>
        <v>5.2202299999999999</v>
      </c>
      <c r="J34" s="209" cm="1">
        <f t="array" ref="J34">_xlfn.XLOOKUP(1, (SensorLab[Sample_ID]=A34) * (SensorLab[Analyte]=$J$1), SensorLab[Final_Results], "Not Found")</f>
        <v>25.38175</v>
      </c>
      <c r="K34" s="209" cm="1">
        <f t="array" ref="K34">_xlfn.XLOOKUP(1, (SensorLab[Sample_ID]=A34) * (SensorLab[Analyte]=$K$1), SensorLab[Final_Results], "Not Found")</f>
        <v>29.801780000000001</v>
      </c>
      <c r="L34" s="209" cm="1">
        <f t="array" ref="L34">_xlfn.XLOOKUP(1, (SensorLab[Sample_ID]=A34) * (SensorLab[Analyte]=$L$1), SensorLab[Final_Results], "Not Found")</f>
        <v>12.332660000000001</v>
      </c>
      <c r="M34" s="209" cm="1">
        <f t="array" ref="M34">_xlfn.XLOOKUP(1, (SensorLab[Sample_ID]=A34) * (SensorLab[Analyte]=$M$1), SensorLab[Final_Results], "Not Found")</f>
        <v>0</v>
      </c>
      <c r="N34" s="209" cm="1">
        <f t="array" ref="N34">_xlfn.XLOOKUP(1, (SensorLab[Sample_ID]=A34) * (SensorLab[Analyte]=$N$1), SensorLab[Final_Results], "Not Found")</f>
        <v>0</v>
      </c>
      <c r="O34" s="209" cm="1">
        <f t="array" ref="O34">_xlfn.XLOOKUP(1, (SensorLab[Sample_ID]=A34) * (SensorLab[Analyte]=$O$1), SensorLab[Final_Results], "Not Found")</f>
        <v>0</v>
      </c>
      <c r="P34" s="51" t="str" cm="1">
        <f t="array" ref="P34">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Q34" s="209" t="str" cm="1">
        <f t="array" ref="Q34">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56.71</v>
      </c>
      <c r="R34" s="4" t="str" cm="1">
        <f t="array" ref="R34">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00%</v>
      </c>
      <c r="S34" s="4" t="str">
        <f>_xlfn.LET(
   _xlpm.Dtxt, Q34,
   _xlpm.Ctxt, R34,
   _xlpm.Dnum, IFERROR(N(_xlpm.Dtxt), IFERROR(VALUE(SUBSTITUTE(_xlpm.Dtxt,"%",""))/100,"")),
   _xlpm.Dval, IF(_xlpm.Dnum="",NA(),N(_xlpm.Dnum)),
   _xlpm.Craw, IFERROR(
            IF(RIGHT(TRIM(_xlpm.Ctxt),1)="%",
               VALUE(SUBSTITUTE(TRIM(_xlpm.Ctxt),"%",""))/100,
               N(_xlpm.Ctxt)
            ),
            ""
         ),
   _xlpm.Cval, IF(_xlpm.Craw="",NA(),N(_xlpm.Craw)),
   _xlpm.distGood, 2,
   _xlpm.distPoor, 8,
   _xlpm.confHigh, 0.9,
   _xlpm.confLow, 0.5,
   _xlpm.result,
      IF(OR(ISNA(_xlpm.Dval),ISNA(_xlpm.Cval)),"Review: input",
         IF(AND(_xlpm.Dval&lt;=_xlpm.distGood,_xlpm.Cval&gt;=_xlpm.confHigh),"Suitable",
            IF(OR(_xlpm.Dval&gt;_xlpm.distPoor,_xlpm.Cval&lt;_xlpm.confLow),"Not Suitable","Moderate")
         )
      ),
   _xlpm.result
)</f>
        <v>Not Suitable</v>
      </c>
      <c r="X34" s="281"/>
      <c r="Y34" s="282"/>
      <c r="Z34" s="282"/>
      <c r="AA34" s="282"/>
      <c r="AB34" s="282"/>
      <c r="AC34" s="282"/>
      <c r="AD34" s="282"/>
    </row>
    <row r="35" spans="1:30" x14ac:dyDescent="0.15">
      <c r="A35" s="22" t="s">
        <v>302</v>
      </c>
      <c r="B35" s="213">
        <v>31.401305300000001</v>
      </c>
      <c r="C35" s="213">
        <v>73.049334099999996</v>
      </c>
      <c r="D35" s="216" t="str">
        <f>_xlfn.LET(
  _xlpm.lat, B35,
  _xlpm.lon, C35,
  _xlpm.lat_origin, 0,
  _xlpm.lon_origin, 0,
  _xlpm.cell_km, 1,
  _xlpm.lat_ref, 33.43,
  _xlpm.m_per_deg_lat, 111320,
  _xlpm.m_per_deg_lon_ref, 111320 * COS(RADIANS(_xlpm.lat_ref)),
  _xlpm.cell_m, _xlpm.cell_km * 1000,
  _xlpm.y_idx, FLOOR(((_xlpm.lat - _xlpm.lat_origin) * _xlpm.m_per_deg_lat) / _xlpm.cell_m, 1),
  _xlpm.x_idx, FLOOR(((_xlpm.lon - _xlpm.lon_origin) * _xlpm.m_per_deg_lon_ref) / _xlpm.cell_m, 1),
  _xlpm.y_idx &amp; "-" &amp; _xlpm.x_idx
)</f>
        <v>3495-6786</v>
      </c>
      <c r="E35" s="209" cm="1">
        <f t="array" ref="E35">_xlfn.XLOOKUP(1, (SensorLab[Sample_ID]=A35) * (SensorLab[Analyte]=$E$1), SensorLab[Final_Results], "Not Found")</f>
        <v>4.6110199999999999</v>
      </c>
      <c r="F35" s="209" cm="1">
        <f t="array" ref="F35">_xlfn.XLOOKUP(1, (SensorLab[Sample_ID]=A35) * (SensorLab[Analyte]=$F$1), SensorLab[Final_Results], "Not Found")</f>
        <v>6.3808400000000001</v>
      </c>
      <c r="G35" s="209" cm="1">
        <f t="array" ref="G35">_xlfn.XLOOKUP(1, (SensorLab[Sample_ID]=A35) * (SensorLab[Analyte]=$G$1), SensorLab[Final_Results], "Not Found")</f>
        <v>123.94468999999999</v>
      </c>
      <c r="H35" s="209" cm="1">
        <f t="array" ref="H35">_xlfn.XLOOKUP(1, (SensorLab[Sample_ID]=A35) * (SensorLab[Analyte]=$H$1), SensorLab[Final_Results], "Not Found")</f>
        <v>1.0669900000000001</v>
      </c>
      <c r="I35" s="209" cm="1">
        <f t="array" ref="I35">_xlfn.XLOOKUP(1, (SensorLab[Sample_ID]=A35) * (SensorLab[Analyte]=$I$1), SensorLab[Final_Results], "Not Found")</f>
        <v>4.9551699999999999</v>
      </c>
      <c r="J35" s="209" cm="1">
        <f t="array" ref="J35">_xlfn.XLOOKUP(1, (SensorLab[Sample_ID]=A35) * (SensorLab[Analyte]=$J$1), SensorLab[Final_Results], "Not Found")</f>
        <v>25.89208</v>
      </c>
      <c r="K35" s="209" cm="1">
        <f t="array" ref="K35">_xlfn.XLOOKUP(1, (SensorLab[Sample_ID]=A35) * (SensorLab[Analyte]=$K$1), SensorLab[Final_Results], "Not Found")</f>
        <v>25.400680000000001</v>
      </c>
      <c r="L35" s="209" cm="1">
        <f t="array" ref="L35">_xlfn.XLOOKUP(1, (SensorLab[Sample_ID]=A35) * (SensorLab[Analyte]=$L$1), SensorLab[Final_Results], "Not Found")</f>
        <v>0.72472999999999999</v>
      </c>
      <c r="M35" s="209" cm="1">
        <f t="array" ref="M35">_xlfn.XLOOKUP(1, (SensorLab[Sample_ID]=A35) * (SensorLab[Analyte]=$M$1), SensorLab[Final_Results], "Not Found")</f>
        <v>0</v>
      </c>
      <c r="N35" s="209" cm="1">
        <f t="array" ref="N35">_xlfn.XLOOKUP(1, (SensorLab[Sample_ID]=A35) * (SensorLab[Analyte]=$N$1), SensorLab[Final_Results], "Not Found")</f>
        <v>0</v>
      </c>
      <c r="O35" s="209" cm="1">
        <f t="array" ref="O35">_xlfn.XLOOKUP(1, (SensorLab[Sample_ID]=A35) * (SensorLab[Analyte]=$O$1), SensorLab[Final_Results], "Not Found")</f>
        <v>0</v>
      </c>
      <c r="P35" s="51" t="str" cm="1">
        <f t="array" ref="P35">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Q35" s="209" t="str" cm="1">
        <f t="array" ref="Q35">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56.71</v>
      </c>
      <c r="R35" s="4" t="str" cm="1">
        <f t="array" ref="R35">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00%</v>
      </c>
      <c r="S35" s="4" t="str">
        <f>_xlfn.LET(
   _xlpm.Dtxt, Q35,
   _xlpm.Ctxt, R35,
   _xlpm.Dnum, IFERROR(N(_xlpm.Dtxt), IFERROR(VALUE(SUBSTITUTE(_xlpm.Dtxt,"%",""))/100,"")),
   _xlpm.Dval, IF(_xlpm.Dnum="",NA(),N(_xlpm.Dnum)),
   _xlpm.Craw, IFERROR(
            IF(RIGHT(TRIM(_xlpm.Ctxt),1)="%",
               VALUE(SUBSTITUTE(TRIM(_xlpm.Ctxt),"%",""))/100,
               N(_xlpm.Ctxt)
            ),
            ""
         ),
   _xlpm.Cval, IF(_xlpm.Craw="",NA(),N(_xlpm.Craw)),
   _xlpm.distGood, 2,
   _xlpm.distPoor, 8,
   _xlpm.confHigh, 0.9,
   _xlpm.confLow, 0.5,
   _xlpm.result,
      IF(OR(ISNA(_xlpm.Dval),ISNA(_xlpm.Cval)),"Review: input",
         IF(AND(_xlpm.Dval&lt;=_xlpm.distGood,_xlpm.Cval&gt;=_xlpm.confHigh),"Suitable",
            IF(OR(_xlpm.Dval&gt;_xlpm.distPoor,_xlpm.Cval&lt;_xlpm.confLow),"Not Suitable","Moderate")
         )
      ),
   _xlpm.result
)</f>
        <v>Not Suitable</v>
      </c>
      <c r="X35" s="281"/>
      <c r="Y35" s="282"/>
      <c r="Z35" s="282"/>
      <c r="AA35" s="282"/>
      <c r="AB35" s="282"/>
      <c r="AC35" s="282"/>
      <c r="AD35" s="282"/>
    </row>
    <row r="36" spans="1:30" x14ac:dyDescent="0.15">
      <c r="A36" s="22" t="s">
        <v>246</v>
      </c>
      <c r="B36" s="213">
        <v>33.819240000000001</v>
      </c>
      <c r="C36" s="213">
        <v>72.609274999999997</v>
      </c>
      <c r="D36" s="216" t="str">
        <f t="shared" si="1"/>
        <v>3764-6745</v>
      </c>
      <c r="E36" s="209" cm="1">
        <f t="array" ref="E36">_xlfn.XLOOKUP(1, (SensorLab[Sample_ID]=A36) * (SensorLab[Analyte]=$E$1), SensorLab[Final_Results], "Not Found")</f>
        <v>2</v>
      </c>
      <c r="F36" s="209" cm="1">
        <f t="array" ref="F36">_xlfn.XLOOKUP(1, (SensorLab[Sample_ID]=A36) * (SensorLab[Analyte]=$F$1), SensorLab[Final_Results], "Not Found")</f>
        <v>4.8495999999999997</v>
      </c>
      <c r="G36" s="209" cm="1">
        <f t="array" ref="G36">_xlfn.XLOOKUP(1, (SensorLab[Sample_ID]=A36) * (SensorLab[Analyte]=$G$1), SensorLab[Final_Results], "Not Found")</f>
        <v>104.40197999999999</v>
      </c>
      <c r="H36" s="209" cm="1">
        <f t="array" ref="H36">_xlfn.XLOOKUP(1, (SensorLab[Sample_ID]=A36) * (SensorLab[Analyte]=$H$1), SensorLab[Final_Results], "Not Found")</f>
        <v>0.98114000000000001</v>
      </c>
      <c r="I36" s="209" cm="1">
        <f t="array" ref="I36">_xlfn.XLOOKUP(1, (SensorLab[Sample_ID]=A36) * (SensorLab[Analyte]=$I$1), SensorLab[Final_Results], "Not Found")</f>
        <v>7.8571499999999999</v>
      </c>
      <c r="J36" s="209" cm="1">
        <f t="array" ref="J36">_xlfn.XLOOKUP(1, (SensorLab[Sample_ID]=A36) * (SensorLab[Analyte]=$J$1), SensorLab[Final_Results], "Not Found")</f>
        <v>14.052490000000001</v>
      </c>
      <c r="K36" s="209" cm="1">
        <f t="array" ref="K36">_xlfn.XLOOKUP(1, (SensorLab[Sample_ID]=A36) * (SensorLab[Analyte]=$K$1), SensorLab[Final_Results], "Not Found")</f>
        <v>27.001080000000002</v>
      </c>
      <c r="L36" s="209" cm="1">
        <f t="array" ref="L36">_xlfn.XLOOKUP(1, (SensorLab[Sample_ID]=A36) * (SensorLab[Analyte]=$L$1), SensorLab[Final_Results], "Not Found")</f>
        <v>0.6</v>
      </c>
      <c r="M36" s="209" cm="1">
        <f t="array" ref="M36">_xlfn.XLOOKUP(1, (SensorLab[Sample_ID]=A36) * (SensorLab[Analyte]=$M$1), SensorLab[Final_Results], "Not Found")</f>
        <v>0</v>
      </c>
      <c r="N36" s="209" cm="1">
        <f t="array" ref="N36">_xlfn.XLOOKUP(1, (SensorLab[Sample_ID]=A36) * (SensorLab[Analyte]=$N$1), SensorLab[Final_Results], "Not Found")</f>
        <v>0</v>
      </c>
      <c r="O36" s="209" cm="1">
        <f t="array" ref="O36">_xlfn.XLOOKUP(1, (SensorLab[Sample_ID]=A36) * (SensorLab[Analyte]=$O$1), SensorLab[Final_Results], "Not Found")</f>
        <v>0</v>
      </c>
      <c r="P36" s="51" t="str" cm="1">
        <f t="array" ref="P36">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Q36" s="209" t="str" cm="1">
        <f t="array" ref="Q36">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56.71</v>
      </c>
      <c r="R36" s="4" t="str" cm="1">
        <f t="array" ref="R36">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00%</v>
      </c>
      <c r="S36" s="4" t="str">
        <f t="shared" si="0"/>
        <v>Not Suitable</v>
      </c>
      <c r="X36" s="281"/>
      <c r="Y36" s="282"/>
      <c r="Z36" s="282"/>
      <c r="AA36" s="282"/>
      <c r="AB36" s="282"/>
      <c r="AC36" s="282"/>
      <c r="AD36" s="282"/>
    </row>
    <row r="37" spans="1:30" x14ac:dyDescent="0.15">
      <c r="A37" s="22" t="s">
        <v>247</v>
      </c>
      <c r="B37" s="213">
        <v>33.817881300000003</v>
      </c>
      <c r="C37" s="213">
        <v>72.608052799999996</v>
      </c>
      <c r="D37" s="216" t="str">
        <f t="shared" si="1"/>
        <v>3764-6745</v>
      </c>
      <c r="E37" s="209" cm="1">
        <f t="array" ref="E37">_xlfn.XLOOKUP(1, (SensorLab[Sample_ID]=A37) * (SensorLab[Analyte]=$E$1), SensorLab[Final_Results], "Not Found")</f>
        <v>2</v>
      </c>
      <c r="F37" s="209" cm="1">
        <f t="array" ref="F37">_xlfn.XLOOKUP(1, (SensorLab[Sample_ID]=A37) * (SensorLab[Analyte]=$F$1), SensorLab[Final_Results], "Not Found")</f>
        <v>5.27494</v>
      </c>
      <c r="G37" s="209" cm="1">
        <f t="array" ref="G37">_xlfn.XLOOKUP(1, (SensorLab[Sample_ID]=A37) * (SensorLab[Analyte]=$G$1), SensorLab[Final_Results], "Not Found")</f>
        <v>109.74323</v>
      </c>
      <c r="H37" s="209" cm="1">
        <f t="array" ref="H37">_xlfn.XLOOKUP(1, (SensorLab[Sample_ID]=A37) * (SensorLab[Analyte]=$H$1), SensorLab[Final_Results], "Not Found")</f>
        <v>1.00474</v>
      </c>
      <c r="I37" s="209" cm="1">
        <f t="array" ref="I37">_xlfn.XLOOKUP(1, (SensorLab[Sample_ID]=A37) * (SensorLab[Analyte]=$I$1), SensorLab[Final_Results], "Not Found")</f>
        <v>7.8571499999999999</v>
      </c>
      <c r="J37" s="209" cm="1">
        <f t="array" ref="J37">_xlfn.XLOOKUP(1, (SensorLab[Sample_ID]=A37) * (SensorLab[Analyte]=$J$1), SensorLab[Final_Results], "Not Found")</f>
        <v>11.194660000000001</v>
      </c>
      <c r="K37" s="209" cm="1">
        <f t="array" ref="K37">_xlfn.XLOOKUP(1, (SensorLab[Sample_ID]=A37) * (SensorLab[Analyte]=$K$1), SensorLab[Final_Results], "Not Found")</f>
        <v>28.10136</v>
      </c>
      <c r="L37" s="209" cm="1">
        <f t="array" ref="L37">_xlfn.XLOOKUP(1, (SensorLab[Sample_ID]=A37) * (SensorLab[Analyte]=$L$1), SensorLab[Final_Results], "Not Found")</f>
        <v>0.6</v>
      </c>
      <c r="M37" s="209" cm="1">
        <f t="array" ref="M37">_xlfn.XLOOKUP(1, (SensorLab[Sample_ID]=A37) * (SensorLab[Analyte]=$M$1), SensorLab[Final_Results], "Not Found")</f>
        <v>70</v>
      </c>
      <c r="N37" s="209" cm="1">
        <f t="array" ref="N37">_xlfn.XLOOKUP(1, (SensorLab[Sample_ID]=A37) * (SensorLab[Analyte]=$N$1), SensorLab[Final_Results], "Not Found")</f>
        <v>22.5</v>
      </c>
      <c r="O37" s="209" cm="1">
        <f t="array" ref="O37">_xlfn.XLOOKUP(1, (SensorLab[Sample_ID]=A37) * (SensorLab[Analyte]=$O$1), SensorLab[Final_Results], "Not Found")</f>
        <v>7.5</v>
      </c>
      <c r="P37" s="51" t="str" cm="1">
        <f t="array" ref="P37">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Loamy Sand</v>
      </c>
      <c r="Q37" s="209" t="str" cm="1">
        <f t="array" ref="Q37">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06.96</v>
      </c>
      <c r="R37" s="4" t="str" cm="1">
        <f t="array" ref="R37">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00%</v>
      </c>
      <c r="S37" s="4" t="str">
        <f t="shared" si="0"/>
        <v>Not Suitable</v>
      </c>
      <c r="X37" s="281"/>
      <c r="Y37" s="282"/>
      <c r="Z37" s="282"/>
      <c r="AA37" s="282"/>
      <c r="AB37" s="282"/>
      <c r="AC37" s="282"/>
      <c r="AD37" s="282"/>
    </row>
    <row r="38" spans="1:30" x14ac:dyDescent="0.15">
      <c r="A38" s="22" t="s">
        <v>248</v>
      </c>
      <c r="B38" s="213">
        <v>33.818266700000002</v>
      </c>
      <c r="C38" s="213">
        <v>72.609825900000004</v>
      </c>
      <c r="D38" s="216" t="str">
        <f t="shared" si="1"/>
        <v>3764-6745</v>
      </c>
      <c r="E38" s="209" cm="1">
        <f t="array" ref="E38">_xlfn.XLOOKUP(1, (SensorLab[Sample_ID]=A38) * (SensorLab[Analyte]=$E$1), SensorLab[Final_Results], "Not Found")</f>
        <v>2</v>
      </c>
      <c r="F38" s="209" cm="1">
        <f t="array" ref="F38">_xlfn.XLOOKUP(1, (SensorLab[Sample_ID]=A38) * (SensorLab[Analyte]=$F$1), SensorLab[Final_Results], "Not Found")</f>
        <v>4.8996399999999998</v>
      </c>
      <c r="G38" s="209" cm="1">
        <f t="array" ref="G38">_xlfn.XLOOKUP(1, (SensorLab[Sample_ID]=A38) * (SensorLab[Analyte]=$G$1), SensorLab[Final_Results], "Not Found")</f>
        <v>105.03036</v>
      </c>
      <c r="H38" s="209" cm="1">
        <f t="array" ref="H38">_xlfn.XLOOKUP(1, (SensorLab[Sample_ID]=A38) * (SensorLab[Analyte]=$H$1), SensorLab[Final_Results], "Not Found")</f>
        <v>0.98377000000000003</v>
      </c>
      <c r="I38" s="209" cm="1">
        <f t="array" ref="I38">_xlfn.XLOOKUP(1, (SensorLab[Sample_ID]=A38) * (SensorLab[Analyte]=$I$1), SensorLab[Final_Results], "Not Found")</f>
        <v>7.8525799999999997</v>
      </c>
      <c r="J38" s="209" cm="1">
        <f t="array" ref="J38">_xlfn.XLOOKUP(1, (SensorLab[Sample_ID]=A38) * (SensorLab[Analyte]=$J$1), SensorLab[Final_Results], "Not Found")</f>
        <v>11.29673</v>
      </c>
      <c r="K38" s="209" cm="1">
        <f t="array" ref="K38">_xlfn.XLOOKUP(1, (SensorLab[Sample_ID]=A38) * (SensorLab[Analyte]=$K$1), SensorLab[Final_Results], "Not Found")</f>
        <v>28.10136</v>
      </c>
      <c r="L38" s="209" cm="1">
        <f t="array" ref="L38">_xlfn.XLOOKUP(1, (SensorLab[Sample_ID]=A38) * (SensorLab[Analyte]=$L$1), SensorLab[Final_Results], "Not Found")</f>
        <v>0.6</v>
      </c>
      <c r="M38" s="209" cm="1">
        <f t="array" ref="M38">_xlfn.XLOOKUP(1, (SensorLab[Sample_ID]=A38) * (SensorLab[Analyte]=$M$1), SensorLab[Final_Results], "Not Found")</f>
        <v>30</v>
      </c>
      <c r="N38" s="209" cm="1">
        <f t="array" ref="N38">_xlfn.XLOOKUP(1, (SensorLab[Sample_ID]=A38) * (SensorLab[Analyte]=$N$1), SensorLab[Final_Results], "Not Found")</f>
        <v>55</v>
      </c>
      <c r="O38" s="209" cm="1">
        <f t="array" ref="O38">_xlfn.XLOOKUP(1, (SensorLab[Sample_ID]=A38) * (SensorLab[Analyte]=$O$1), SensorLab[Final_Results], "Not Found")</f>
        <v>15</v>
      </c>
      <c r="P38" s="51" t="str" cm="1">
        <f t="array" ref="P38">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Q38" s="209" t="str" cm="1">
        <f t="array" ref="Q38">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14.94</v>
      </c>
      <c r="R38" s="4" t="str" cm="1">
        <f t="array" ref="R38">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00%</v>
      </c>
      <c r="S38" s="4" t="str">
        <f t="shared" ref="S38:S68" si="13">_xlfn.LET(
   _xlpm.Dtxt, Q38,
   _xlpm.Ctxt, R38,
   _xlpm.Dnum, IFERROR(N(_xlpm.Dtxt), IFERROR(VALUE(SUBSTITUTE(_xlpm.Dtxt,"%",""))/100,"")),
   _xlpm.Dval, IF(_xlpm.Dnum="",NA(),N(_xlpm.Dnum)),
   _xlpm.Craw, IFERROR(
            IF(RIGHT(TRIM(_xlpm.Ctxt),1)="%",
               VALUE(SUBSTITUTE(TRIM(_xlpm.Ctxt),"%",""))/100,
               N(_xlpm.Ctxt)
            ),
            ""
         ),
   _xlpm.Cval, IF(_xlpm.Craw="",NA(),N(_xlpm.Craw)),
   _xlpm.distGood, 2,
   _xlpm.distPoor, 8,
   _xlpm.confHigh, 0.9,
   _xlpm.confLow, 0.5,
   _xlpm.result,
      IF(OR(ISNA(_xlpm.Dval),ISNA(_xlpm.Cval)),"Review: input",
         IF(AND(_xlpm.Dval&lt;=_xlpm.distGood,_xlpm.Cval&gt;=_xlpm.confHigh),"Suitable",
            IF(OR(_xlpm.Dval&gt;_xlpm.distPoor,_xlpm.Cval&lt;_xlpm.confLow),"Not Suitable","Moderate")
         )
      ),
   _xlpm.result
)</f>
        <v>Not Suitable</v>
      </c>
      <c r="X38" s="281"/>
      <c r="Y38" s="282"/>
      <c r="Z38" s="282"/>
      <c r="AA38" s="282"/>
      <c r="AB38" s="282"/>
      <c r="AC38" s="282"/>
      <c r="AD38" s="282"/>
    </row>
    <row r="39" spans="1:30" x14ac:dyDescent="0.15">
      <c r="A39" s="22" t="s">
        <v>249</v>
      </c>
      <c r="B39" s="213">
        <v>33.817548000000002</v>
      </c>
      <c r="C39" s="213">
        <v>72.607689800000003</v>
      </c>
      <c r="D39" s="216" t="str">
        <f t="shared" si="1"/>
        <v>3764-6745</v>
      </c>
      <c r="E39" s="209" cm="1">
        <f t="array" ref="E39">_xlfn.XLOOKUP(1, (SensorLab[Sample_ID]=A39) * (SensorLab[Analyte]=$E$1), SensorLab[Final_Results], "Not Found")</f>
        <v>2.1403699999999999</v>
      </c>
      <c r="F39" s="209" cm="1">
        <f t="array" ref="F39">_xlfn.XLOOKUP(1, (SensorLab[Sample_ID]=A39) * (SensorLab[Analyte]=$F$1), SensorLab[Final_Results], "Not Found")</f>
        <v>5.3750200000000001</v>
      </c>
      <c r="G39" s="209" cm="1">
        <f t="array" ref="G39">_xlfn.XLOOKUP(1, (SensorLab[Sample_ID]=A39) * (SensorLab[Analyte]=$G$1), SensorLab[Final_Results], "Not Found")</f>
        <v>111</v>
      </c>
      <c r="H39" s="209" cm="1">
        <f t="array" ref="H39">_xlfn.XLOOKUP(1, (SensorLab[Sample_ID]=A39) * (SensorLab[Analyte]=$H$1), SensorLab[Final_Results], "Not Found")</f>
        <v>1.0099800000000001</v>
      </c>
      <c r="I39" s="209" cm="1">
        <f t="array" ref="I39">_xlfn.XLOOKUP(1, (SensorLab[Sample_ID]=A39) * (SensorLab[Analyte]=$I$1), SensorLab[Final_Results], "Not Found")</f>
        <v>7.86172</v>
      </c>
      <c r="J39" s="209" cm="1">
        <f t="array" ref="J39">_xlfn.XLOOKUP(1, (SensorLab[Sample_ID]=A39) * (SensorLab[Analyte]=$J$1), SensorLab[Final_Results], "Not Found")</f>
        <v>12.92977</v>
      </c>
      <c r="K39" s="209" cm="1">
        <f t="array" ref="K39">_xlfn.XLOOKUP(1, (SensorLab[Sample_ID]=A39) * (SensorLab[Analyte]=$K$1), SensorLab[Final_Results], "Not Found")</f>
        <v>36.603490000000001</v>
      </c>
      <c r="L39" s="209" cm="1">
        <f t="array" ref="L39">_xlfn.XLOOKUP(1, (SensorLab[Sample_ID]=A39) * (SensorLab[Analyte]=$L$1), SensorLab[Final_Results], "Not Found")</f>
        <v>0.60658999999999996</v>
      </c>
      <c r="M39" s="209" cm="1">
        <f t="array" ref="M39">_xlfn.XLOOKUP(1, (SensorLab[Sample_ID]=A39) * (SensorLab[Analyte]=$M$1), SensorLab[Final_Results], "Not Found")</f>
        <v>15</v>
      </c>
      <c r="N39" s="209" cm="1">
        <f t="array" ref="N39">_xlfn.XLOOKUP(1, (SensorLab[Sample_ID]=A39) * (SensorLab[Analyte]=$N$1), SensorLab[Final_Results], "Not Found")</f>
        <v>70</v>
      </c>
      <c r="O39" s="209" cm="1">
        <f t="array" ref="O39">_xlfn.XLOOKUP(1, (SensorLab[Sample_ID]=A39) * (SensorLab[Analyte]=$O$1), SensorLab[Final_Results], "Not Found")</f>
        <v>15</v>
      </c>
      <c r="P39" s="51" t="str" cm="1">
        <f t="array" ref="P39">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Q39" s="209" t="str" cm="1">
        <f t="array" ref="Q39">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10.16</v>
      </c>
      <c r="R39" s="4" t="str" cm="1">
        <f t="array" ref="R39">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94%</v>
      </c>
      <c r="S39" s="4" t="str">
        <f t="shared" si="13"/>
        <v>Suitable</v>
      </c>
      <c r="X39" s="281"/>
      <c r="Y39" s="282"/>
      <c r="Z39" s="282"/>
      <c r="AA39" s="282"/>
      <c r="AB39" s="282"/>
      <c r="AC39" s="282"/>
      <c r="AD39" s="282"/>
    </row>
    <row r="40" spans="1:30" x14ac:dyDescent="0.15">
      <c r="A40" s="22" t="s">
        <v>250</v>
      </c>
      <c r="B40" s="213">
        <v>33.818273300000001</v>
      </c>
      <c r="C40" s="213">
        <v>72.609796700000004</v>
      </c>
      <c r="D40" s="216" t="str">
        <f t="shared" si="1"/>
        <v>3764-6745</v>
      </c>
      <c r="E40" s="209" cm="1">
        <f t="array" ref="E40">_xlfn.XLOOKUP(1, (SensorLab[Sample_ID]=A40) * (SensorLab[Analyte]=$E$1), SensorLab[Final_Results], "Not Found")</f>
        <v>2</v>
      </c>
      <c r="F40" s="209" cm="1">
        <f t="array" ref="F40">_xlfn.XLOOKUP(1, (SensorLab[Sample_ID]=A40) * (SensorLab[Analyte]=$F$1), SensorLab[Final_Results], "Not Found")</f>
        <v>4.8996399999999998</v>
      </c>
      <c r="G40" s="209" cm="1">
        <f t="array" ref="G40">_xlfn.XLOOKUP(1, (SensorLab[Sample_ID]=A40) * (SensorLab[Analyte]=$G$1), SensorLab[Final_Results], "Not Found")</f>
        <v>105.03036</v>
      </c>
      <c r="H40" s="209" cm="1">
        <f t="array" ref="H40">_xlfn.XLOOKUP(1, (SensorLab[Sample_ID]=A40) * (SensorLab[Analyte]=$H$1), SensorLab[Final_Results], "Not Found")</f>
        <v>0.98377000000000003</v>
      </c>
      <c r="I40" s="209" cm="1">
        <f t="array" ref="I40">_xlfn.XLOOKUP(1, (SensorLab[Sample_ID]=A40) * (SensorLab[Analyte]=$I$1), SensorLab[Final_Results], "Not Found")</f>
        <v>7.86172</v>
      </c>
      <c r="J40" s="209" cm="1">
        <f t="array" ref="J40">_xlfn.XLOOKUP(1, (SensorLab[Sample_ID]=A40) * (SensorLab[Analyte]=$J$1), SensorLab[Final_Results], "Not Found")</f>
        <v>11.29673</v>
      </c>
      <c r="K40" s="209" cm="1">
        <f t="array" ref="K40">_xlfn.XLOOKUP(1, (SensorLab[Sample_ID]=A40) * (SensorLab[Analyte]=$K$1), SensorLab[Final_Results], "Not Found")</f>
        <v>28.10136</v>
      </c>
      <c r="L40" s="209" cm="1">
        <f t="array" ref="L40">_xlfn.XLOOKUP(1, (SensorLab[Sample_ID]=A40) * (SensorLab[Analyte]=$L$1), SensorLab[Final_Results], "Not Found")</f>
        <v>0.6</v>
      </c>
      <c r="M40" s="209" cm="1">
        <f t="array" ref="M40">_xlfn.XLOOKUP(1, (SensorLab[Sample_ID]=A40) * (SensorLab[Analyte]=$M$1), SensorLab[Final_Results], "Not Found")</f>
        <v>0</v>
      </c>
      <c r="N40" s="209" cm="1">
        <f t="array" ref="N40">_xlfn.XLOOKUP(1, (SensorLab[Sample_ID]=A40) * (SensorLab[Analyte]=$N$1), SensorLab[Final_Results], "Not Found")</f>
        <v>0</v>
      </c>
      <c r="O40" s="209" cm="1">
        <f t="array" ref="O40">_xlfn.XLOOKUP(1, (SensorLab[Sample_ID]=A40) * (SensorLab[Analyte]=$O$1), SensorLab[Final_Results], "Not Found")</f>
        <v>0</v>
      </c>
      <c r="P40" s="51" t="str" cm="1">
        <f t="array" ref="P40">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Q40" s="209" t="str" cm="1">
        <f t="array" ref="Q40">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56.71</v>
      </c>
      <c r="R40" s="4" t="str" cm="1">
        <f t="array" ref="R40">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00%</v>
      </c>
      <c r="S40" s="4" t="str">
        <f t="shared" si="13"/>
        <v>Not Suitable</v>
      </c>
      <c r="X40" s="281"/>
      <c r="Y40" s="282"/>
      <c r="Z40" s="282"/>
      <c r="AA40" s="282"/>
      <c r="AB40" s="282"/>
      <c r="AC40" s="282"/>
      <c r="AD40" s="282"/>
    </row>
    <row r="41" spans="1:30" x14ac:dyDescent="0.15">
      <c r="A41" s="22" t="s">
        <v>251</v>
      </c>
      <c r="B41" s="213">
        <v>33.816450600000003</v>
      </c>
      <c r="C41" s="213">
        <v>72.610637699999998</v>
      </c>
      <c r="D41" s="216" t="str">
        <f t="shared" si="1"/>
        <v>3764-6745</v>
      </c>
      <c r="E41" s="209" cm="1">
        <f t="array" ref="E41">_xlfn.XLOOKUP(1, (SensorLab[Sample_ID]=A41) * (SensorLab[Analyte]=$E$1), SensorLab[Final_Results], "Not Found")</f>
        <v>2.1403699999999999</v>
      </c>
      <c r="F41" s="209" cm="1">
        <f t="array" ref="F41">_xlfn.XLOOKUP(1, (SensorLab[Sample_ID]=A41) * (SensorLab[Analyte]=$F$1), SensorLab[Final_Results], "Not Found")</f>
        <v>5.35</v>
      </c>
      <c r="G41" s="209" cm="1">
        <f t="array" ref="G41">_xlfn.XLOOKUP(1, (SensorLab[Sample_ID]=A41) * (SensorLab[Analyte]=$G$1), SensorLab[Final_Results], "Not Found")</f>
        <v>111</v>
      </c>
      <c r="H41" s="209" cm="1">
        <f t="array" ref="H41">_xlfn.XLOOKUP(1, (SensorLab[Sample_ID]=A41) * (SensorLab[Analyte]=$H$1), SensorLab[Final_Results], "Not Found")</f>
        <v>1.00932</v>
      </c>
      <c r="I41" s="209" cm="1">
        <f t="array" ref="I41">_xlfn.XLOOKUP(1, (SensorLab[Sample_ID]=A41) * (SensorLab[Analyte]=$I$1), SensorLab[Final_Results], "Not Found")</f>
        <v>7.8571499999999999</v>
      </c>
      <c r="J41" s="209" cm="1">
        <f t="array" ref="J41">_xlfn.XLOOKUP(1, (SensorLab[Sample_ID]=A41) * (SensorLab[Analyte]=$J$1), SensorLab[Final_Results], "Not Found")</f>
        <v>14.25662</v>
      </c>
      <c r="K41" s="209" cm="1">
        <f t="array" ref="K41">_xlfn.XLOOKUP(1, (SensorLab[Sample_ID]=A41) * (SensorLab[Analyte]=$K$1), SensorLab[Final_Results], "Not Found")</f>
        <v>31.10211</v>
      </c>
      <c r="L41" s="209" cm="1">
        <f t="array" ref="L41">_xlfn.XLOOKUP(1, (SensorLab[Sample_ID]=A41) * (SensorLab[Analyte]=$L$1), SensorLab[Final_Results], "Not Found")</f>
        <v>0.60658999999999996</v>
      </c>
      <c r="M41" s="209" cm="1">
        <f t="array" ref="M41">_xlfn.XLOOKUP(1, (SensorLab[Sample_ID]=A41) * (SensorLab[Analyte]=$M$1), SensorLab[Final_Results], "Not Found")</f>
        <v>10</v>
      </c>
      <c r="N41" s="209" cm="1">
        <f t="array" ref="N41">_xlfn.XLOOKUP(1, (SensorLab[Sample_ID]=A41) * (SensorLab[Analyte]=$N$1), SensorLab[Final_Results], "Not Found")</f>
        <v>65</v>
      </c>
      <c r="O41" s="209" cm="1">
        <f t="array" ref="O41">_xlfn.XLOOKUP(1, (SensorLab[Sample_ID]=A41) * (SensorLab[Analyte]=$O$1), SensorLab[Final_Results], "Not Found")</f>
        <v>25</v>
      </c>
      <c r="P41" s="51" t="str" cm="1">
        <f t="array" ref="P41">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Q41" s="209" t="str" cm="1">
        <f t="array" ref="Q41">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19.32</v>
      </c>
      <c r="R41" s="4" t="str" cm="1">
        <f t="array" ref="R41">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00%</v>
      </c>
      <c r="S41" s="4" t="str">
        <f t="shared" si="13"/>
        <v>Not Suitable</v>
      </c>
      <c r="X41" s="281"/>
      <c r="Y41" s="282"/>
      <c r="Z41" s="282"/>
      <c r="AA41" s="282"/>
      <c r="AB41" s="282"/>
      <c r="AC41" s="282"/>
      <c r="AD41" s="282"/>
    </row>
    <row r="42" spans="1:30" x14ac:dyDescent="0.15">
      <c r="A42" s="22" t="s">
        <v>252</v>
      </c>
      <c r="B42" s="213">
        <v>33.818049600000002</v>
      </c>
      <c r="C42" s="213">
        <v>72.538321800000006</v>
      </c>
      <c r="D42" s="216" t="str">
        <f t="shared" si="1"/>
        <v>3764-6739</v>
      </c>
      <c r="E42" s="209" cm="1">
        <f t="array" ref="E42">_xlfn.XLOOKUP(1, (SensorLab[Sample_ID]=A42) * (SensorLab[Analyte]=$E$1), SensorLab[Final_Results], "Not Found")</f>
        <v>2</v>
      </c>
      <c r="F42" s="209" cm="1">
        <f t="array" ref="F42">_xlfn.XLOOKUP(1, (SensorLab[Sample_ID]=A42) * (SensorLab[Analyte]=$F$1), SensorLab[Final_Results], "Not Found")</f>
        <v>4.2741400000000001</v>
      </c>
      <c r="G42" s="209" cm="1">
        <f t="array" ref="G42">_xlfn.XLOOKUP(1, (SensorLab[Sample_ID]=A42) * (SensorLab[Analyte]=$G$1), SensorLab[Final_Results], "Not Found")</f>
        <v>97.80395</v>
      </c>
      <c r="H42" s="209" cm="1">
        <f t="array" ref="H42">_xlfn.XLOOKUP(1, (SensorLab[Sample_ID]=A42) * (SensorLab[Analyte]=$H$1), SensorLab[Final_Results], "Not Found")</f>
        <v>0.95099999999999996</v>
      </c>
      <c r="I42" s="209" cm="1">
        <f t="array" ref="I42">_xlfn.XLOOKUP(1, (SensorLab[Sample_ID]=A42) * (SensorLab[Analyte]=$I$1), SensorLab[Final_Results], "Not Found")</f>
        <v>7.86172</v>
      </c>
      <c r="J42" s="209" cm="1">
        <f t="array" ref="J42">_xlfn.XLOOKUP(1, (SensorLab[Sample_ID]=A42) * (SensorLab[Analyte]=$J$1), SensorLab[Final_Results], "Not Found")</f>
        <v>18.441310000000001</v>
      </c>
      <c r="K42" s="209" cm="1">
        <f t="array" ref="K42">_xlfn.XLOOKUP(1, (SensorLab[Sample_ID]=A42) * (SensorLab[Analyte]=$K$1), SensorLab[Final_Results], "Not Found")</f>
        <v>15.79828</v>
      </c>
      <c r="L42" s="209" cm="1">
        <f t="array" ref="L42">_xlfn.XLOOKUP(1, (SensorLab[Sample_ID]=A42) * (SensorLab[Analyte]=$L$1), SensorLab[Final_Results], "Not Found")</f>
        <v>0.6</v>
      </c>
      <c r="M42" s="209" cm="1">
        <f t="array" ref="M42">_xlfn.XLOOKUP(1, (SensorLab[Sample_ID]=A42) * (SensorLab[Analyte]=$M$1), SensorLab[Final_Results], "Not Found")</f>
        <v>52.5</v>
      </c>
      <c r="N42" s="209" cm="1">
        <f t="array" ref="N42">_xlfn.XLOOKUP(1, (SensorLab[Sample_ID]=A42) * (SensorLab[Analyte]=$N$1), SensorLab[Final_Results], "Not Found")</f>
        <v>35</v>
      </c>
      <c r="O42" s="209" cm="1">
        <f t="array" ref="O42">_xlfn.XLOOKUP(1, (SensorLab[Sample_ID]=A42) * (SensorLab[Analyte]=$O$1), SensorLab[Final_Results], "Not Found")</f>
        <v>12.5</v>
      </c>
      <c r="P42" s="51" t="str" cm="1">
        <f t="array" ref="P42">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Q42" s="209" t="str" cm="1">
        <f t="array" ref="Q42">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15.44</v>
      </c>
      <c r="R42" s="4" t="str" cm="1">
        <f t="array" ref="R42">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00%</v>
      </c>
      <c r="S42" s="4" t="str">
        <f t="shared" si="13"/>
        <v>Not Suitable</v>
      </c>
      <c r="X42" s="281"/>
      <c r="Y42" s="282"/>
      <c r="Z42" s="282"/>
      <c r="AA42" s="282"/>
      <c r="AB42" s="282"/>
      <c r="AC42" s="282"/>
      <c r="AD42" s="282"/>
    </row>
    <row r="43" spans="1:30" x14ac:dyDescent="0.15">
      <c r="A43" s="22" t="s">
        <v>253</v>
      </c>
      <c r="B43" s="213">
        <v>33.844574999999999</v>
      </c>
      <c r="C43" s="213">
        <v>72.462083300000003</v>
      </c>
      <c r="D43" s="216" t="str">
        <f t="shared" si="1"/>
        <v>3767-6731</v>
      </c>
      <c r="E43" s="209" cm="1">
        <f t="array" ref="E43">_xlfn.XLOOKUP(1, (SensorLab[Sample_ID]=A43) * (SensorLab[Analyte]=$E$1), SensorLab[Final_Results], "Not Found")</f>
        <v>2</v>
      </c>
      <c r="F43" s="209" cm="1">
        <f t="array" ref="F43">_xlfn.XLOOKUP(1, (SensorLab[Sample_ID]=A43) * (SensorLab[Analyte]=$F$1), SensorLab[Final_Results], "Not Found")</f>
        <v>4.1240100000000002</v>
      </c>
      <c r="G43" s="209" cm="1">
        <f t="array" ref="G43">_xlfn.XLOOKUP(1, (SensorLab[Sample_ID]=A43) * (SensorLab[Analyte]=$G$1), SensorLab[Final_Results], "Not Found")</f>
        <v>97.80395</v>
      </c>
      <c r="H43" s="209" cm="1">
        <f t="array" ref="H43">_xlfn.XLOOKUP(1, (SensorLab[Sample_ID]=A43) * (SensorLab[Analyte]=$H$1), SensorLab[Final_Results], "Not Found")</f>
        <v>0.88939999999999997</v>
      </c>
      <c r="I43" s="209" cm="1">
        <f t="array" ref="I43">_xlfn.XLOOKUP(1, (SensorLab[Sample_ID]=A43) * (SensorLab[Analyte]=$I$1), SensorLab[Final_Results], "Not Found")</f>
        <v>7.8754299999999997</v>
      </c>
      <c r="J43" s="209" cm="1">
        <f t="array" ref="J43">_xlfn.XLOOKUP(1, (SensorLab[Sample_ID]=A43) * (SensorLab[Analyte]=$J$1), SensorLab[Final_Results], "Not Found")</f>
        <v>18.951630000000002</v>
      </c>
      <c r="K43" s="209" cm="1">
        <f t="array" ref="K43">_xlfn.XLOOKUP(1, (SensorLab[Sample_ID]=A43) * (SensorLab[Analyte]=$K$1), SensorLab[Final_Results], "Not Found")</f>
        <v>16.398430000000001</v>
      </c>
      <c r="L43" s="209" cm="1">
        <f t="array" ref="L43">_xlfn.XLOOKUP(1, (SensorLab[Sample_ID]=A43) * (SensorLab[Analyte]=$L$1), SensorLab[Final_Results], "Not Found")</f>
        <v>0.6</v>
      </c>
      <c r="M43" s="209" cm="1">
        <f t="array" ref="M43">_xlfn.XLOOKUP(1, (SensorLab[Sample_ID]=A43) * (SensorLab[Analyte]=$M$1), SensorLab[Final_Results], "Not Found")</f>
        <v>0</v>
      </c>
      <c r="N43" s="209" cm="1">
        <f t="array" ref="N43">_xlfn.XLOOKUP(1, (SensorLab[Sample_ID]=A43) * (SensorLab[Analyte]=$N$1), SensorLab[Final_Results], "Not Found")</f>
        <v>0</v>
      </c>
      <c r="O43" s="209" cm="1">
        <f t="array" ref="O43">_xlfn.XLOOKUP(1, (SensorLab[Sample_ID]=A43) * (SensorLab[Analyte]=$O$1), SensorLab[Final_Results], "Not Found")</f>
        <v>0</v>
      </c>
      <c r="P43" s="51" t="str" cm="1">
        <f t="array" ref="P43">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Q43" s="209" t="str" cm="1">
        <f t="array" ref="Q43">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56.71</v>
      </c>
      <c r="R43" s="4" t="str" cm="1">
        <f t="array" ref="R43">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00%</v>
      </c>
      <c r="S43" s="4" t="str">
        <f t="shared" si="13"/>
        <v>Not Suitable</v>
      </c>
    </row>
    <row r="44" spans="1:30" x14ac:dyDescent="0.15">
      <c r="A44" s="22" t="s">
        <v>254</v>
      </c>
      <c r="B44" s="213">
        <v>33.842953000000001</v>
      </c>
      <c r="C44" s="213">
        <v>72.460164500000005</v>
      </c>
      <c r="D44" s="216" t="str">
        <f t="shared" si="1"/>
        <v>3767-6731</v>
      </c>
      <c r="E44" s="209" cm="1">
        <f t="array" ref="E44">_xlfn.XLOOKUP(1, (SensorLab[Sample_ID]=A44) * (SensorLab[Analyte]=$E$1), SensorLab[Final_Results], "Not Found")</f>
        <v>2</v>
      </c>
      <c r="F44" s="209" cm="1">
        <f t="array" ref="F44">_xlfn.XLOOKUP(1, (SensorLab[Sample_ID]=A44) * (SensorLab[Analyte]=$F$1), SensorLab[Final_Results], "Not Found")</f>
        <v>4.1240100000000002</v>
      </c>
      <c r="G44" s="209" cm="1">
        <f t="array" ref="G44">_xlfn.XLOOKUP(1, (SensorLab[Sample_ID]=A44) * (SensorLab[Analyte]=$G$1), SensorLab[Final_Results], "Not Found")</f>
        <v>97.80395</v>
      </c>
      <c r="H44" s="209" cm="1">
        <f t="array" ref="H44">_xlfn.XLOOKUP(1, (SensorLab[Sample_ID]=A44) * (SensorLab[Analyte]=$H$1), SensorLab[Final_Results], "Not Found")</f>
        <v>0.91561000000000003</v>
      </c>
      <c r="I44" s="209" cm="1">
        <f t="array" ref="I44">_xlfn.XLOOKUP(1, (SensorLab[Sample_ID]=A44) * (SensorLab[Analyte]=$I$1), SensorLab[Final_Results], "Not Found")</f>
        <v>7.8708600000000004</v>
      </c>
      <c r="J44" s="209" cm="1">
        <f t="array" ref="J44">_xlfn.XLOOKUP(1, (SensorLab[Sample_ID]=A44) * (SensorLab[Analyte]=$J$1), SensorLab[Final_Results], "Not Found")</f>
        <v>16.808260000000001</v>
      </c>
      <c r="K44" s="209" cm="1">
        <f t="array" ref="K44">_xlfn.XLOOKUP(1, (SensorLab[Sample_ID]=A44) * (SensorLab[Analyte]=$K$1), SensorLab[Final_Results], "Not Found")</f>
        <v>17.298649999999999</v>
      </c>
      <c r="L44" s="209" cm="1">
        <f t="array" ref="L44">_xlfn.XLOOKUP(1, (SensorLab[Sample_ID]=A44) * (SensorLab[Analyte]=$L$1), SensorLab[Final_Results], "Not Found")</f>
        <v>0.6</v>
      </c>
      <c r="M44" s="209" cm="1">
        <f t="array" ref="M44">_xlfn.XLOOKUP(1, (SensorLab[Sample_ID]=A44) * (SensorLab[Analyte]=$M$1), SensorLab[Final_Results], "Not Found")</f>
        <v>57.5</v>
      </c>
      <c r="N44" s="209" cm="1">
        <f t="array" ref="N44">_xlfn.XLOOKUP(1, (SensorLab[Sample_ID]=A44) * (SensorLab[Analyte]=$N$1), SensorLab[Final_Results], "Not Found")</f>
        <v>35</v>
      </c>
      <c r="O44" s="209" cm="1">
        <f t="array" ref="O44">_xlfn.XLOOKUP(1, (SensorLab[Sample_ID]=A44) * (SensorLab[Analyte]=$O$1), SensorLab[Final_Results], "Not Found")</f>
        <v>7.5</v>
      </c>
      <c r="P44" s="51" t="str" cm="1">
        <f t="array" ref="P44">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Q44" s="209" t="str" cm="1">
        <f t="array" ref="Q44">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12.19</v>
      </c>
      <c r="R44" s="4" t="str" cm="1">
        <f t="array" ref="R44">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00%</v>
      </c>
      <c r="S44" s="4" t="str">
        <f t="shared" si="13"/>
        <v>Not Suitable</v>
      </c>
    </row>
    <row r="45" spans="1:30" x14ac:dyDescent="0.15">
      <c r="A45" s="22" t="s">
        <v>255</v>
      </c>
      <c r="B45" s="213">
        <v>33.845730000000003</v>
      </c>
      <c r="C45" s="213">
        <v>72.461164999999994</v>
      </c>
      <c r="D45" s="216" t="str">
        <f t="shared" si="1"/>
        <v>3767-6731</v>
      </c>
      <c r="E45" s="209" cm="1">
        <f t="array" ref="E45">_xlfn.XLOOKUP(1, (SensorLab[Sample_ID]=A45) * (SensorLab[Analyte]=$E$1), SensorLab[Final_Results], "Not Found")</f>
        <v>2</v>
      </c>
      <c r="F45" s="209" cm="1">
        <f t="array" ref="F45">_xlfn.XLOOKUP(1, (SensorLab[Sample_ID]=A45) * (SensorLab[Analyte]=$F$1), SensorLab[Final_Results], "Not Found")</f>
        <v>4.1240100000000002</v>
      </c>
      <c r="G45" s="209" cm="1">
        <f t="array" ref="G45">_xlfn.XLOOKUP(1, (SensorLab[Sample_ID]=A45) * (SensorLab[Analyte]=$G$1), SensorLab[Final_Results], "Not Found")</f>
        <v>97.80395</v>
      </c>
      <c r="H45" s="209" cm="1">
        <f t="array" ref="H45">_xlfn.XLOOKUP(1, (SensorLab[Sample_ID]=A45) * (SensorLab[Analyte]=$H$1), SensorLab[Final_Results], "Not Found")</f>
        <v>0.88349999999999995</v>
      </c>
      <c r="I45" s="209" cm="1">
        <f t="array" ref="I45">_xlfn.XLOOKUP(1, (SensorLab[Sample_ID]=A45) * (SensorLab[Analyte]=$I$1), SensorLab[Final_Results], "Not Found")</f>
        <v>7.8571499999999999</v>
      </c>
      <c r="J45" s="209" cm="1">
        <f t="array" ref="J45">_xlfn.XLOOKUP(1, (SensorLab[Sample_ID]=A45) * (SensorLab[Analyte]=$J$1), SensorLab[Final_Results], "Not Found")</f>
        <v>16.910319999999999</v>
      </c>
      <c r="K45" s="209" cm="1">
        <f t="array" ref="K45">_xlfn.XLOOKUP(1, (SensorLab[Sample_ID]=A45) * (SensorLab[Analyte]=$K$1), SensorLab[Final_Results], "Not Found")</f>
        <v>14.497949999999999</v>
      </c>
      <c r="L45" s="209" cm="1">
        <f t="array" ref="L45">_xlfn.XLOOKUP(1, (SensorLab[Sample_ID]=A45) * (SensorLab[Analyte]=$L$1), SensorLab[Final_Results], "Not Found")</f>
        <v>0.6</v>
      </c>
      <c r="M45" s="209" cm="1">
        <f t="array" ref="M45">_xlfn.XLOOKUP(1, (SensorLab[Sample_ID]=A45) * (SensorLab[Analyte]=$M$1), SensorLab[Final_Results], "Not Found")</f>
        <v>0</v>
      </c>
      <c r="N45" s="209" cm="1">
        <f t="array" ref="N45">_xlfn.XLOOKUP(1, (SensorLab[Sample_ID]=A45) * (SensorLab[Analyte]=$N$1), SensorLab[Final_Results], "Not Found")</f>
        <v>0</v>
      </c>
      <c r="O45" s="209" cm="1">
        <f t="array" ref="O45">_xlfn.XLOOKUP(1, (SensorLab[Sample_ID]=A45) * (SensorLab[Analyte]=$O$1), SensorLab[Final_Results], "Not Found")</f>
        <v>0</v>
      </c>
      <c r="P45" s="51" t="str" cm="1">
        <f t="array" ref="P45">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Q45" s="209" t="str" cm="1">
        <f t="array" ref="Q45">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56.71</v>
      </c>
      <c r="R45" s="4" t="str" cm="1">
        <f t="array" ref="R45">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00%</v>
      </c>
      <c r="S45" s="4" t="str">
        <f t="shared" si="13"/>
        <v>Not Suitable</v>
      </c>
    </row>
    <row r="46" spans="1:30" x14ac:dyDescent="0.15">
      <c r="A46" s="22" t="s">
        <v>256</v>
      </c>
      <c r="B46" s="213">
        <v>33.841047400000001</v>
      </c>
      <c r="C46" s="213">
        <v>72.460377800000003</v>
      </c>
      <c r="D46" s="216" t="str">
        <f t="shared" si="1"/>
        <v>3767-6731</v>
      </c>
      <c r="E46" s="209" cm="1">
        <f t="array" ref="E46">_xlfn.XLOOKUP(1, (SensorLab[Sample_ID]=A46) * (SensorLab[Analyte]=$E$1), SensorLab[Final_Results], "Not Found")</f>
        <v>2</v>
      </c>
      <c r="F46" s="209" cm="1">
        <f t="array" ref="F46">_xlfn.XLOOKUP(1, (SensorLab[Sample_ID]=A46) * (SensorLab[Analyte]=$F$1), SensorLab[Final_Results], "Not Found")</f>
        <v>4.1240100000000002</v>
      </c>
      <c r="G46" s="209" cm="1">
        <f t="array" ref="G46">_xlfn.XLOOKUP(1, (SensorLab[Sample_ID]=A46) * (SensorLab[Analyte]=$G$1), SensorLab[Final_Results], "Not Found")</f>
        <v>97.80395</v>
      </c>
      <c r="H46" s="209" cm="1">
        <f t="array" ref="H46">_xlfn.XLOOKUP(1, (SensorLab[Sample_ID]=A46) * (SensorLab[Analyte]=$H$1), SensorLab[Final_Results], "Not Found")</f>
        <v>0.90381</v>
      </c>
      <c r="I46" s="209" cm="1">
        <f t="array" ref="I46">_xlfn.XLOOKUP(1, (SensorLab[Sample_ID]=A46) * (SensorLab[Analyte]=$I$1), SensorLab[Final_Results], "Not Found")</f>
        <v>7.8708600000000004</v>
      </c>
      <c r="J46" s="209" cm="1">
        <f t="array" ref="J46">_xlfn.XLOOKUP(1, (SensorLab[Sample_ID]=A46) * (SensorLab[Analyte]=$J$1), SensorLab[Final_Results], "Not Found")</f>
        <v>17.930980000000002</v>
      </c>
      <c r="K46" s="209" cm="1">
        <f t="array" ref="K46">_xlfn.XLOOKUP(1, (SensorLab[Sample_ID]=A46) * (SensorLab[Analyte]=$K$1), SensorLab[Final_Results], "Not Found")</f>
        <v>13.99783</v>
      </c>
      <c r="L46" s="209" cm="1">
        <f t="array" ref="L46">_xlfn.XLOOKUP(1, (SensorLab[Sample_ID]=A46) * (SensorLab[Analyte]=$L$1), SensorLab[Final_Results], "Not Found")</f>
        <v>0.6</v>
      </c>
      <c r="M46" s="209" cm="1">
        <f t="array" ref="M46">_xlfn.XLOOKUP(1, (SensorLab[Sample_ID]=A46) * (SensorLab[Analyte]=$M$1), SensorLab[Final_Results], "Not Found")</f>
        <v>27.5</v>
      </c>
      <c r="N46" s="209" cm="1">
        <f t="array" ref="N46">_xlfn.XLOOKUP(1, (SensorLab[Sample_ID]=A46) * (SensorLab[Analyte]=$N$1), SensorLab[Final_Results], "Not Found")</f>
        <v>60</v>
      </c>
      <c r="O46" s="209" cm="1">
        <f t="array" ref="O46">_xlfn.XLOOKUP(1, (SensorLab[Sample_ID]=A46) * (SensorLab[Analyte]=$O$1), SensorLab[Final_Results], "Not Found")</f>
        <v>12.5</v>
      </c>
      <c r="P46" s="51" t="str" cm="1">
        <f t="array" ref="P46">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Q46" s="209" t="str" cm="1">
        <f t="array" ref="Q46">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09.39</v>
      </c>
      <c r="R46" s="4" t="str" cm="1">
        <f t="array" ref="R46">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100%</v>
      </c>
      <c r="S46" s="4" t="str">
        <f t="shared" si="13"/>
        <v>Suitable</v>
      </c>
    </row>
    <row r="47" spans="1:30" x14ac:dyDescent="0.15">
      <c r="A47" s="22" t="s">
        <v>257</v>
      </c>
      <c r="B47" s="213">
        <v>33.841013400000001</v>
      </c>
      <c r="C47" s="213">
        <v>72.458371200000002</v>
      </c>
      <c r="D47" s="216" t="str">
        <f t="shared" si="1"/>
        <v>3767-6731</v>
      </c>
      <c r="E47" s="209" cm="1">
        <f t="array" ref="E47">_xlfn.XLOOKUP(1, (SensorLab[Sample_ID]=A47) * (SensorLab[Analyte]=$E$1), SensorLab[Final_Results], "Not Found")</f>
        <v>2</v>
      </c>
      <c r="F47" s="209" cm="1">
        <f t="array" ref="F47">_xlfn.XLOOKUP(1, (SensorLab[Sample_ID]=A47) * (SensorLab[Analyte]=$F$1), SensorLab[Final_Results], "Not Found")</f>
        <v>4.1240100000000002</v>
      </c>
      <c r="G47" s="209" cm="1">
        <f t="array" ref="G47">_xlfn.XLOOKUP(1, (SensorLab[Sample_ID]=A47) * (SensorLab[Analyte]=$G$1), SensorLab[Final_Results], "Not Found")</f>
        <v>97.80395</v>
      </c>
      <c r="H47" s="209" cm="1">
        <f t="array" ref="H47">_xlfn.XLOOKUP(1, (SensorLab[Sample_ID]=A47) * (SensorLab[Analyte]=$H$1), SensorLab[Final_Results], "Not Found")</f>
        <v>0.91298999999999997</v>
      </c>
      <c r="I47" s="209" cm="1">
        <f t="array" ref="I47">_xlfn.XLOOKUP(1, (SensorLab[Sample_ID]=A47) * (SensorLab[Analyte]=$I$1), SensorLab[Final_Results], "Not Found")</f>
        <v>7.88</v>
      </c>
      <c r="J47" s="209" cm="1">
        <f t="array" ref="J47">_xlfn.XLOOKUP(1, (SensorLab[Sample_ID]=A47) * (SensorLab[Analyte]=$J$1), SensorLab[Final_Results], "Not Found")</f>
        <v>18.645440000000001</v>
      </c>
      <c r="K47" s="209" cm="1">
        <f t="array" ref="K47">_xlfn.XLOOKUP(1, (SensorLab[Sample_ID]=A47) * (SensorLab[Analyte]=$K$1), SensorLab[Final_Results], "Not Found")</f>
        <v>16.99858</v>
      </c>
      <c r="L47" s="209" cm="1">
        <f t="array" ref="L47">_xlfn.XLOOKUP(1, (SensorLab[Sample_ID]=A47) * (SensorLab[Analyte]=$L$1), SensorLab[Final_Results], "Not Found")</f>
        <v>0.59977999999999998</v>
      </c>
      <c r="M47" s="209" cm="1">
        <f t="array" ref="M47">_xlfn.XLOOKUP(1, (SensorLab[Sample_ID]=A47) * (SensorLab[Analyte]=$M$1), SensorLab[Final_Results], "Not Found")</f>
        <v>82</v>
      </c>
      <c r="N47" s="209" cm="1">
        <f t="array" ref="N47">_xlfn.XLOOKUP(1, (SensorLab[Sample_ID]=A47) * (SensorLab[Analyte]=$N$1), SensorLab[Final_Results], "Not Found")</f>
        <v>10.5</v>
      </c>
      <c r="O47" s="209" cm="1">
        <f t="array" ref="O47">_xlfn.XLOOKUP(1, (SensorLab[Sample_ID]=A47) * (SensorLab[Analyte]=$O$1), SensorLab[Final_Results], "Not Found")</f>
        <v>7.5</v>
      </c>
      <c r="P47" s="51" t="str" cm="1">
        <f t="array" ref="P47">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Loamy Sand</v>
      </c>
      <c r="Q47" s="209" t="str" cm="1">
        <f t="array" ref="Q47">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02.83</v>
      </c>
      <c r="R47" s="4" t="str" cm="1">
        <f t="array" ref="R47">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100%</v>
      </c>
      <c r="S47" s="4" t="str">
        <f t="shared" si="13"/>
        <v>Suitable</v>
      </c>
    </row>
    <row r="48" spans="1:30" x14ac:dyDescent="0.15">
      <c r="A48" s="22" t="s">
        <v>258</v>
      </c>
      <c r="B48" s="213">
        <v>33.846024999999997</v>
      </c>
      <c r="C48" s="213">
        <v>72.461536699999996</v>
      </c>
      <c r="D48" s="216" t="str">
        <f t="shared" si="1"/>
        <v>3767-6731</v>
      </c>
      <c r="E48" s="209" cm="1">
        <f t="array" ref="E48">_xlfn.XLOOKUP(1, (SensorLab[Sample_ID]=A48) * (SensorLab[Analyte]=$E$1), SensorLab[Final_Results], "Not Found")</f>
        <v>2</v>
      </c>
      <c r="F48" s="209" cm="1">
        <f t="array" ref="F48">_xlfn.XLOOKUP(1, (SensorLab[Sample_ID]=A48) * (SensorLab[Analyte]=$F$1), SensorLab[Final_Results], "Not Found")</f>
        <v>4.1240100000000002</v>
      </c>
      <c r="G48" s="209" cm="1">
        <f t="array" ref="G48">_xlfn.XLOOKUP(1, (SensorLab[Sample_ID]=A48) * (SensorLab[Analyte]=$G$1), SensorLab[Final_Results], "Not Found")</f>
        <v>97.80395</v>
      </c>
      <c r="H48" s="209" cm="1">
        <f t="array" ref="H48">_xlfn.XLOOKUP(1, (SensorLab[Sample_ID]=A48) * (SensorLab[Analyte]=$H$1), SensorLab[Final_Results], "Not Found")</f>
        <v>0.88546000000000002</v>
      </c>
      <c r="I48" s="209" cm="1">
        <f t="array" ref="I48">_xlfn.XLOOKUP(1, (SensorLab[Sample_ID]=A48) * (SensorLab[Analyte]=$I$1), SensorLab[Final_Results], "Not Found")</f>
        <v>7.86172</v>
      </c>
      <c r="J48" s="209" cm="1">
        <f t="array" ref="J48">_xlfn.XLOOKUP(1, (SensorLab[Sample_ID]=A48) * (SensorLab[Analyte]=$J$1), SensorLab[Final_Results], "Not Found")</f>
        <v>19.155760000000001</v>
      </c>
      <c r="K48" s="209" cm="1">
        <f t="array" ref="K48">_xlfn.XLOOKUP(1, (SensorLab[Sample_ID]=A48) * (SensorLab[Analyte]=$K$1), SensorLab[Final_Results], "Not Found")</f>
        <v>14.497949999999999</v>
      </c>
      <c r="L48" s="209" cm="1">
        <f t="array" ref="L48">_xlfn.XLOOKUP(1, (SensorLab[Sample_ID]=A48) * (SensorLab[Analyte]=$L$1), SensorLab[Final_Results], "Not Found")</f>
        <v>0.6</v>
      </c>
      <c r="M48" s="209" cm="1">
        <f t="array" ref="M48">_xlfn.XLOOKUP(1, (SensorLab[Sample_ID]=A48) * (SensorLab[Analyte]=$M$1), SensorLab[Final_Results], "Not Found")</f>
        <v>0</v>
      </c>
      <c r="N48" s="209" cm="1">
        <f t="array" ref="N48">_xlfn.XLOOKUP(1, (SensorLab[Sample_ID]=A48) * (SensorLab[Analyte]=$N$1), SensorLab[Final_Results], "Not Found")</f>
        <v>0</v>
      </c>
      <c r="O48" s="209" cm="1">
        <f t="array" ref="O48">_xlfn.XLOOKUP(1, (SensorLab[Sample_ID]=A48) * (SensorLab[Analyte]=$O$1), SensorLab[Final_Results], "Not Found")</f>
        <v>0</v>
      </c>
      <c r="P48" s="51" t="str" cm="1">
        <f t="array" ref="P48">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Q48" s="209" t="str" cm="1">
        <f t="array" ref="Q48">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56.71</v>
      </c>
      <c r="R48" s="4" t="str" cm="1">
        <f t="array" ref="R48">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00%</v>
      </c>
      <c r="S48" s="4" t="str">
        <f t="shared" si="13"/>
        <v>Not Suitable</v>
      </c>
    </row>
    <row r="49" spans="1:19" x14ac:dyDescent="0.15">
      <c r="A49" s="22" t="s">
        <v>259</v>
      </c>
      <c r="B49" s="213">
        <v>33.885696699999997</v>
      </c>
      <c r="C49" s="213">
        <v>72.361738299999999</v>
      </c>
      <c r="D49" s="216" t="str">
        <f t="shared" si="1"/>
        <v>3772-6722</v>
      </c>
      <c r="E49" s="209" cm="1">
        <f t="array" ref="E49">_xlfn.XLOOKUP(1, (SensorLab[Sample_ID]=A49) * (SensorLab[Analyte]=$E$1), SensorLab[Final_Results], "Not Found")</f>
        <v>6.7728299999999999</v>
      </c>
      <c r="F49" s="209" cm="1">
        <f t="array" ref="F49">_xlfn.XLOOKUP(1, (SensorLab[Sample_ID]=A49) * (SensorLab[Analyte]=$F$1), SensorLab[Final_Results], "Not Found")</f>
        <v>7.2515400000000003</v>
      </c>
      <c r="G49" s="209" cm="1">
        <f t="array" ref="G49">_xlfn.XLOOKUP(1, (SensorLab[Sample_ID]=A49) * (SensorLab[Analyte]=$G$1), SensorLab[Final_Results], "Not Found")</f>
        <v>134.56435999999999</v>
      </c>
      <c r="H49" s="209" cm="1">
        <f t="array" ref="H49">_xlfn.XLOOKUP(1, (SensorLab[Sample_ID]=A49) * (SensorLab[Analyte]=$H$1), SensorLab[Final_Results], "Not Found")</f>
        <v>1.1115600000000001</v>
      </c>
      <c r="I49" s="209" cm="1">
        <f t="array" ref="I49">_xlfn.XLOOKUP(1, (SensorLab[Sample_ID]=A49) * (SensorLab[Analyte]=$I$1), SensorLab[Final_Results], "Not Found")</f>
        <v>7.8434400000000002</v>
      </c>
      <c r="J49" s="209" cm="1">
        <f t="array" ref="J49">_xlfn.XLOOKUP(1, (SensorLab[Sample_ID]=A49) * (SensorLab[Analyte]=$J$1), SensorLab[Final_Results], "Not Found")</f>
        <v>16.910319999999999</v>
      </c>
      <c r="K49" s="209" cm="1">
        <f t="array" ref="K49">_xlfn.XLOOKUP(1, (SensorLab[Sample_ID]=A49) * (SensorLab[Analyte]=$K$1), SensorLab[Final_Results], "Not Found")</f>
        <v>24.700510000000001</v>
      </c>
      <c r="L49" s="209" cm="1">
        <f t="array" ref="L49">_xlfn.XLOOKUP(1, (SensorLab[Sample_ID]=A49) * (SensorLab[Analyte]=$L$1), SensorLab[Final_Results], "Not Found")</f>
        <v>0.83115000000000006</v>
      </c>
      <c r="M49" s="209" cm="1">
        <f t="array" ref="M49">_xlfn.XLOOKUP(1, (SensorLab[Sample_ID]=A49) * (SensorLab[Analyte]=$M$1), SensorLab[Final_Results], "Not Found")</f>
        <v>52.5</v>
      </c>
      <c r="N49" s="209" cm="1">
        <f t="array" ref="N49">_xlfn.XLOOKUP(1, (SensorLab[Sample_ID]=A49) * (SensorLab[Analyte]=$N$1), SensorLab[Final_Results], "Not Found")</f>
        <v>37.5</v>
      </c>
      <c r="O49" s="209" cm="1">
        <f t="array" ref="O49">_xlfn.XLOOKUP(1, (SensorLab[Sample_ID]=A49) * (SensorLab[Analyte]=$O$1), SensorLab[Final_Results], "Not Found")</f>
        <v>10</v>
      </c>
      <c r="P49" s="51" t="str" cm="1">
        <f t="array" ref="P49">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Q49" s="209" t="str" cm="1">
        <f t="array" ref="Q49">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16.62</v>
      </c>
      <c r="R49" s="4" t="str" cm="1">
        <f t="array" ref="R49">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00%</v>
      </c>
      <c r="S49" s="4" t="str">
        <f t="shared" si="13"/>
        <v>Not Suitable</v>
      </c>
    </row>
    <row r="50" spans="1:19" x14ac:dyDescent="0.15">
      <c r="A50" s="22" t="s">
        <v>260</v>
      </c>
      <c r="B50" s="213">
        <v>33.882999499999997</v>
      </c>
      <c r="C50" s="213">
        <v>72.362019399999994</v>
      </c>
      <c r="D50" s="216" t="str">
        <f t="shared" si="1"/>
        <v>3771-6722</v>
      </c>
      <c r="E50" s="209" cm="1">
        <f t="array" ref="E50">_xlfn.XLOOKUP(1, (SensorLab[Sample_ID]=A50) * (SensorLab[Analyte]=$E$1), SensorLab[Final_Results], "Not Found")</f>
        <v>2.1403699999999999</v>
      </c>
      <c r="F50" s="209" cm="1">
        <f t="array" ref="F50">_xlfn.XLOOKUP(1, (SensorLab[Sample_ID]=A50) * (SensorLab[Analyte]=$F$1), SensorLab[Final_Results], "Not Found")</f>
        <v>5.3750200000000001</v>
      </c>
      <c r="G50" s="209" cm="1">
        <f t="array" ref="G50">_xlfn.XLOOKUP(1, (SensorLab[Sample_ID]=A50) * (SensorLab[Analyte]=$G$1), SensorLab[Final_Results], "Not Found")</f>
        <v>111</v>
      </c>
      <c r="H50" s="209" cm="1">
        <f t="array" ref="H50">_xlfn.XLOOKUP(1, (SensorLab[Sample_ID]=A50) * (SensorLab[Analyte]=$H$1), SensorLab[Final_Results], "Not Found")</f>
        <v>1.0099800000000001</v>
      </c>
      <c r="I50" s="209" cm="1">
        <f t="array" ref="I50">_xlfn.XLOOKUP(1, (SensorLab[Sample_ID]=A50) * (SensorLab[Analyte]=$I$1), SensorLab[Final_Results], "Not Found")</f>
        <v>7.8480100000000004</v>
      </c>
      <c r="J50" s="209" cm="1">
        <f t="array" ref="J50">_xlfn.XLOOKUP(1, (SensorLab[Sample_ID]=A50) * (SensorLab[Analyte]=$J$1), SensorLab[Final_Results], "Not Found")</f>
        <v>16.297930000000001</v>
      </c>
      <c r="K50" s="209" cm="1">
        <f t="array" ref="K50">_xlfn.XLOOKUP(1, (SensorLab[Sample_ID]=A50) * (SensorLab[Analyte]=$K$1), SensorLab[Final_Results], "Not Found")</f>
        <v>24.300409999999999</v>
      </c>
      <c r="L50" s="209" cm="1">
        <f t="array" ref="L50">_xlfn.XLOOKUP(1, (SensorLab[Sample_ID]=A50) * (SensorLab[Analyte]=$L$1), SensorLab[Final_Results], "Not Found")</f>
        <v>0.60658999999999996</v>
      </c>
      <c r="M50" s="209" cm="1">
        <f t="array" ref="M50">_xlfn.XLOOKUP(1, (SensorLab[Sample_ID]=A50) * (SensorLab[Analyte]=$M$1), SensorLab[Final_Results], "Not Found")</f>
        <v>60</v>
      </c>
      <c r="N50" s="209" cm="1">
        <f t="array" ref="N50">_xlfn.XLOOKUP(1, (SensorLab[Sample_ID]=A50) * (SensorLab[Analyte]=$N$1), SensorLab[Final_Results], "Not Found")</f>
        <v>27.5</v>
      </c>
      <c r="O50" s="209" cm="1">
        <f t="array" ref="O50">_xlfn.XLOOKUP(1, (SensorLab[Sample_ID]=A50) * (SensorLab[Analyte]=$O$1), SensorLab[Final_Results], "Not Found")</f>
        <v>12.5</v>
      </c>
      <c r="P50" s="51" t="str" cm="1">
        <f t="array" ref="P50">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Q50" s="209" t="str" cm="1">
        <f t="array" ref="Q50">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05.34</v>
      </c>
      <c r="R50" s="4" t="str" cm="1">
        <f t="array" ref="R50">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100%</v>
      </c>
      <c r="S50" s="4" t="str">
        <f t="shared" si="13"/>
        <v>Suitable</v>
      </c>
    </row>
    <row r="51" spans="1:19" x14ac:dyDescent="0.15">
      <c r="A51" s="22" t="s">
        <v>261</v>
      </c>
      <c r="B51" s="213">
        <v>33.884971700000001</v>
      </c>
      <c r="C51" s="213">
        <v>72.362551699999997</v>
      </c>
      <c r="D51" s="216" t="str">
        <f t="shared" si="1"/>
        <v>3772-6722</v>
      </c>
      <c r="E51" s="209" cm="1">
        <f t="array" ref="E51">_xlfn.XLOOKUP(1, (SensorLab[Sample_ID]=A51) * (SensorLab[Analyte]=$E$1), SensorLab[Final_Results], "Not Found")</f>
        <v>2</v>
      </c>
      <c r="F51" s="209" cm="1">
        <f t="array" ref="F51">_xlfn.XLOOKUP(1, (SensorLab[Sample_ID]=A51) * (SensorLab[Analyte]=$F$1), SensorLab[Final_Results], "Not Found")</f>
        <v>4.1990699999999999</v>
      </c>
      <c r="G51" s="209" cm="1">
        <f t="array" ref="G51">_xlfn.XLOOKUP(1, (SensorLab[Sample_ID]=A51) * (SensorLab[Analyte]=$G$1), SensorLab[Final_Results], "Not Found")</f>
        <v>97.80395</v>
      </c>
      <c r="H51" s="209" cm="1">
        <f t="array" ref="H51">_xlfn.XLOOKUP(1, (SensorLab[Sample_ID]=A51) * (SensorLab[Analyte]=$H$1), SensorLab[Final_Results], "Not Found")</f>
        <v>0.94640999999999997</v>
      </c>
      <c r="I51" s="209" cm="1">
        <f t="array" ref="I51">_xlfn.XLOOKUP(1, (SensorLab[Sample_ID]=A51) * (SensorLab[Analyte]=$I$1), SensorLab[Final_Results], "Not Found")</f>
        <v>7.8297299999999996</v>
      </c>
      <c r="J51" s="209" cm="1">
        <f t="array" ref="J51">_xlfn.XLOOKUP(1, (SensorLab[Sample_ID]=A51) * (SensorLab[Analyte]=$J$1), SensorLab[Final_Results], "Not Found")</f>
        <v>19.972290000000001</v>
      </c>
      <c r="K51" s="209" cm="1">
        <f t="array" ref="K51">_xlfn.XLOOKUP(1, (SensorLab[Sample_ID]=A51) * (SensorLab[Analyte]=$K$1), SensorLab[Final_Results], "Not Found")</f>
        <v>22.299900000000001</v>
      </c>
      <c r="L51" s="209" cm="1">
        <f t="array" ref="L51">_xlfn.XLOOKUP(1, (SensorLab[Sample_ID]=A51) * (SensorLab[Analyte]=$L$1), SensorLab[Final_Results], "Not Found")</f>
        <v>0.6</v>
      </c>
      <c r="M51" s="209" cm="1">
        <f t="array" ref="M51">_xlfn.XLOOKUP(1, (SensorLab[Sample_ID]=A51) * (SensorLab[Analyte]=$M$1), SensorLab[Final_Results], "Not Found")</f>
        <v>60</v>
      </c>
      <c r="N51" s="209" cm="1">
        <f t="array" ref="N51">_xlfn.XLOOKUP(1, (SensorLab[Sample_ID]=A51) * (SensorLab[Analyte]=$N$1), SensorLab[Final_Results], "Not Found")</f>
        <v>27.5</v>
      </c>
      <c r="O51" s="209" cm="1">
        <f t="array" ref="O51">_xlfn.XLOOKUP(1, (SensorLab[Sample_ID]=A51) * (SensorLab[Analyte]=$O$1), SensorLab[Final_Results], "Not Found")</f>
        <v>12.5</v>
      </c>
      <c r="P51" s="51" t="str" cm="1">
        <f t="array" ref="P51">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Q51" s="209" t="str" cm="1">
        <f t="array" ref="Q51">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05.34</v>
      </c>
      <c r="R51" s="4" t="str" cm="1">
        <f t="array" ref="R51">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100%</v>
      </c>
      <c r="S51" s="4" t="str">
        <f t="shared" si="13"/>
        <v>Suitable</v>
      </c>
    </row>
    <row r="52" spans="1:19" x14ac:dyDescent="0.15">
      <c r="A52" s="22" t="s">
        <v>265</v>
      </c>
      <c r="B52" s="213">
        <v>33.882772099999997</v>
      </c>
      <c r="C52" s="213">
        <v>72.359932299999997</v>
      </c>
      <c r="D52" s="216" t="str">
        <f t="shared" si="1"/>
        <v>3771-6722</v>
      </c>
      <c r="E52" s="209" cm="1">
        <f t="array" ref="E52">_xlfn.XLOOKUP(1, (SensorLab[Sample_ID]=A52) * (SensorLab[Analyte]=$E$1), SensorLab[Final_Results], "Not Found")</f>
        <v>2</v>
      </c>
      <c r="F52" s="209" cm="1">
        <f t="array" ref="F52">_xlfn.XLOOKUP(1, (SensorLab[Sample_ID]=A52) * (SensorLab[Analyte]=$F$1), SensorLab[Final_Results], "Not Found")</f>
        <v>4.1240100000000002</v>
      </c>
      <c r="G52" s="209" cm="1">
        <f t="array" ref="G52">_xlfn.XLOOKUP(1, (SensorLab[Sample_ID]=A52) * (SensorLab[Analyte]=$G$1), SensorLab[Final_Results], "Not Found")</f>
        <v>97.80395</v>
      </c>
      <c r="H52" s="209" cm="1">
        <f t="array" ref="H52">_xlfn.XLOOKUP(1, (SensorLab[Sample_ID]=A52) * (SensorLab[Analyte]=$H$1), SensorLab[Final_Results], "Not Found")</f>
        <v>0.92478000000000005</v>
      </c>
      <c r="I52" s="209" cm="1">
        <f t="array" ref="I52">_xlfn.XLOOKUP(1, (SensorLab[Sample_ID]=A52) * (SensorLab[Analyte]=$I$1), SensorLab[Final_Results], "Not Found")</f>
        <v>7.8708600000000004</v>
      </c>
      <c r="J52" s="209" cm="1">
        <f t="array" ref="J52">_xlfn.XLOOKUP(1, (SensorLab[Sample_ID]=A52) * (SensorLab[Analyte]=$J$1), SensorLab[Final_Results], "Not Found")</f>
        <v>19.257829999999998</v>
      </c>
      <c r="K52" s="209" cm="1">
        <f t="array" ref="K52">_xlfn.XLOOKUP(1, (SensorLab[Sample_ID]=A52) * (SensorLab[Analyte]=$K$1), SensorLab[Final_Results], "Not Found")</f>
        <v>15.79828</v>
      </c>
      <c r="L52" s="209" cm="1">
        <f t="array" ref="L52">_xlfn.XLOOKUP(1, (SensorLab[Sample_ID]=A52) * (SensorLab[Analyte]=$L$1), SensorLab[Final_Results], "Not Found")</f>
        <v>0.6</v>
      </c>
      <c r="M52" s="209" cm="1">
        <f t="array" ref="M52">_xlfn.XLOOKUP(1, (SensorLab[Sample_ID]=A52) * (SensorLab[Analyte]=$M$1), SensorLab[Final_Results], "Not Found")</f>
        <v>0</v>
      </c>
      <c r="N52" s="209" cm="1">
        <f t="array" ref="N52">_xlfn.XLOOKUP(1, (SensorLab[Sample_ID]=A52) * (SensorLab[Analyte]=$N$1), SensorLab[Final_Results], "Not Found")</f>
        <v>0</v>
      </c>
      <c r="O52" s="209" cm="1">
        <f t="array" ref="O52">_xlfn.XLOOKUP(1, (SensorLab[Sample_ID]=A52) * (SensorLab[Analyte]=$O$1), SensorLab[Final_Results], "Not Found")</f>
        <v>0</v>
      </c>
      <c r="P52" s="51" t="str" cm="1">
        <f t="array" ref="P52">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Q52" s="209" t="str" cm="1">
        <f t="array" ref="Q52">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56.71</v>
      </c>
      <c r="R52" s="4" t="str" cm="1">
        <f t="array" ref="R52">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00%</v>
      </c>
      <c r="S52" s="4" t="str">
        <f t="shared" si="13"/>
        <v>Not Suitable</v>
      </c>
    </row>
    <row r="53" spans="1:19" x14ac:dyDescent="0.15">
      <c r="A53" s="22" t="s">
        <v>266</v>
      </c>
      <c r="B53" s="213">
        <v>33.883945300000001</v>
      </c>
      <c r="C53" s="213">
        <v>72.3598499</v>
      </c>
      <c r="D53" s="216" t="str">
        <f t="shared" si="1"/>
        <v>3771-6722</v>
      </c>
      <c r="E53" s="209" cm="1">
        <f t="array" ref="E53">_xlfn.XLOOKUP(1, (SensorLab[Sample_ID]=A53) * (SensorLab[Analyte]=$E$1), SensorLab[Final_Results], "Not Found")</f>
        <v>2</v>
      </c>
      <c r="F53" s="209" cm="1">
        <f t="array" ref="F53">_xlfn.XLOOKUP(1, (SensorLab[Sample_ID]=A53) * (SensorLab[Analyte]=$F$1), SensorLab[Final_Results], "Not Found")</f>
        <v>4.7995599999999996</v>
      </c>
      <c r="G53" s="209" cm="1">
        <f t="array" ref="G53">_xlfn.XLOOKUP(1, (SensorLab[Sample_ID]=A53) * (SensorLab[Analyte]=$G$1), SensorLab[Final_Results], "Not Found")</f>
        <v>103.77359</v>
      </c>
      <c r="H53" s="209" cm="1">
        <f t="array" ref="H53">_xlfn.XLOOKUP(1, (SensorLab[Sample_ID]=A53) * (SensorLab[Analyte]=$H$1), SensorLab[Final_Results], "Not Found")</f>
        <v>0.97851999999999995</v>
      </c>
      <c r="I53" s="209" cm="1">
        <f t="array" ref="I53">_xlfn.XLOOKUP(1, (SensorLab[Sample_ID]=A53) * (SensorLab[Analyte]=$I$1), SensorLab[Final_Results], "Not Found")</f>
        <v>7.8434400000000002</v>
      </c>
      <c r="J53" s="209" cm="1">
        <f t="array" ref="J53">_xlfn.XLOOKUP(1, (SensorLab[Sample_ID]=A53) * (SensorLab[Analyte]=$J$1), SensorLab[Final_Results], "Not Found")</f>
        <v>15.48141</v>
      </c>
      <c r="K53" s="209" cm="1">
        <f t="array" ref="K53">_xlfn.XLOOKUP(1, (SensorLab[Sample_ID]=A53) * (SensorLab[Analyte]=$K$1), SensorLab[Final_Results], "Not Found")</f>
        <v>22.7</v>
      </c>
      <c r="L53" s="209" cm="1">
        <f t="array" ref="L53">_xlfn.XLOOKUP(1, (SensorLab[Sample_ID]=A53) * (SensorLab[Analyte]=$L$1), SensorLab[Final_Results], "Not Found")</f>
        <v>0.59977999999999998</v>
      </c>
      <c r="M53" s="209" cm="1">
        <f t="array" ref="M53">_xlfn.XLOOKUP(1, (SensorLab[Sample_ID]=A53) * (SensorLab[Analyte]=$M$1), SensorLab[Final_Results], "Not Found")</f>
        <v>15</v>
      </c>
      <c r="N53" s="209" cm="1">
        <f t="array" ref="N53">_xlfn.XLOOKUP(1, (SensorLab[Sample_ID]=A53) * (SensorLab[Analyte]=$N$1), SensorLab[Final_Results], "Not Found")</f>
        <v>72.5</v>
      </c>
      <c r="O53" s="209" cm="1">
        <f t="array" ref="O53">_xlfn.XLOOKUP(1, (SensorLab[Sample_ID]=A53) * (SensorLab[Analyte]=$O$1), SensorLab[Final_Results], "Not Found")</f>
        <v>12.5</v>
      </c>
      <c r="P53" s="51" t="str" cm="1">
        <f t="array" ref="P53">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Silt Loam</v>
      </c>
      <c r="Q53" s="209" t="str" cm="1">
        <f t="array" ref="Q53">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10.64</v>
      </c>
      <c r="R53" s="4" t="str" cm="1">
        <f t="array" ref="R53">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68%</v>
      </c>
      <c r="S53" s="4" t="str">
        <f t="shared" si="13"/>
        <v>Moderate</v>
      </c>
    </row>
    <row r="54" spans="1:19" x14ac:dyDescent="0.15">
      <c r="A54" s="22" t="s">
        <v>267</v>
      </c>
      <c r="B54" s="213">
        <v>33.882938299999999</v>
      </c>
      <c r="C54" s="213">
        <v>72.363568299999997</v>
      </c>
      <c r="D54" s="216" t="str">
        <f t="shared" si="1"/>
        <v>3771-6722</v>
      </c>
      <c r="E54" s="209" cm="1">
        <f t="array" ref="E54">_xlfn.XLOOKUP(1, (SensorLab[Sample_ID]=A54) * (SensorLab[Analyte]=$E$1), SensorLab[Final_Results], "Not Found")</f>
        <v>2</v>
      </c>
      <c r="F54" s="209" cm="1">
        <f t="array" ref="F54">_xlfn.XLOOKUP(1, (SensorLab[Sample_ID]=A54) * (SensorLab[Analyte]=$F$1), SensorLab[Final_Results], "Not Found")</f>
        <v>4.1240100000000002</v>
      </c>
      <c r="G54" s="209" cm="1">
        <f t="array" ref="G54">_xlfn.XLOOKUP(1, (SensorLab[Sample_ID]=A54) * (SensorLab[Analyte]=$G$1), SensorLab[Final_Results], "Not Found")</f>
        <v>97.80395</v>
      </c>
      <c r="H54" s="209" cm="1">
        <f t="array" ref="H54">_xlfn.XLOOKUP(1, (SensorLab[Sample_ID]=A54) * (SensorLab[Analyte]=$H$1), SensorLab[Final_Results], "Not Found")</f>
        <v>0.89790999999999999</v>
      </c>
      <c r="I54" s="209" cm="1">
        <f t="array" ref="I54">_xlfn.XLOOKUP(1, (SensorLab[Sample_ID]=A54) * (SensorLab[Analyte]=$I$1), SensorLab[Final_Results], "Not Found")</f>
        <v>7.83887</v>
      </c>
      <c r="J54" s="209" cm="1">
        <f t="array" ref="J54">_xlfn.XLOOKUP(1, (SensorLab[Sample_ID]=A54) * (SensorLab[Analyte]=$J$1), SensorLab[Final_Results], "Not Found")</f>
        <v>18.135110000000001</v>
      </c>
      <c r="K54" s="209" cm="1">
        <f t="array" ref="K54">_xlfn.XLOOKUP(1, (SensorLab[Sample_ID]=A54) * (SensorLab[Analyte]=$K$1), SensorLab[Final_Results], "Not Found")</f>
        <v>17.298649999999999</v>
      </c>
      <c r="L54" s="209" cm="1">
        <f t="array" ref="L54">_xlfn.XLOOKUP(1, (SensorLab[Sample_ID]=A54) * (SensorLab[Analyte]=$L$1), SensorLab[Final_Results], "Not Found")</f>
        <v>0.6</v>
      </c>
      <c r="M54" s="209" cm="1">
        <f t="array" ref="M54">_xlfn.XLOOKUP(1, (SensorLab[Sample_ID]=A54) * (SensorLab[Analyte]=$M$1), SensorLab[Final_Results], "Not Found")</f>
        <v>0</v>
      </c>
      <c r="N54" s="209" cm="1">
        <f t="array" ref="N54">_xlfn.XLOOKUP(1, (SensorLab[Sample_ID]=A54) * (SensorLab[Analyte]=$N$1), SensorLab[Final_Results], "Not Found")</f>
        <v>0</v>
      </c>
      <c r="O54" s="209" cm="1">
        <f t="array" ref="O54">_xlfn.XLOOKUP(1, (SensorLab[Sample_ID]=A54) * (SensorLab[Analyte]=$O$1), SensorLab[Final_Results], "Not Found")</f>
        <v>0</v>
      </c>
      <c r="P54" s="51" t="str" cm="1">
        <f t="array" ref="P54">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Q54" s="209" t="str" cm="1">
        <f t="array" ref="Q54">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56.71</v>
      </c>
      <c r="R54" s="4" t="str" cm="1">
        <f t="array" ref="R54">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00%</v>
      </c>
      <c r="S54" s="4" t="str">
        <f t="shared" si="13"/>
        <v>Not Suitable</v>
      </c>
    </row>
    <row r="55" spans="1:19" x14ac:dyDescent="0.15">
      <c r="A55" s="22" t="s">
        <v>268</v>
      </c>
      <c r="B55" s="213">
        <v>33.883569999999999</v>
      </c>
      <c r="C55" s="213">
        <v>72.363838299999998</v>
      </c>
      <c r="D55" s="216" t="str">
        <f t="shared" si="1"/>
        <v>3771-6722</v>
      </c>
      <c r="E55" s="209" cm="1">
        <f t="array" ref="E55">_xlfn.XLOOKUP(1, (SensorLab[Sample_ID]=A55) * (SensorLab[Analyte]=$E$1), SensorLab[Final_Results], "Not Found")</f>
        <v>2</v>
      </c>
      <c r="F55" s="209" cm="1">
        <f t="array" ref="F55">_xlfn.XLOOKUP(1, (SensorLab[Sample_ID]=A55) * (SensorLab[Analyte]=$F$1), SensorLab[Final_Results], "Not Found")</f>
        <v>5.2999599999999996</v>
      </c>
      <c r="G55" s="209" cm="1">
        <f t="array" ref="G55">_xlfn.XLOOKUP(1, (SensorLab[Sample_ID]=A55) * (SensorLab[Analyte]=$G$1), SensorLab[Final_Results], "Not Found")</f>
        <v>110.37161</v>
      </c>
      <c r="H55" s="209" cm="1">
        <f t="array" ref="H55">_xlfn.XLOOKUP(1, (SensorLab[Sample_ID]=A55) * (SensorLab[Analyte]=$H$1), SensorLab[Final_Results], "Not Found")</f>
        <v>1.0066999999999999</v>
      </c>
      <c r="I55" s="209" cm="1">
        <f t="array" ref="I55">_xlfn.XLOOKUP(1, (SensorLab[Sample_ID]=A55) * (SensorLab[Analyte]=$I$1), SensorLab[Final_Results], "Not Found")</f>
        <v>7.8297299999999996</v>
      </c>
      <c r="J55" s="209" cm="1">
        <f t="array" ref="J55">_xlfn.XLOOKUP(1, (SensorLab[Sample_ID]=A55) * (SensorLab[Analyte]=$J$1), SensorLab[Final_Results], "Not Found")</f>
        <v>18.747499999999999</v>
      </c>
      <c r="K55" s="209" cm="1">
        <f t="array" ref="K55">_xlfn.XLOOKUP(1, (SensorLab[Sample_ID]=A55) * (SensorLab[Analyte]=$K$1), SensorLab[Final_Results], "Not Found")</f>
        <v>26.400929999999999</v>
      </c>
      <c r="L55" s="209" cm="1">
        <f t="array" ref="L55">_xlfn.XLOOKUP(1, (SensorLab[Sample_ID]=A55) * (SensorLab[Analyte]=$L$1), SensorLab[Final_Results], "Not Found")</f>
        <v>0.59977999999999998</v>
      </c>
      <c r="M55" s="209" cm="1">
        <f t="array" ref="M55">_xlfn.XLOOKUP(1, (SensorLab[Sample_ID]=A55) * (SensorLab[Analyte]=$M$1), SensorLab[Final_Results], "Not Found")</f>
        <v>0</v>
      </c>
      <c r="N55" s="209" cm="1">
        <f t="array" ref="N55">_xlfn.XLOOKUP(1, (SensorLab[Sample_ID]=A55) * (SensorLab[Analyte]=$N$1), SensorLab[Final_Results], "Not Found")</f>
        <v>0</v>
      </c>
      <c r="O55" s="209" cm="1">
        <f t="array" ref="O55">_xlfn.XLOOKUP(1, (SensorLab[Sample_ID]=A55) * (SensorLab[Analyte]=$O$1), SensorLab[Final_Results], "Not Found")</f>
        <v>0</v>
      </c>
      <c r="P55" s="51" t="str" cm="1">
        <f t="array" ref="P55">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Q55" s="209" t="str" cm="1">
        <f t="array" ref="Q55">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56.71</v>
      </c>
      <c r="R55" s="4" t="str" cm="1">
        <f t="array" ref="R55">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00%</v>
      </c>
      <c r="S55" s="4" t="str">
        <f t="shared" si="13"/>
        <v>Not Suitable</v>
      </c>
    </row>
    <row r="56" spans="1:19" x14ac:dyDescent="0.15">
      <c r="A56" s="22" t="s">
        <v>269</v>
      </c>
      <c r="B56" s="213">
        <v>33.985798299999999</v>
      </c>
      <c r="C56" s="213">
        <v>72.171144999999996</v>
      </c>
      <c r="D56" s="216" t="str">
        <f t="shared" si="1"/>
        <v>3783-6704</v>
      </c>
      <c r="E56" s="209" cm="1">
        <f t="array" ref="E56">_xlfn.XLOOKUP(1, (SensorLab[Sample_ID]=A56) * (SensorLab[Analyte]=$E$1), SensorLab[Final_Results], "Not Found")</f>
        <v>2</v>
      </c>
      <c r="F56" s="209" cm="1">
        <f t="array" ref="F56">_xlfn.XLOOKUP(1, (SensorLab[Sample_ID]=A56) * (SensorLab[Analyte]=$F$1), SensorLab[Final_Results], "Not Found")</f>
        <v>4.1240100000000002</v>
      </c>
      <c r="G56" s="209" cm="1">
        <f t="array" ref="G56">_xlfn.XLOOKUP(1, (SensorLab[Sample_ID]=A56) * (SensorLab[Analyte]=$G$1), SensorLab[Final_Results], "Not Found")</f>
        <v>97.80395</v>
      </c>
      <c r="H56" s="209" cm="1">
        <f t="array" ref="H56">_xlfn.XLOOKUP(1, (SensorLab[Sample_ID]=A56) * (SensorLab[Analyte]=$H$1), SensorLab[Final_Results], "Not Found")</f>
        <v>0.90839999999999999</v>
      </c>
      <c r="I56" s="209" cm="1">
        <f t="array" ref="I56">_xlfn.XLOOKUP(1, (SensorLab[Sample_ID]=A56) * (SensorLab[Analyte]=$I$1), SensorLab[Final_Results], "Not Found")</f>
        <v>7.8571499999999999</v>
      </c>
      <c r="J56" s="209" cm="1">
        <f t="array" ref="J56">_xlfn.XLOOKUP(1, (SensorLab[Sample_ID]=A56) * (SensorLab[Analyte]=$J$1), SensorLab[Final_Results], "Not Found")</f>
        <v>16.910319999999999</v>
      </c>
      <c r="K56" s="209" cm="1">
        <f t="array" ref="K56">_xlfn.XLOOKUP(1, (SensorLab[Sample_ID]=A56) * (SensorLab[Analyte]=$K$1), SensorLab[Final_Results], "Not Found")</f>
        <v>17.898800000000001</v>
      </c>
      <c r="L56" s="209" cm="1">
        <f t="array" ref="L56">_xlfn.XLOOKUP(1, (SensorLab[Sample_ID]=A56) * (SensorLab[Analyte]=$L$1), SensorLab[Final_Results], "Not Found")</f>
        <v>0.6</v>
      </c>
      <c r="M56" s="209" cm="1">
        <f t="array" ref="M56">_xlfn.XLOOKUP(1, (SensorLab[Sample_ID]=A56) * (SensorLab[Analyte]=$M$1), SensorLab[Final_Results], "Not Found")</f>
        <v>0</v>
      </c>
      <c r="N56" s="209" cm="1">
        <f t="array" ref="N56">_xlfn.XLOOKUP(1, (SensorLab[Sample_ID]=A56) * (SensorLab[Analyte]=$N$1), SensorLab[Final_Results], "Not Found")</f>
        <v>0</v>
      </c>
      <c r="O56" s="209" cm="1">
        <f t="array" ref="O56">_xlfn.XLOOKUP(1, (SensorLab[Sample_ID]=A56) * (SensorLab[Analyte]=$O$1), SensorLab[Final_Results], "Not Found")</f>
        <v>0</v>
      </c>
      <c r="P56" s="51" t="str" cm="1">
        <f t="array" ref="P56">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Q56" s="209" t="str" cm="1">
        <f t="array" ref="Q56">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56.71</v>
      </c>
      <c r="R56" s="4" t="str" cm="1">
        <f t="array" ref="R56">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00%</v>
      </c>
      <c r="S56" s="4" t="str">
        <f t="shared" si="13"/>
        <v>Not Suitable</v>
      </c>
    </row>
    <row r="57" spans="1:19" x14ac:dyDescent="0.15">
      <c r="A57" s="22" t="s">
        <v>270</v>
      </c>
      <c r="B57" s="213">
        <v>33.987035800000001</v>
      </c>
      <c r="C57" s="213">
        <v>72.169928799999994</v>
      </c>
      <c r="D57" s="216" t="str">
        <f t="shared" si="1"/>
        <v>3783-6704</v>
      </c>
      <c r="E57" s="209" cm="1">
        <f t="array" ref="E57">_xlfn.XLOOKUP(1, (SensorLab[Sample_ID]=A57) * (SensorLab[Analyte]=$E$1), SensorLab[Final_Results], "Not Found")</f>
        <v>2.1403699999999999</v>
      </c>
      <c r="F57" s="209" cm="1">
        <f t="array" ref="F57">_xlfn.XLOOKUP(1, (SensorLab[Sample_ID]=A57) * (SensorLab[Analyte]=$F$1), SensorLab[Final_Results], "Not Found")</f>
        <v>5.32498</v>
      </c>
      <c r="G57" s="209" cm="1">
        <f t="array" ref="G57">_xlfn.XLOOKUP(1, (SensorLab[Sample_ID]=A57) * (SensorLab[Analyte]=$G$1), SensorLab[Final_Results], "Not Found")</f>
        <v>110.68581</v>
      </c>
      <c r="H57" s="209" cm="1">
        <f t="array" ref="H57">_xlfn.XLOOKUP(1, (SensorLab[Sample_ID]=A57) * (SensorLab[Analyte]=$H$1), SensorLab[Final_Results], "Not Found")</f>
        <v>1.0080100000000001</v>
      </c>
      <c r="I57" s="209" cm="1">
        <f t="array" ref="I57">_xlfn.XLOOKUP(1, (SensorLab[Sample_ID]=A57) * (SensorLab[Analyte]=$I$1), SensorLab[Final_Results], "Not Found")</f>
        <v>7.8937099999999996</v>
      </c>
      <c r="J57" s="209" cm="1">
        <f t="array" ref="J57">_xlfn.XLOOKUP(1, (SensorLab[Sample_ID]=A57) * (SensorLab[Analyte]=$J$1), SensorLab[Final_Results], "Not Found")</f>
        <v>14.971080000000001</v>
      </c>
      <c r="K57" s="209" cm="1">
        <f t="array" ref="K57">_xlfn.XLOOKUP(1, (SensorLab[Sample_ID]=A57) * (SensorLab[Analyte]=$K$1), SensorLab[Final_Results], "Not Found")</f>
        <v>33.202629999999999</v>
      </c>
      <c r="L57" s="209" cm="1">
        <f t="array" ref="L57">_xlfn.XLOOKUP(1, (SensorLab[Sample_ID]=A57) * (SensorLab[Analyte]=$L$1), SensorLab[Final_Results], "Not Found")</f>
        <v>0.60658999999999996</v>
      </c>
      <c r="M57" s="209" cm="1">
        <f t="array" ref="M57">_xlfn.XLOOKUP(1, (SensorLab[Sample_ID]=A57) * (SensorLab[Analyte]=$M$1), SensorLab[Final_Results], "Not Found")</f>
        <v>30</v>
      </c>
      <c r="N57" s="209" cm="1">
        <f t="array" ref="N57">_xlfn.XLOOKUP(1, (SensorLab[Sample_ID]=A57) * (SensorLab[Analyte]=$N$1), SensorLab[Final_Results], "Not Found")</f>
        <v>50</v>
      </c>
      <c r="O57" s="209" cm="1">
        <f t="array" ref="O57">_xlfn.XLOOKUP(1, (SensorLab[Sample_ID]=A57) * (SensorLab[Analyte]=$O$1), SensorLab[Final_Results], "Not Found")</f>
        <v>20</v>
      </c>
      <c r="P57" s="51" t="str" cm="1">
        <f t="array" ref="P57">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Q57" s="209" t="str" cm="1">
        <f t="array" ref="Q57">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13.65</v>
      </c>
      <c r="R57" s="4" t="str" cm="1">
        <f t="array" ref="R57">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00%</v>
      </c>
      <c r="S57" s="4" t="str">
        <f t="shared" si="13"/>
        <v>Not Suitable</v>
      </c>
    </row>
    <row r="58" spans="1:19" x14ac:dyDescent="0.15">
      <c r="A58" s="22" t="s">
        <v>271</v>
      </c>
      <c r="B58" s="213">
        <v>33.985404899999999</v>
      </c>
      <c r="C58" s="213">
        <v>72.170273199999997</v>
      </c>
      <c r="D58" s="216" t="str">
        <f t="shared" si="1"/>
        <v>3783-6704</v>
      </c>
      <c r="E58" s="209" cm="1">
        <f t="array" ref="E58">_xlfn.XLOOKUP(1, (SensorLab[Sample_ID]=A58) * (SensorLab[Analyte]=$E$1), SensorLab[Final_Results], "Not Found")</f>
        <v>2</v>
      </c>
      <c r="F58" s="209" cm="1">
        <f t="array" ref="F58">_xlfn.XLOOKUP(1, (SensorLab[Sample_ID]=A58) * (SensorLab[Analyte]=$F$1), SensorLab[Final_Results], "Not Found")</f>
        <v>4.1240100000000002</v>
      </c>
      <c r="G58" s="209" cm="1">
        <f t="array" ref="G58">_xlfn.XLOOKUP(1, (SensorLab[Sample_ID]=A58) * (SensorLab[Analyte]=$G$1), SensorLab[Final_Results], "Not Found")</f>
        <v>97.80395</v>
      </c>
      <c r="H58" s="209" cm="1">
        <f t="array" ref="H58">_xlfn.XLOOKUP(1, (SensorLab[Sample_ID]=A58) * (SensorLab[Analyte]=$H$1), SensorLab[Final_Results], "Not Found")</f>
        <v>0.88349999999999995</v>
      </c>
      <c r="I58" s="209" cm="1">
        <f t="array" ref="I58">_xlfn.XLOOKUP(1, (SensorLab[Sample_ID]=A58) * (SensorLab[Analyte]=$I$1), SensorLab[Final_Results], "Not Found")</f>
        <v>7.8571499999999999</v>
      </c>
      <c r="J58" s="209" cm="1">
        <f t="array" ref="J58">_xlfn.XLOOKUP(1, (SensorLab[Sample_ID]=A58) * (SensorLab[Analyte]=$J$1), SensorLab[Final_Results], "Not Found")</f>
        <v>16.399999999999999</v>
      </c>
      <c r="K58" s="209" cm="1">
        <f t="array" ref="K58">_xlfn.XLOOKUP(1, (SensorLab[Sample_ID]=A58) * (SensorLab[Analyte]=$K$1), SensorLab[Final_Results], "Not Found")</f>
        <v>14.89805</v>
      </c>
      <c r="L58" s="209" cm="1">
        <f t="array" ref="L58">_xlfn.XLOOKUP(1, (SensorLab[Sample_ID]=A58) * (SensorLab[Analyte]=$L$1), SensorLab[Final_Results], "Not Found")</f>
        <v>0.6</v>
      </c>
      <c r="M58" s="209" cm="1">
        <f t="array" ref="M58">_xlfn.XLOOKUP(1, (SensorLab[Sample_ID]=A58) * (SensorLab[Analyte]=$M$1), SensorLab[Final_Results], "Not Found")</f>
        <v>0</v>
      </c>
      <c r="N58" s="209" cm="1">
        <f t="array" ref="N58">_xlfn.XLOOKUP(1, (SensorLab[Sample_ID]=A58) * (SensorLab[Analyte]=$N$1), SensorLab[Final_Results], "Not Found")</f>
        <v>0</v>
      </c>
      <c r="O58" s="209" cm="1">
        <f t="array" ref="O58">_xlfn.XLOOKUP(1, (SensorLab[Sample_ID]=A58) * (SensorLab[Analyte]=$O$1), SensorLab[Final_Results], "Not Found")</f>
        <v>0</v>
      </c>
      <c r="P58" s="51" t="str" cm="1">
        <f t="array" ref="P58">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Q58" s="209" t="str" cm="1">
        <f t="array" ref="Q58">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56.71</v>
      </c>
      <c r="R58" s="4" t="str" cm="1">
        <f t="array" ref="R58">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00%</v>
      </c>
      <c r="S58" s="4" t="str">
        <f t="shared" si="13"/>
        <v>Not Suitable</v>
      </c>
    </row>
    <row r="59" spans="1:19" x14ac:dyDescent="0.15">
      <c r="A59" s="22" t="s">
        <v>272</v>
      </c>
      <c r="B59" s="213">
        <v>33.985408300000003</v>
      </c>
      <c r="C59" s="213">
        <v>72.170273300000005</v>
      </c>
      <c r="D59" s="216" t="str">
        <f t="shared" si="1"/>
        <v>3783-6704</v>
      </c>
      <c r="E59" s="209" cm="1">
        <f t="array" ref="E59">_xlfn.XLOOKUP(1, (SensorLab[Sample_ID]=A59) * (SensorLab[Analyte]=$E$1), SensorLab[Final_Results], "Not Found")</f>
        <v>2</v>
      </c>
      <c r="F59" s="209" cm="1">
        <f t="array" ref="F59">_xlfn.XLOOKUP(1, (SensorLab[Sample_ID]=A59) * (SensorLab[Analyte]=$F$1), SensorLab[Final_Results], "Not Found")</f>
        <v>4.1240100000000002</v>
      </c>
      <c r="G59" s="209" cm="1">
        <f t="array" ref="G59">_xlfn.XLOOKUP(1, (SensorLab[Sample_ID]=A59) * (SensorLab[Analyte]=$G$1), SensorLab[Final_Results], "Not Found")</f>
        <v>97.80395</v>
      </c>
      <c r="H59" s="209" cm="1">
        <f t="array" ref="H59">_xlfn.XLOOKUP(1, (SensorLab[Sample_ID]=A59) * (SensorLab[Analyte]=$H$1), SensorLab[Final_Results], "Not Found")</f>
        <v>0.92151000000000005</v>
      </c>
      <c r="I59" s="209" cm="1">
        <f t="array" ref="I59">_xlfn.XLOOKUP(1, (SensorLab[Sample_ID]=A59) * (SensorLab[Analyte]=$I$1), SensorLab[Final_Results], "Not Found")</f>
        <v>7.83887</v>
      </c>
      <c r="J59" s="209" cm="1">
        <f t="array" ref="J59">_xlfn.XLOOKUP(1, (SensorLab[Sample_ID]=A59) * (SensorLab[Analyte]=$J$1), SensorLab[Final_Results], "Not Found")</f>
        <v>13.950430000000001</v>
      </c>
      <c r="K59" s="209" cm="1">
        <f t="array" ref="K59">_xlfn.XLOOKUP(1, (SensorLab[Sample_ID]=A59) * (SensorLab[Analyte]=$K$1), SensorLab[Final_Results], "Not Found")</f>
        <v>19.99933</v>
      </c>
      <c r="L59" s="209" cm="1">
        <f t="array" ref="L59">_xlfn.XLOOKUP(1, (SensorLab[Sample_ID]=A59) * (SensorLab[Analyte]=$L$1), SensorLab[Final_Results], "Not Found")</f>
        <v>0.6</v>
      </c>
      <c r="M59" s="209" cm="1">
        <f t="array" ref="M59">_xlfn.XLOOKUP(1, (SensorLab[Sample_ID]=A59) * (SensorLab[Analyte]=$M$1), SensorLab[Final_Results], "Not Found")</f>
        <v>0</v>
      </c>
      <c r="N59" s="209" cm="1">
        <f t="array" ref="N59">_xlfn.XLOOKUP(1, (SensorLab[Sample_ID]=A59) * (SensorLab[Analyte]=$N$1), SensorLab[Final_Results], "Not Found")</f>
        <v>0</v>
      </c>
      <c r="O59" s="209" cm="1">
        <f t="array" ref="O59">_xlfn.XLOOKUP(1, (SensorLab[Sample_ID]=A59) * (SensorLab[Analyte]=$O$1), SensorLab[Final_Results], "Not Found")</f>
        <v>0</v>
      </c>
      <c r="P59" s="51" t="str" cm="1">
        <f t="array" ref="P59">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Q59" s="209" t="str" cm="1">
        <f t="array" ref="Q59">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56.71</v>
      </c>
      <c r="R59" s="4" t="str" cm="1">
        <f t="array" ref="R59">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00%</v>
      </c>
      <c r="S59" s="4" t="str">
        <f t="shared" si="13"/>
        <v>Not Suitable</v>
      </c>
    </row>
    <row r="60" spans="1:19" x14ac:dyDescent="0.15">
      <c r="A60" s="22" t="s">
        <v>273</v>
      </c>
      <c r="B60" s="213">
        <v>33.986415200000003</v>
      </c>
      <c r="C60" s="213">
        <v>72.168809400000001</v>
      </c>
      <c r="D60" s="216" t="str">
        <f t="shared" si="1"/>
        <v>3783-6704</v>
      </c>
      <c r="E60" s="209" cm="1">
        <f t="array" ref="E60">_xlfn.XLOOKUP(1, (SensorLab[Sample_ID]=A60) * (SensorLab[Analyte]=$E$1), SensorLab[Final_Results], "Not Found")</f>
        <v>2</v>
      </c>
      <c r="F60" s="209" cm="1">
        <f t="array" ref="F60">_xlfn.XLOOKUP(1, (SensorLab[Sample_ID]=A60) * (SensorLab[Analyte]=$F$1), SensorLab[Final_Results], "Not Found")</f>
        <v>4.1240100000000002</v>
      </c>
      <c r="G60" s="209" cm="1">
        <f t="array" ref="G60">_xlfn.XLOOKUP(1, (SensorLab[Sample_ID]=A60) * (SensorLab[Analyte]=$G$1), SensorLab[Final_Results], "Not Found")</f>
        <v>97.80395</v>
      </c>
      <c r="H60" s="209" cm="1">
        <f t="array" ref="H60">_xlfn.XLOOKUP(1, (SensorLab[Sample_ID]=A60) * (SensorLab[Analyte]=$H$1), SensorLab[Final_Results], "Not Found")</f>
        <v>0.90381</v>
      </c>
      <c r="I60" s="209" cm="1">
        <f t="array" ref="I60">_xlfn.XLOOKUP(1, (SensorLab[Sample_ID]=A60) * (SensorLab[Analyte]=$I$1), SensorLab[Final_Results], "Not Found")</f>
        <v>7.83887</v>
      </c>
      <c r="J60" s="209" cm="1">
        <f t="array" ref="J60">_xlfn.XLOOKUP(1, (SensorLab[Sample_ID]=A60) * (SensorLab[Analyte]=$J$1), SensorLab[Final_Results], "Not Found")</f>
        <v>19.972290000000001</v>
      </c>
      <c r="K60" s="209" cm="1">
        <f t="array" ref="K60">_xlfn.XLOOKUP(1, (SensorLab[Sample_ID]=A60) * (SensorLab[Analyte]=$K$1), SensorLab[Final_Results], "Not Found")</f>
        <v>14.497949999999999</v>
      </c>
      <c r="L60" s="209" cm="1">
        <f t="array" ref="L60">_xlfn.XLOOKUP(1, (SensorLab[Sample_ID]=A60) * (SensorLab[Analyte]=$L$1), SensorLab[Final_Results], "Not Found")</f>
        <v>0.6</v>
      </c>
      <c r="M60" s="209" cm="1">
        <f t="array" ref="M60">_xlfn.XLOOKUP(1, (SensorLab[Sample_ID]=A60) * (SensorLab[Analyte]=$M$1), SensorLab[Final_Results], "Not Found")</f>
        <v>0</v>
      </c>
      <c r="N60" s="209" cm="1">
        <f t="array" ref="N60">_xlfn.XLOOKUP(1, (SensorLab[Sample_ID]=A60) * (SensorLab[Analyte]=$N$1), SensorLab[Final_Results], "Not Found")</f>
        <v>0</v>
      </c>
      <c r="O60" s="209" cm="1">
        <f t="array" ref="O60">_xlfn.XLOOKUP(1, (SensorLab[Sample_ID]=A60) * (SensorLab[Analyte]=$O$1), SensorLab[Final_Results], "Not Found")</f>
        <v>0</v>
      </c>
      <c r="P60" s="51" t="str" cm="1">
        <f t="array" ref="P60">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Q60" s="209" t="str" cm="1">
        <f t="array" ref="Q60">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56.71</v>
      </c>
      <c r="R60" s="4" t="str" cm="1">
        <f t="array" ref="R60">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00%</v>
      </c>
      <c r="S60" s="4" t="str">
        <f t="shared" si="13"/>
        <v>Not Suitable</v>
      </c>
    </row>
    <row r="61" spans="1:19" x14ac:dyDescent="0.15">
      <c r="A61" s="22" t="s">
        <v>274</v>
      </c>
      <c r="B61" s="213">
        <v>34.020268299999998</v>
      </c>
      <c r="C61" s="213">
        <v>72.042959999999994</v>
      </c>
      <c r="D61" s="216" t="str">
        <f t="shared" si="1"/>
        <v>3787-6693</v>
      </c>
      <c r="E61" s="209" cm="1">
        <f t="array" ref="E61">_xlfn.XLOOKUP(1, (SensorLab[Sample_ID]=A61) * (SensorLab[Analyte]=$E$1), SensorLab[Final_Results], "Not Found")</f>
        <v>2</v>
      </c>
      <c r="F61" s="209" cm="1">
        <f t="array" ref="F61">_xlfn.XLOOKUP(1, (SensorLab[Sample_ID]=A61) * (SensorLab[Analyte]=$F$1), SensorLab[Final_Results], "Not Found")</f>
        <v>4.1240100000000002</v>
      </c>
      <c r="G61" s="209" cm="1">
        <f t="array" ref="G61">_xlfn.XLOOKUP(1, (SensorLab[Sample_ID]=A61) * (SensorLab[Analyte]=$G$1), SensorLab[Final_Results], "Not Found")</f>
        <v>97.80395</v>
      </c>
      <c r="H61" s="209" cm="1">
        <f t="array" ref="H61">_xlfn.XLOOKUP(1, (SensorLab[Sample_ID]=A61) * (SensorLab[Analyte]=$H$1), SensorLab[Final_Results], "Not Found")</f>
        <v>0.93461000000000005</v>
      </c>
      <c r="I61" s="209" cm="1">
        <f t="array" ref="I61">_xlfn.XLOOKUP(1, (SensorLab[Sample_ID]=A61) * (SensorLab[Analyte]=$I$1), SensorLab[Final_Results], "Not Found")</f>
        <v>7.8525799999999997</v>
      </c>
      <c r="J61" s="209" cm="1">
        <f t="array" ref="J61">_xlfn.XLOOKUP(1, (SensorLab[Sample_ID]=A61) * (SensorLab[Analyte]=$J$1), SensorLab[Final_Results], "Not Found")</f>
        <v>16.399999999999999</v>
      </c>
      <c r="K61" s="209" cm="1">
        <f t="array" ref="K61">_xlfn.XLOOKUP(1, (SensorLab[Sample_ID]=A61) * (SensorLab[Analyte]=$K$1), SensorLab[Final_Results], "Not Found")</f>
        <v>22.09985</v>
      </c>
      <c r="L61" s="209" cm="1">
        <f t="array" ref="L61">_xlfn.XLOOKUP(1, (SensorLab[Sample_ID]=A61) * (SensorLab[Analyte]=$L$1), SensorLab[Final_Results], "Not Found")</f>
        <v>0.6</v>
      </c>
      <c r="M61" s="209" cm="1">
        <f t="array" ref="M61">_xlfn.XLOOKUP(1, (SensorLab[Sample_ID]=A61) * (SensorLab[Analyte]=$M$1), SensorLab[Final_Results], "Not Found")</f>
        <v>0</v>
      </c>
      <c r="N61" s="209" cm="1">
        <f t="array" ref="N61">_xlfn.XLOOKUP(1, (SensorLab[Sample_ID]=A61) * (SensorLab[Analyte]=$N$1), SensorLab[Final_Results], "Not Found")</f>
        <v>0</v>
      </c>
      <c r="O61" s="209" cm="1">
        <f t="array" ref="O61">_xlfn.XLOOKUP(1, (SensorLab[Sample_ID]=A61) * (SensorLab[Analyte]=$O$1), SensorLab[Final_Results], "Not Found")</f>
        <v>0</v>
      </c>
      <c r="P61" s="51" t="str" cm="1">
        <f t="array" ref="P61">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Q61" s="209" t="str" cm="1">
        <f t="array" ref="Q61">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56.71</v>
      </c>
      <c r="R61" s="4" t="str" cm="1">
        <f t="array" ref="R61">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00%</v>
      </c>
      <c r="S61" s="4" t="str">
        <f t="shared" si="13"/>
        <v>Not Suitable</v>
      </c>
    </row>
    <row r="62" spans="1:19" x14ac:dyDescent="0.15">
      <c r="A62" s="22" t="s">
        <v>275</v>
      </c>
      <c r="B62" s="213">
        <v>34.020164600000001</v>
      </c>
      <c r="C62" s="213">
        <v>72.042939399999995</v>
      </c>
      <c r="D62" s="216" t="str">
        <f t="shared" si="1"/>
        <v>3787-6693</v>
      </c>
      <c r="E62" s="209" cm="1">
        <f t="array" ref="E62">_xlfn.XLOOKUP(1, (SensorLab[Sample_ID]=A62) * (SensorLab[Analyte]=$E$1), SensorLab[Final_Results], "Not Found")</f>
        <v>4.3864099999999997</v>
      </c>
      <c r="F62" s="209" cm="1">
        <f t="array" ref="F62">_xlfn.XLOOKUP(1, (SensorLab[Sample_ID]=A62) * (SensorLab[Analyte]=$F$1), SensorLab[Final_Results], "Not Found")</f>
        <v>6.30077</v>
      </c>
      <c r="G62" s="209" cm="1">
        <f t="array" ref="G62">_xlfn.XLOOKUP(1, (SensorLab[Sample_ID]=A62) * (SensorLab[Analyte]=$G$1), SensorLab[Final_Results], "Not Found")</f>
        <v>122.93928</v>
      </c>
      <c r="H62" s="209" cm="1">
        <f t="array" ref="H62">_xlfn.XLOOKUP(1, (SensorLab[Sample_ID]=A62) * (SensorLab[Analyte]=$H$1), SensorLab[Final_Results], "Not Found")</f>
        <v>1.06044</v>
      </c>
      <c r="I62" s="209" cm="1">
        <f t="array" ref="I62">_xlfn.XLOOKUP(1, (SensorLab[Sample_ID]=A62) * (SensorLab[Analyte]=$I$1), SensorLab[Final_Results], "Not Found")</f>
        <v>7.88</v>
      </c>
      <c r="J62" s="209" cm="1">
        <f t="array" ref="J62">_xlfn.XLOOKUP(1, (SensorLab[Sample_ID]=A62) * (SensorLab[Analyte]=$J$1), SensorLab[Final_Results], "Not Found")</f>
        <v>16.706189999999999</v>
      </c>
      <c r="K62" s="209" cm="1">
        <f t="array" ref="K62">_xlfn.XLOOKUP(1, (SensorLab[Sample_ID]=A62) * (SensorLab[Analyte]=$K$1), SensorLab[Final_Results], "Not Found")</f>
        <v>29.301659999999998</v>
      </c>
      <c r="L62" s="209" cm="1">
        <f t="array" ref="L62">_xlfn.XLOOKUP(1, (SensorLab[Sample_ID]=A62) * (SensorLab[Analyte]=$L$1), SensorLab[Final_Results], "Not Found")</f>
        <v>0.71545999999999998</v>
      </c>
      <c r="M62" s="209" cm="1">
        <f t="array" ref="M62">_xlfn.XLOOKUP(1, (SensorLab[Sample_ID]=A62) * (SensorLab[Analyte]=$M$1), SensorLab[Final_Results], "Not Found")</f>
        <v>50</v>
      </c>
      <c r="N62" s="209" cm="1">
        <f t="array" ref="N62">_xlfn.XLOOKUP(1, (SensorLab[Sample_ID]=A62) * (SensorLab[Analyte]=$N$1), SensorLab[Final_Results], "Not Found")</f>
        <v>42.5</v>
      </c>
      <c r="O62" s="209" cm="1">
        <f t="array" ref="O62">_xlfn.XLOOKUP(1, (SensorLab[Sample_ID]=A62) * (SensorLab[Analyte]=$O$1), SensorLab[Final_Results], "Not Found")</f>
        <v>7.5</v>
      </c>
      <c r="P62" s="51" t="str" cm="1">
        <f t="array" ref="P62">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Q62" s="209" t="str" cm="1">
        <f t="array" ref="Q62">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16.09</v>
      </c>
      <c r="R62" s="4" t="str" cm="1">
        <f t="array" ref="R62">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00%</v>
      </c>
      <c r="S62" s="4" t="str">
        <f t="shared" si="13"/>
        <v>Not Suitable</v>
      </c>
    </row>
    <row r="63" spans="1:19" x14ac:dyDescent="0.15">
      <c r="A63" s="22" t="s">
        <v>276</v>
      </c>
      <c r="B63" s="213">
        <v>34.020068299999998</v>
      </c>
      <c r="C63" s="213">
        <v>72.043553299999999</v>
      </c>
      <c r="D63" s="216" t="str">
        <f t="shared" si="1"/>
        <v>3787-6693</v>
      </c>
      <c r="E63" s="209" cm="1">
        <f t="array" ref="E63">_xlfn.XLOOKUP(1, (SensorLab[Sample_ID]=A63) * (SensorLab[Analyte]=$E$1), SensorLab[Final_Results], "Not Found")</f>
        <v>2</v>
      </c>
      <c r="F63" s="209" cm="1">
        <f t="array" ref="F63">_xlfn.XLOOKUP(1, (SensorLab[Sample_ID]=A63) * (SensorLab[Analyte]=$F$1), SensorLab[Final_Results], "Not Found")</f>
        <v>4.4242600000000003</v>
      </c>
      <c r="G63" s="209" cm="1">
        <f t="array" ref="G63">_xlfn.XLOOKUP(1, (SensorLab[Sample_ID]=A63) * (SensorLab[Analyte]=$G$1), SensorLab[Final_Results], "Not Found")</f>
        <v>99.060720000000003</v>
      </c>
      <c r="H63" s="209" cm="1">
        <f t="array" ref="H63">_xlfn.XLOOKUP(1, (SensorLab[Sample_ID]=A63) * (SensorLab[Analyte]=$H$1), SensorLab[Final_Results], "Not Found")</f>
        <v>0.95886000000000005</v>
      </c>
      <c r="I63" s="209" cm="1">
        <f t="array" ref="I63">_xlfn.XLOOKUP(1, (SensorLab[Sample_ID]=A63) * (SensorLab[Analyte]=$I$1), SensorLab[Final_Results], "Not Found")</f>
        <v>7.8297299999999996</v>
      </c>
      <c r="J63" s="209" cm="1">
        <f t="array" ref="J63">_xlfn.XLOOKUP(1, (SensorLab[Sample_ID]=A63) * (SensorLab[Analyte]=$J$1), SensorLab[Final_Results], "Not Found")</f>
        <v>15.787599999999999</v>
      </c>
      <c r="K63" s="209" cm="1">
        <f t="array" ref="K63">_xlfn.XLOOKUP(1, (SensorLab[Sample_ID]=A63) * (SensorLab[Analyte]=$K$1), SensorLab[Final_Results], "Not Found")</f>
        <v>21.799779999999998</v>
      </c>
      <c r="L63" s="209" cm="1">
        <f t="array" ref="L63">_xlfn.XLOOKUP(1, (SensorLab[Sample_ID]=A63) * (SensorLab[Analyte]=$L$1), SensorLab[Final_Results], "Not Found")</f>
        <v>0.6</v>
      </c>
      <c r="M63" s="209" cm="1">
        <f t="array" ref="M63">_xlfn.XLOOKUP(1, (SensorLab[Sample_ID]=A63) * (SensorLab[Analyte]=$M$1), SensorLab[Final_Results], "Not Found")</f>
        <v>0</v>
      </c>
      <c r="N63" s="209" cm="1">
        <f t="array" ref="N63">_xlfn.XLOOKUP(1, (SensorLab[Sample_ID]=A63) * (SensorLab[Analyte]=$N$1), SensorLab[Final_Results], "Not Found")</f>
        <v>0</v>
      </c>
      <c r="O63" s="209" cm="1">
        <f t="array" ref="O63">_xlfn.XLOOKUP(1, (SensorLab[Sample_ID]=A63) * (SensorLab[Analyte]=$O$1), SensorLab[Final_Results], "Not Found")</f>
        <v>0</v>
      </c>
      <c r="P63" s="51" t="str" cm="1">
        <f t="array" ref="P63">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Q63" s="209" t="str" cm="1">
        <f t="array" ref="Q63">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56.71</v>
      </c>
      <c r="R63" s="4" t="str" cm="1">
        <f t="array" ref="R63">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00%</v>
      </c>
      <c r="S63" s="4" t="str">
        <f t="shared" si="13"/>
        <v>Not Suitable</v>
      </c>
    </row>
    <row r="64" spans="1:19" x14ac:dyDescent="0.15">
      <c r="A64" s="22" t="s">
        <v>277</v>
      </c>
      <c r="B64" s="213">
        <v>34.019520399999998</v>
      </c>
      <c r="C64" s="213">
        <v>72.042972599999999</v>
      </c>
      <c r="D64" s="216" t="str">
        <f t="shared" si="1"/>
        <v>3787-6693</v>
      </c>
      <c r="E64" s="209" cm="1">
        <f t="array" ref="E64">_xlfn.XLOOKUP(1, (SensorLab[Sample_ID]=A64) * (SensorLab[Analyte]=$E$1), SensorLab[Final_Results], "Not Found")</f>
        <v>2</v>
      </c>
      <c r="F64" s="209" cm="1">
        <f t="array" ref="F64">_xlfn.XLOOKUP(1, (SensorLab[Sample_ID]=A64) * (SensorLab[Analyte]=$F$1), SensorLab[Final_Results], "Not Found")</f>
        <v>4.77454</v>
      </c>
      <c r="G64" s="209" cm="1">
        <f t="array" ref="G64">_xlfn.XLOOKUP(1, (SensorLab[Sample_ID]=A64) * (SensorLab[Analyte]=$G$1), SensorLab[Final_Results], "Not Found")</f>
        <v>103.4594</v>
      </c>
      <c r="H64" s="209" cm="1">
        <f t="array" ref="H64">_xlfn.XLOOKUP(1, (SensorLab[Sample_ID]=A64) * (SensorLab[Analyte]=$H$1), SensorLab[Final_Results], "Not Found")</f>
        <v>0.97787000000000002</v>
      </c>
      <c r="I64" s="209" cm="1">
        <f t="array" ref="I64">_xlfn.XLOOKUP(1, (SensorLab[Sample_ID]=A64) * (SensorLab[Analyte]=$I$1), SensorLab[Final_Results], "Not Found")</f>
        <v>7.88</v>
      </c>
      <c r="J64" s="209" cm="1">
        <f t="array" ref="J64">_xlfn.XLOOKUP(1, (SensorLab[Sample_ID]=A64) * (SensorLab[Analyte]=$J$1), SensorLab[Final_Results], "Not Found")</f>
        <v>17.01239</v>
      </c>
      <c r="K64" s="209" cm="1">
        <f t="array" ref="K64">_xlfn.XLOOKUP(1, (SensorLab[Sample_ID]=A64) * (SensorLab[Analyte]=$K$1), SensorLab[Final_Results], "Not Found")</f>
        <v>27.40118</v>
      </c>
      <c r="L64" s="209" cm="1">
        <f t="array" ref="L64">_xlfn.XLOOKUP(1, (SensorLab[Sample_ID]=A64) * (SensorLab[Analyte]=$L$1), SensorLab[Final_Results], "Not Found")</f>
        <v>0.59977999999999998</v>
      </c>
      <c r="M64" s="209" cm="1">
        <f t="array" ref="M64">_xlfn.XLOOKUP(1, (SensorLab[Sample_ID]=A64) * (SensorLab[Analyte]=$M$1), SensorLab[Final_Results], "Not Found")</f>
        <v>0</v>
      </c>
      <c r="N64" s="209" cm="1">
        <f t="array" ref="N64">_xlfn.XLOOKUP(1, (SensorLab[Sample_ID]=A64) * (SensorLab[Analyte]=$N$1), SensorLab[Final_Results], "Not Found")</f>
        <v>0</v>
      </c>
      <c r="O64" s="209" cm="1">
        <f t="array" ref="O64">_xlfn.XLOOKUP(1, (SensorLab[Sample_ID]=A64) * (SensorLab[Analyte]=$O$1), SensorLab[Final_Results], "Not Found")</f>
        <v>0</v>
      </c>
      <c r="P64" s="51" t="str" cm="1">
        <f t="array" ref="P64">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Q64" s="209" t="str" cm="1">
        <f t="array" ref="Q64">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56.71</v>
      </c>
      <c r="R64" s="4" t="str" cm="1">
        <f t="array" ref="R64">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00%</v>
      </c>
      <c r="S64" s="4" t="str">
        <f t="shared" si="13"/>
        <v>Not Suitable</v>
      </c>
    </row>
    <row r="65" spans="1:19" x14ac:dyDescent="0.15">
      <c r="A65" s="22" t="s">
        <v>278</v>
      </c>
      <c r="B65" s="213">
        <v>34.020249999999997</v>
      </c>
      <c r="C65" s="213">
        <v>72.044103300000003</v>
      </c>
      <c r="D65" s="216" t="str">
        <f t="shared" si="1"/>
        <v>3787-6693</v>
      </c>
      <c r="E65" s="209" cm="1">
        <f t="array" ref="E65">_xlfn.XLOOKUP(1, (SensorLab[Sample_ID]=A65) * (SensorLab[Analyte]=$E$1), SensorLab[Final_Results], "Not Found")</f>
        <v>2</v>
      </c>
      <c r="F65" s="209" cm="1">
        <f t="array" ref="F65">_xlfn.XLOOKUP(1, (SensorLab[Sample_ID]=A65) * (SensorLab[Analyte]=$F$1), SensorLab[Final_Results], "Not Found")</f>
        <v>4.8746200000000002</v>
      </c>
      <c r="G65" s="209" cm="1">
        <f t="array" ref="G65">_xlfn.XLOOKUP(1, (SensorLab[Sample_ID]=A65) * (SensorLab[Analyte]=$G$1), SensorLab[Final_Results], "Not Found")</f>
        <v>104.71617000000001</v>
      </c>
      <c r="H65" s="209" cm="1">
        <f t="array" ref="H65">_xlfn.XLOOKUP(1, (SensorLab[Sample_ID]=A65) * (SensorLab[Analyte]=$H$1), SensorLab[Final_Results], "Not Found")</f>
        <v>0.98311000000000004</v>
      </c>
      <c r="I65" s="209" cm="1">
        <f t="array" ref="I65">_xlfn.XLOOKUP(1, (SensorLab[Sample_ID]=A65) * (SensorLab[Analyte]=$I$1), SensorLab[Final_Results], "Not Found")</f>
        <v>7.83887</v>
      </c>
      <c r="J65" s="209" cm="1">
        <f t="array" ref="J65">_xlfn.XLOOKUP(1, (SensorLab[Sample_ID]=A65) * (SensorLab[Analyte]=$J$1), SensorLab[Final_Results], "Not Found")</f>
        <v>15.787599999999999</v>
      </c>
      <c r="K65" s="209" cm="1">
        <f t="array" ref="K65">_xlfn.XLOOKUP(1, (SensorLab[Sample_ID]=A65) * (SensorLab[Analyte]=$K$1), SensorLab[Final_Results], "Not Found")</f>
        <v>25.80078</v>
      </c>
      <c r="L65" s="209" cm="1">
        <f t="array" ref="L65">_xlfn.XLOOKUP(1, (SensorLab[Sample_ID]=A65) * (SensorLab[Analyte]=$L$1), SensorLab[Final_Results], "Not Found")</f>
        <v>0.59977999999999998</v>
      </c>
      <c r="M65" s="209" cm="1">
        <f t="array" ref="M65">_xlfn.XLOOKUP(1, (SensorLab[Sample_ID]=A65) * (SensorLab[Analyte]=$M$1), SensorLab[Final_Results], "Not Found")</f>
        <v>65</v>
      </c>
      <c r="N65" s="209" cm="1">
        <f t="array" ref="N65">_xlfn.XLOOKUP(1, (SensorLab[Sample_ID]=A65) * (SensorLab[Analyte]=$N$1), SensorLab[Final_Results], "Not Found")</f>
        <v>25</v>
      </c>
      <c r="O65" s="209" cm="1">
        <f t="array" ref="O65">_xlfn.XLOOKUP(1, (SensorLab[Sample_ID]=A65) * (SensorLab[Analyte]=$O$1), SensorLab[Final_Results], "Not Found")</f>
        <v>10</v>
      </c>
      <c r="P65" s="51" t="str" cm="1">
        <f t="array" ref="P65">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Q65" s="209" t="str" cm="1">
        <f t="array" ref="Q65">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01.00</v>
      </c>
      <c r="R65" s="4" t="str" cm="1">
        <f t="array" ref="R65">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100%</v>
      </c>
      <c r="S65" s="4" t="str">
        <f t="shared" si="13"/>
        <v>Suitable</v>
      </c>
    </row>
    <row r="66" spans="1:19" x14ac:dyDescent="0.15">
      <c r="A66" s="22" t="s">
        <v>279</v>
      </c>
      <c r="B66" s="213">
        <v>34.019488299999999</v>
      </c>
      <c r="C66" s="213">
        <v>72.043388800000002</v>
      </c>
      <c r="D66" s="216" t="str">
        <f t="shared" si="1"/>
        <v>3787-6693</v>
      </c>
      <c r="E66" s="209" cm="1">
        <f t="array" ref="E66">_xlfn.XLOOKUP(1, (SensorLab[Sample_ID]=A66) * (SensorLab[Analyte]=$E$1), SensorLab[Final_Results], "Not Found")</f>
        <v>2</v>
      </c>
      <c r="F66" s="209" cm="1">
        <f t="array" ref="F66">_xlfn.XLOOKUP(1, (SensorLab[Sample_ID]=A66) * (SensorLab[Analyte]=$F$1), SensorLab[Final_Results], "Not Found")</f>
        <v>5.1998800000000003</v>
      </c>
      <c r="G66" s="209" cm="1">
        <f t="array" ref="G66">_xlfn.XLOOKUP(1, (SensorLab[Sample_ID]=A66) * (SensorLab[Analyte]=$G$1), SensorLab[Final_Results], "Not Found")</f>
        <v>108.80065999999999</v>
      </c>
      <c r="H66" s="209" cm="1">
        <f t="array" ref="H66">_xlfn.XLOOKUP(1, (SensorLab[Sample_ID]=A66) * (SensorLab[Analyte]=$H$1), SensorLab[Final_Results], "Not Found")</f>
        <v>1.0007999999999999</v>
      </c>
      <c r="I66" s="209" cm="1">
        <f t="array" ref="I66">_xlfn.XLOOKUP(1, (SensorLab[Sample_ID]=A66) * (SensorLab[Analyte]=$I$1), SensorLab[Final_Results], "Not Found")</f>
        <v>7.8480100000000004</v>
      </c>
      <c r="J66" s="209" cm="1">
        <f t="array" ref="J66">_xlfn.XLOOKUP(1, (SensorLab[Sample_ID]=A66) * (SensorLab[Analyte]=$J$1), SensorLab[Final_Results], "Not Found")</f>
        <v>17.01239</v>
      </c>
      <c r="K66" s="209" cm="1">
        <f t="array" ref="K66">_xlfn.XLOOKUP(1, (SensorLab[Sample_ID]=A66) * (SensorLab[Analyte]=$K$1), SensorLab[Final_Results], "Not Found")</f>
        <v>23.800280000000001</v>
      </c>
      <c r="L66" s="209" cm="1">
        <f t="array" ref="L66">_xlfn.XLOOKUP(1, (SensorLab[Sample_ID]=A66) * (SensorLab[Analyte]=$L$1), SensorLab[Final_Results], "Not Found")</f>
        <v>0.59977999999999998</v>
      </c>
      <c r="M66" s="209" cm="1">
        <f t="array" ref="M66">_xlfn.XLOOKUP(1, (SensorLab[Sample_ID]=A66) * (SensorLab[Analyte]=$M$1), SensorLab[Final_Results], "Not Found")</f>
        <v>35</v>
      </c>
      <c r="N66" s="209" cm="1">
        <f t="array" ref="N66">_xlfn.XLOOKUP(1, (SensorLab[Sample_ID]=A66) * (SensorLab[Analyte]=$N$1), SensorLab[Final_Results], "Not Found")</f>
        <v>45</v>
      </c>
      <c r="O66" s="209" cm="1">
        <f t="array" ref="O66">_xlfn.XLOOKUP(1, (SensorLab[Sample_ID]=A66) * (SensorLab[Analyte]=$O$1), SensorLab[Final_Results], "Not Found")</f>
        <v>20</v>
      </c>
      <c r="P66" s="51" t="str" cm="1">
        <f t="array" ref="P66">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Q66" s="209" t="str" cm="1">
        <f t="array" ref="Q66">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07.16</v>
      </c>
      <c r="R66" s="4" t="str" cm="1">
        <f t="array" ref="R66">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100%</v>
      </c>
      <c r="S66" s="4" t="str">
        <f t="shared" si="13"/>
        <v>Suitable</v>
      </c>
    </row>
    <row r="67" spans="1:19" x14ac:dyDescent="0.15">
      <c r="A67" s="22" t="s">
        <v>280</v>
      </c>
      <c r="B67" s="213">
        <v>34.0199967</v>
      </c>
      <c r="C67" s="213">
        <v>72.044283300000004</v>
      </c>
      <c r="D67" s="216" t="str">
        <f t="shared" si="1"/>
        <v>3787-6693</v>
      </c>
      <c r="E67" s="209" cm="1">
        <f t="array" ref="E67">_xlfn.XLOOKUP(1, (SensorLab[Sample_ID]=A67) * (SensorLab[Analyte]=$E$1), SensorLab[Final_Results], "Not Found")</f>
        <v>2</v>
      </c>
      <c r="F67" s="209" cm="1">
        <f t="array" ref="F67">_xlfn.XLOOKUP(1, (SensorLab[Sample_ID]=A67) * (SensorLab[Analyte]=$F$1), SensorLab[Final_Results], "Not Found")</f>
        <v>4.5243399999999996</v>
      </c>
      <c r="G67" s="209" cm="1">
        <f t="array" ref="G67">_xlfn.XLOOKUP(1, (SensorLab[Sample_ID]=A67) * (SensorLab[Analyte]=$G$1), SensorLab[Final_Results], "Not Found")</f>
        <v>100.31749000000001</v>
      </c>
      <c r="H67" s="209" cm="1">
        <f t="array" ref="H67">_xlfn.XLOOKUP(1, (SensorLab[Sample_ID]=A67) * (SensorLab[Analyte]=$H$1), SensorLab[Final_Results], "Not Found")</f>
        <v>0.96345000000000003</v>
      </c>
      <c r="I67" s="209" cm="1">
        <f t="array" ref="I67">_xlfn.XLOOKUP(1, (SensorLab[Sample_ID]=A67) * (SensorLab[Analyte]=$I$1), SensorLab[Final_Results], "Not Found")</f>
        <v>7.8571499999999999</v>
      </c>
      <c r="J67" s="209" cm="1">
        <f t="array" ref="J67">_xlfn.XLOOKUP(1, (SensorLab[Sample_ID]=A67) * (SensorLab[Analyte]=$J$1), SensorLab[Final_Results], "Not Found")</f>
        <v>15.277279999999999</v>
      </c>
      <c r="K67" s="209" cm="1">
        <f t="array" ref="K67">_xlfn.XLOOKUP(1, (SensorLab[Sample_ID]=A67) * (SensorLab[Analyte]=$K$1), SensorLab[Final_Results], "Not Found")</f>
        <v>25.400680000000001</v>
      </c>
      <c r="L67" s="209" cm="1">
        <f t="array" ref="L67">_xlfn.XLOOKUP(1, (SensorLab[Sample_ID]=A67) * (SensorLab[Analyte]=$L$1), SensorLab[Final_Results], "Not Found")</f>
        <v>0.59977999999999998</v>
      </c>
      <c r="M67" s="209" cm="1">
        <f t="array" ref="M67">_xlfn.XLOOKUP(1, (SensorLab[Sample_ID]=A67) * (SensorLab[Analyte]=$M$1), SensorLab[Final_Results], "Not Found")</f>
        <v>60</v>
      </c>
      <c r="N67" s="209" cm="1">
        <f t="array" ref="N67">_xlfn.XLOOKUP(1, (SensorLab[Sample_ID]=A67) * (SensorLab[Analyte]=$N$1), SensorLab[Final_Results], "Not Found")</f>
        <v>30</v>
      </c>
      <c r="O67" s="209" cm="1">
        <f t="array" ref="O67">_xlfn.XLOOKUP(1, (SensorLab[Sample_ID]=A67) * (SensorLab[Analyte]=$O$1), SensorLab[Final_Results], "Not Found")</f>
        <v>10</v>
      </c>
      <c r="P67" s="51" t="str" cm="1">
        <f t="array" ref="P67">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Sandy Loam</v>
      </c>
      <c r="Q67" s="209" t="str" cm="1">
        <f t="array" ref="Q67">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06.40</v>
      </c>
      <c r="R67" s="4" t="str" cm="1">
        <f t="array" ref="R67">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100%</v>
      </c>
      <c r="S67" s="4" t="str">
        <f t="shared" si="13"/>
        <v>Suitable</v>
      </c>
    </row>
    <row r="68" spans="1:19" x14ac:dyDescent="0.15">
      <c r="A68" s="22" t="s">
        <v>281</v>
      </c>
      <c r="B68" s="213">
        <v>34.020002300000002</v>
      </c>
      <c r="C68" s="213">
        <v>72.044780099999997</v>
      </c>
      <c r="D68" s="216" t="str">
        <f t="shared" si="1"/>
        <v>3787-6693</v>
      </c>
      <c r="E68" s="209" cm="1">
        <f t="array" ref="E68">_xlfn.XLOOKUP(1, (SensorLab[Sample_ID]=A68) * (SensorLab[Analyte]=$E$1), SensorLab[Final_Results], "Not Found")</f>
        <v>2</v>
      </c>
      <c r="F68" s="209" cm="1">
        <f t="array" ref="F68">_xlfn.XLOOKUP(1, (SensorLab[Sample_ID]=A68) * (SensorLab[Analyte]=$F$1), SensorLab[Final_Results], "Not Found")</f>
        <v>4.1240100000000002</v>
      </c>
      <c r="G68" s="209" cm="1">
        <f t="array" ref="G68">_xlfn.XLOOKUP(1, (SensorLab[Sample_ID]=A68) * (SensorLab[Analyte]=$G$1), SensorLab[Final_Results], "Not Found")</f>
        <v>97.80395</v>
      </c>
      <c r="H68" s="209" cm="1">
        <f t="array" ref="H68">_xlfn.XLOOKUP(1, (SensorLab[Sample_ID]=A68) * (SensorLab[Analyte]=$H$1), SensorLab[Final_Results], "Not Found")</f>
        <v>0.92608999999999997</v>
      </c>
      <c r="I68" s="209" cm="1">
        <f t="array" ref="I68">_xlfn.XLOOKUP(1, (SensorLab[Sample_ID]=A68) * (SensorLab[Analyte]=$I$1), SensorLab[Final_Results], "Not Found")</f>
        <v>7.8525799999999997</v>
      </c>
      <c r="J68" s="209" cm="1">
        <f t="array" ref="J68">_xlfn.XLOOKUP(1, (SensorLab[Sample_ID]=A68) * (SensorLab[Analyte]=$J$1), SensorLab[Final_Results], "Not Found")</f>
        <v>16.093800000000002</v>
      </c>
      <c r="K68" s="209" cm="1">
        <f t="array" ref="K68">_xlfn.XLOOKUP(1, (SensorLab[Sample_ID]=A68) * (SensorLab[Analyte]=$K$1), SensorLab[Final_Results], "Not Found")</f>
        <v>21.699750000000002</v>
      </c>
      <c r="L68" s="209" cm="1">
        <f t="array" ref="L68">_xlfn.XLOOKUP(1, (SensorLab[Sample_ID]=A68) * (SensorLab[Analyte]=$L$1), SensorLab[Final_Results], "Not Found")</f>
        <v>0.59977999999999998</v>
      </c>
      <c r="M68" s="209" cm="1">
        <f t="array" ref="M68">_xlfn.XLOOKUP(1, (SensorLab[Sample_ID]=A68) * (SensorLab[Analyte]=$M$1), SensorLab[Final_Results], "Not Found")</f>
        <v>0</v>
      </c>
      <c r="N68" s="209" cm="1">
        <f t="array" ref="N68">_xlfn.XLOOKUP(1, (SensorLab[Sample_ID]=A68) * (SensorLab[Analyte]=$N$1), SensorLab[Final_Results], "Not Found")</f>
        <v>0</v>
      </c>
      <c r="O68" s="209" cm="1">
        <f t="array" ref="O68">_xlfn.XLOOKUP(1, (SensorLab[Sample_ID]=A68) * (SensorLab[Analyte]=$O$1), SensorLab[Final_Results], "Not Found")</f>
        <v>0</v>
      </c>
      <c r="P68" s="51" t="str" cm="1">
        <f t="array" ref="P68">_xlfn.LET(
  _xlpm.bs,Soil_Samples[[#This Row],[Sand]], _xlpm.si,Soil_Samples[[#This Row],[Silt]], _xlpm.c,Soil_Samples[[#This Row],[Clay]],
  _xlpm.texNames,SoilSpec[Texture],
  _xlpm.sMin,SoilSpec[Sand_Min], _xlpm.sMax,SoilSpec[Sand_Max],
  _xlpm.siMin,SoilSpec[Silt_Min], _xlpm.siMax,SoilSpec[Silt_Max],
  _xlpm.cMin,SoilSpec[Clay_Min], _xlpm.cMax,SoilSpec[Clay_Max],
  _xlpm.inRange,(_xlpm.bs&gt;=_xlpm.sMin)*(_xlpm.bs&lt;=_xlpm.sMax)*(_xlpm.si&gt;=_xlpm.siMin)*(_xlpm.si&lt;=_xlpm.siMax)*(_xlpm.c&gt;=_xlpm.cMin)*(_xlpm.c&lt;=_xlpm.cMax),
  _xlpm.idxStrict,IFERROR(MATCH(1,_xlpm.inRange,0),0),
  _xlpm.sMid,(_xlpm.sMin+_xlpm.sMax)/2, _xlpm.siMid,(_xlpm.siMin+_xlpm.siMax)/2, _xlpm.cMid,(_xlpm.cMin+_xlpm.cMax)/2,
  _xlpm.dist2,(_xlpm.bs-_xlpm.sMid)^2+(_xlpm.si-_xlpm.siMid)^2+(_xlpm.c-_xlpm.cMid)^2,
  _xlpm.idxNN,MATCH(MIN(_xlpm.dist2),_xlpm.dist2,0),
  _xlpm.idxChoice,IF(_xlpm.idxStrict&gt;0,_xlpm.idxStrict,_xlpm.idxNN),
  _xlpm.result,INDEX(_xlpm.texNames,_xlpm.idxChoice),
  IF(OR(ISBLANK(_xlpm.bs),ISBLANK(_xlpm.si),ISBLANK(_xlpm.c)),"Unclassified",_xlpm.result)
)</f>
        <v>Loam</v>
      </c>
      <c r="Q68" s="209" t="str" cm="1">
        <f t="array" ref="Q68">_xlfn.LET(
   _xlpm.valsTex, _xlfn.HSTACK(Soil_Samples[[#This Row],[Sand]],Soil_Samples[[#This Row],[Silt]],Soil_Samples[[#This Row],[Clay]]),
   _xlpm.ctrArr, _xlfn.HSTACK(
      USDAClass[Sand (%)],
      USDAClass[Silt (%)],
      USDAClass[Clay (%)]
   ),
   _xlpm.minArrTex, _xlfn.HSTACK(
      SoilSpec[Sand_Min],
      SoilSpec[Silt_Min],
      SoilSpec[Clay_Min]
   ),
   _xlpm.maxArrTex, _xlfn.HSTACK(
      SoilSpec[Sand_Max],
      SoilSpec[Silt_Max],
      SoilSpec[Clay_Max]
   ),
   _xlpm.inRangeTex, _xlfn.BYROW(_xlpm.ctrArr,_xlfn.LAMBDA(_xlpm.r,AND(_xlpm.valsTex&gt;=_xlpm.minArrTex,_xlpm.valsTex&lt;=_xlpm.maxArrTex))),
   _xlpm.idxStrict, IFERROR(MATCH(1,_xlpm.inRangeTex,0),0),
   _xlpm.d2Arr, _xlfn.BYROW(_xlpm.ctrArr,_xlfn.LAMBDA(_xlpm.r,SUMXMY2(_xlpm.valsTex,_xlpm.r))),
   _xlpm.minD2, MIN(_xlpm.d2Arr),
   _xlpm.idxNN, MATCH(_xlpm.minD2,_xlpm.d2Arr,0),
   _xlpm.idxChoice, IF(_xlpm.idxStrict&gt;0,_xlpm.idxStrict,_xlpm.idxNN),
   _xlpm.finalCtr, INDEX(_xlpm.ctrArr,_xlpm.idxChoice),
   _xlpm.finalDist, SQRT(SUMXMY2(_xlpm.valsTex,_xlpm.finalCtr)),
   IF(OR(NOT(ISNUMBER(Soil_Samples[[#This Row],[Sand]])),NOT(ISNUMBER(Soil_Samples[[#This Row],[Silt]])),NOT(ISNUMBER(Soil_Samples[[#This Row],[Clay]]))),
      "",
      TEXT(_xlpm.finalDist,"00.00")
   )
)</f>
        <v>56.71</v>
      </c>
      <c r="R68" s="4" t="str" cm="1">
        <f t="array" ref="R68">_xlfn.LET(
   _xlpm.s, Soil_Samples[[#This Row],[Sand]], _xlpm.si, Soil_Samples[[#This Row],[Silt]], _xlpm.c, Soil_Samples[[#This Row],[Clay]],
   _xlpm.nVal, Soil_Samples[[#This Row],[N]], _xlpm.pVal, Soil_Samples[[#This Row],[P]], _xlpm.kVal, Soil_Samples[[#This Row],[K]],
   _xlpm.ecVal, Soil_Samples[[#This Row],[Conductivity]], _xlpm.phVal, Soil_Samples[[#This Row],[pH]],
   _xlpm.tempVal, Soil_Samples[[#This Row],[SoilTemp]], _xlpm.moistVal, Soil_Samples[[#This Row],[Moisture]], _xlpm.omVal, Soil_Samples[[#This Row],[OM]],
   _xlpm.sandMin, SoilSpec[Sand_Min], _xlpm.sandMax, SoilSpec[Sand_Max],
   _xlpm.siltMin, SoilSpec[Silt_Min], _xlpm.siltMax, SoilSpec[Silt_Max],
   _xlpm.clayMin, SoilSpec[Clay_Min], _xlpm.clayMax, SoilSpec[Clay_Max],
   _xlpm.nMin, SoilSpec[N_Min], _xlpm.nMax, SoilSpec[N_Max],
   _xlpm.pMin, SoilSpec[P_Min], _xlpm.pMax, SoilSpec[P_Max],
   _xlpm.kMin, SoilSpec[K_Min], _xlpm.kMax, SoilSpec[K_Max],
   _xlpm.ecMin, SoilSpec[EC_Min], _xlpm.ecMax, SoilSpec[EC_Max],
   _xlpm.phMin, SoilSpec[pH_Min], _xlpm.phMax, SoilSpec[pH_Max],
   _xlpm.tempMin, SoilSpec[SoilTemp_Min], _xlpm.tempMax, SoilSpec[SoilTemp_Max],
   _xlpm.moistMin, SoilSpec[Moisture_Min], _xlpm.moistMax, SoilSpec[Moisture_Max],
   _xlpm.omMin, SoilSpec[OM_Min], _xlpm.omMax, SoilSpec[OM_Max],
   _xlpm.sandCtrArr, USDAClass[Sand (%)],
   _xlpm.siltCtrArr, USDAClass[Silt (%)],
   _xlpm.clayCtrArr, USDAClass[Clay (%)],
   _xlpm.d2Arr, (_xlpm.sandCtrArr - _xlpm.s)^2 + (_xlpm.siltCtrArr - _xlpm.si)^2 + (_xlpm.clayCtrArr - _xlpm.c)^2,
   _xlpm.minD2, MIN(_xlpm.d2Arr), _xlpm.maxD2, MAX(_xlpm.d2Arr),
   _xlpm.denom, MAX(_xlpm.maxD2 - _xlpm.minD2, 0.000000000001),
   _xlpm.idxNN, MATCH(_xlpm.minD2, _xlpm.d2Arr, 0),
   _xlpm.inRangeTex, (_xlpm.s&gt;=_xlpm.sandMin)*(_xlpm.s&lt;=_xlpm.sandMax)*(_xlpm.si&gt;=_xlpm.siltMin)*(_xlpm.si&lt;=_xlpm.siltMax)*(_xlpm.c&gt;=_xlpm.clayMin)*(_xlpm.c&lt;=_xlpm.clayMax),
   _xlpm.idxChoice, IF(_xlpm.inRangeTex&gt;0, MATCH(1,_xlpm.inRangeTex,0), _xlpm.idxNN),
   _xlpm.confRelArr, 1 - (_xlpm.d2Arr - _xlpm.minD2)/_xlpm.denom,
   _xlpm.sandCtr, INDEX(_xlpm.sandCtrArr, _xlpm.idxChoice),
   _xlpm.siltCtr, INDEX(_xlpm.siltCtrArr, _xlpm.idxChoice),
   _xlpm.clayCtr, INDEX(_xlpm.clayCtrArr, _xlpm.idxChoice),
   _xlpm.euDist, SQRT((_xlpm.s - _xlpm.sandCtr)^2 + (_xlpm.si - _xlpm.siltCtr)^2 + (_xlpm.c - _xlpm.clayCtr)^2),
   _xlpm.MaxDist, 12,
   _xlpm.distPenalty, IF(_xlpm.euDist&gt;=_xlpm.MaxDist,0,1 - _xlpm.euDist/_xlpm.MaxDist),
   _xlpm.confRel, INDEX(_xlpm.confRelArr, _xlpm.idxChoice),
   _xlpm.confTexRaw, _xlpm.confRel*_xlpm.distPenalty,
   _xlpm.confTex, MAX(0,MIN(1,_xlpm.confTexRaw)),
   _xlpm.fertChecks, _xlfn.HSTACK(
      (_xlpm.nVal&gt;=_xlpm.nMin)*(_xlpm.nVal&lt;=_xlpm.nMax),
      (_xlpm.pVal&gt;=_xlpm.pMin)*(_xlpm.pVal&lt;=_xlpm.pMax),
      (_xlpm.kVal&gt;=_xlpm.kMin)*(_xlpm.kVal&lt;=_xlpm.kMax),
      (_xlpm.ecVal&gt;=_xlpm.ecMin)*(_xlpm.ecVal&lt;=_xlpm.ecMax),
      (_xlpm.phVal&gt;=_xlpm.phMin)*(_xlpm.phVal&lt;=_xlpm.phMax),
      (_xlpm.tempVal&gt;=_xlpm.tempMin)*(_xlpm.tempVal&lt;=_xlpm.tempMax),
      (_xlpm.moistVal&gt;=_xlpm.moistMin)*(_xlpm.moistVal&lt;=_xlpm.moistMax),
      (_xlpm.omVal&gt;=_xlpm.omMin)*(_xlpm.omVal&lt;=_xlpm.omMax)
   ),
   _xlpm.fertScore, SUM(_xlpm.fertChecks)/COLUMNS(_xlpm.fertChecks),
   _xlpm.finalConf, MAX(0,MIN(1, _xlpm.confTex * _xlpm.fertScore)),
   TEXT(_xlpm.finalConf,"00%")
)</f>
        <v>00%</v>
      </c>
      <c r="S68" s="4" t="str">
        <f t="shared" si="13"/>
        <v>Not Suitable</v>
      </c>
    </row>
    <row r="69" spans="1:19" x14ac:dyDescent="0.15">
      <c r="E69" s="221"/>
      <c r="F69" s="221"/>
      <c r="G69" s="221"/>
      <c r="H69" s="221"/>
      <c r="I69" s="221"/>
      <c r="J69" s="221"/>
      <c r="K69" s="221"/>
      <c r="L69" s="221"/>
      <c r="M69" s="221"/>
      <c r="N69" s="221"/>
      <c r="O69" s="221"/>
      <c r="P69" s="51"/>
    </row>
    <row r="70" spans="1:19" x14ac:dyDescent="0.15">
      <c r="E70" s="221"/>
      <c r="F70" s="221"/>
      <c r="G70" s="221"/>
      <c r="H70" s="221"/>
      <c r="I70" s="221"/>
      <c r="J70" s="221"/>
      <c r="K70" s="221"/>
      <c r="L70" s="221"/>
      <c r="M70" s="221"/>
      <c r="N70" s="221"/>
      <c r="O70" s="221"/>
      <c r="P70" s="51"/>
    </row>
    <row r="71" spans="1:19" x14ac:dyDescent="0.15">
      <c r="E71" s="221"/>
      <c r="F71" s="221"/>
      <c r="G71" s="221"/>
      <c r="H71" s="221"/>
      <c r="I71" s="221"/>
      <c r="J71" s="221"/>
      <c r="K71" s="221"/>
      <c r="L71" s="221"/>
      <c r="M71" s="221"/>
      <c r="N71" s="221"/>
      <c r="O71" s="221"/>
      <c r="P71" s="51"/>
    </row>
    <row r="72" spans="1:19" x14ac:dyDescent="0.15">
      <c r="E72" s="221"/>
      <c r="F72" s="221"/>
      <c r="G72" s="221"/>
      <c r="H72" s="221"/>
      <c r="I72" s="221"/>
      <c r="J72" s="221"/>
      <c r="K72" s="221"/>
      <c r="L72" s="221"/>
      <c r="M72" s="221"/>
      <c r="N72" s="221"/>
      <c r="O72" s="221"/>
      <c r="P72" s="51"/>
    </row>
    <row r="73" spans="1:19" x14ac:dyDescent="0.15">
      <c r="E73" s="221"/>
      <c r="F73" s="221"/>
      <c r="G73" s="221"/>
      <c r="H73" s="221"/>
      <c r="I73" s="221"/>
      <c r="J73" s="221"/>
      <c r="K73" s="221"/>
      <c r="L73" s="221"/>
      <c r="M73" s="221"/>
      <c r="N73" s="221"/>
      <c r="O73" s="221"/>
      <c r="P73" s="51"/>
    </row>
    <row r="74" spans="1:19" x14ac:dyDescent="0.15">
      <c r="E74" s="221"/>
      <c r="F74" s="221"/>
      <c r="G74" s="221"/>
      <c r="H74" s="221"/>
      <c r="I74" s="221"/>
      <c r="J74" s="221"/>
      <c r="K74" s="221"/>
      <c r="L74" s="221"/>
      <c r="M74" s="221"/>
      <c r="N74" s="221"/>
      <c r="O74" s="221"/>
      <c r="P74" s="51"/>
    </row>
    <row r="75" spans="1:19" x14ac:dyDescent="0.15">
      <c r="E75" s="221"/>
      <c r="F75" s="221"/>
      <c r="G75" s="221"/>
      <c r="H75" s="221"/>
      <c r="I75" s="221"/>
      <c r="J75" s="221"/>
      <c r="K75" s="221"/>
      <c r="L75" s="221"/>
      <c r="M75" s="221"/>
      <c r="N75" s="221"/>
      <c r="O75" s="221"/>
      <c r="P75" s="51"/>
    </row>
    <row r="76" spans="1:19" x14ac:dyDescent="0.15">
      <c r="E76" s="221"/>
      <c r="F76" s="221"/>
      <c r="G76" s="221"/>
      <c r="H76" s="221"/>
      <c r="I76" s="221"/>
      <c r="J76" s="221"/>
      <c r="K76" s="221"/>
      <c r="L76" s="221"/>
      <c r="M76" s="221"/>
      <c r="N76" s="221"/>
      <c r="O76" s="221"/>
      <c r="P76" s="51"/>
    </row>
    <row r="77" spans="1:19" x14ac:dyDescent="0.15">
      <c r="E77" s="221"/>
      <c r="F77" s="221"/>
      <c r="G77" s="221"/>
      <c r="H77" s="221"/>
      <c r="I77" s="221"/>
      <c r="J77" s="221"/>
      <c r="K77" s="221"/>
      <c r="L77" s="221"/>
      <c r="M77" s="221"/>
      <c r="N77" s="221"/>
      <c r="O77" s="221"/>
      <c r="P77" s="51"/>
    </row>
    <row r="78" spans="1:19" x14ac:dyDescent="0.15">
      <c r="E78" s="221"/>
      <c r="F78" s="221"/>
      <c r="G78" s="221"/>
      <c r="H78" s="221"/>
      <c r="I78" s="221"/>
      <c r="J78" s="221"/>
      <c r="K78" s="221"/>
      <c r="L78" s="221"/>
      <c r="M78" s="221"/>
      <c r="N78" s="221"/>
      <c r="O78" s="221"/>
      <c r="P78" s="51"/>
    </row>
    <row r="79" spans="1:19" x14ac:dyDescent="0.15">
      <c r="E79" s="221"/>
      <c r="F79" s="221"/>
      <c r="G79" s="221"/>
      <c r="H79" s="221"/>
      <c r="I79" s="221"/>
      <c r="J79" s="221"/>
      <c r="K79" s="221"/>
      <c r="L79" s="221"/>
      <c r="M79" s="221"/>
      <c r="N79" s="221"/>
      <c r="O79" s="221"/>
      <c r="P79" s="51"/>
    </row>
    <row r="80" spans="1:19" x14ac:dyDescent="0.15">
      <c r="B80" s="76"/>
      <c r="C80" s="76"/>
      <c r="E80" s="221"/>
      <c r="F80" s="221"/>
      <c r="G80" s="221"/>
      <c r="H80" s="221"/>
      <c r="I80" s="221"/>
      <c r="J80" s="221"/>
      <c r="K80" s="221"/>
      <c r="L80" s="221"/>
      <c r="M80" s="221"/>
      <c r="N80" s="221"/>
      <c r="O80" s="221"/>
      <c r="P80" s="51"/>
    </row>
    <row r="81" spans="2:16" x14ac:dyDescent="0.15">
      <c r="E81" s="221"/>
      <c r="F81" s="221"/>
      <c r="G81" s="221"/>
      <c r="H81" s="221"/>
      <c r="I81" s="221"/>
      <c r="J81" s="221"/>
      <c r="K81" s="221"/>
      <c r="L81" s="221"/>
      <c r="M81" s="221"/>
      <c r="N81" s="221"/>
      <c r="O81" s="221"/>
      <c r="P81" s="51"/>
    </row>
    <row r="82" spans="2:16" x14ac:dyDescent="0.15">
      <c r="E82" s="221"/>
      <c r="F82" s="221"/>
      <c r="G82" s="221"/>
      <c r="H82" s="221"/>
      <c r="I82" s="221"/>
      <c r="J82" s="221"/>
      <c r="K82" s="221"/>
      <c r="L82" s="221"/>
      <c r="M82" s="221"/>
      <c r="N82" s="221"/>
      <c r="O82" s="221"/>
      <c r="P82" s="51"/>
    </row>
    <row r="83" spans="2:16" x14ac:dyDescent="0.15">
      <c r="E83" s="221"/>
      <c r="F83" s="221"/>
      <c r="G83" s="221"/>
      <c r="H83" s="221"/>
      <c r="I83" s="221"/>
      <c r="J83" s="221"/>
      <c r="K83" s="221"/>
      <c r="L83" s="221"/>
      <c r="M83" s="221"/>
      <c r="N83" s="221"/>
      <c r="O83" s="221"/>
      <c r="P83" s="51"/>
    </row>
    <row r="84" spans="2:16" x14ac:dyDescent="0.15">
      <c r="E84" s="221"/>
      <c r="F84" s="221"/>
      <c r="G84" s="221"/>
      <c r="H84" s="221"/>
      <c r="I84" s="221"/>
      <c r="J84" s="221"/>
      <c r="K84" s="221"/>
      <c r="L84" s="221"/>
      <c r="M84" s="221"/>
      <c r="N84" s="221"/>
      <c r="O84" s="221"/>
      <c r="P84" s="51"/>
    </row>
    <row r="85" spans="2:16" x14ac:dyDescent="0.15">
      <c r="E85" s="221"/>
      <c r="F85" s="221"/>
      <c r="G85" s="221"/>
      <c r="H85" s="221"/>
      <c r="I85" s="221"/>
      <c r="J85" s="221"/>
      <c r="K85" s="221"/>
      <c r="L85" s="221"/>
      <c r="M85" s="221"/>
      <c r="N85" s="221"/>
      <c r="O85" s="221"/>
      <c r="P85" s="51"/>
    </row>
    <row r="86" spans="2:16" x14ac:dyDescent="0.15">
      <c r="B86" s="76"/>
      <c r="C86" s="76"/>
      <c r="E86" s="221"/>
      <c r="F86" s="221"/>
      <c r="G86" s="221"/>
      <c r="H86" s="221"/>
      <c r="I86" s="221"/>
      <c r="J86" s="221"/>
      <c r="K86" s="221"/>
      <c r="L86" s="221"/>
      <c r="M86" s="221"/>
      <c r="N86" s="221"/>
      <c r="O86" s="221"/>
      <c r="P86" s="51"/>
    </row>
    <row r="87" spans="2:16" x14ac:dyDescent="0.15">
      <c r="E87" s="221"/>
      <c r="F87" s="221"/>
      <c r="G87" s="221"/>
      <c r="H87" s="221"/>
      <c r="I87" s="221"/>
      <c r="J87" s="221"/>
      <c r="K87" s="221"/>
      <c r="L87" s="221"/>
      <c r="M87" s="221"/>
      <c r="N87" s="221"/>
      <c r="O87" s="221"/>
      <c r="P87" s="51"/>
    </row>
    <row r="88" spans="2:16" x14ac:dyDescent="0.15">
      <c r="E88" s="221"/>
      <c r="F88" s="221"/>
      <c r="G88" s="221"/>
      <c r="H88" s="221"/>
      <c r="I88" s="221"/>
      <c r="J88" s="221"/>
      <c r="K88" s="221"/>
      <c r="L88" s="221"/>
      <c r="M88" s="221"/>
      <c r="N88" s="221"/>
      <c r="O88" s="221"/>
      <c r="P88" s="51"/>
    </row>
    <row r="89" spans="2:16" x14ac:dyDescent="0.15">
      <c r="E89" s="221"/>
      <c r="F89" s="221"/>
      <c r="G89" s="221"/>
      <c r="H89" s="221"/>
      <c r="I89" s="221"/>
      <c r="J89" s="221"/>
      <c r="K89" s="221"/>
      <c r="L89" s="221"/>
      <c r="M89" s="221"/>
      <c r="N89" s="221"/>
      <c r="O89" s="221"/>
      <c r="P89" s="51"/>
    </row>
    <row r="90" spans="2:16" x14ac:dyDescent="0.15">
      <c r="E90" s="221"/>
      <c r="F90" s="221"/>
      <c r="G90" s="221"/>
      <c r="H90" s="221"/>
      <c r="I90" s="221"/>
      <c r="J90" s="221"/>
      <c r="K90" s="221"/>
      <c r="L90" s="221"/>
      <c r="M90" s="221"/>
      <c r="N90" s="221"/>
      <c r="O90" s="221"/>
      <c r="P90" s="51"/>
    </row>
    <row r="91" spans="2:16" x14ac:dyDescent="0.15">
      <c r="E91" s="221"/>
      <c r="F91" s="221"/>
      <c r="G91" s="221"/>
      <c r="H91" s="221"/>
      <c r="I91" s="221"/>
      <c r="J91" s="221"/>
      <c r="K91" s="221"/>
      <c r="L91" s="221"/>
      <c r="M91" s="221"/>
      <c r="N91" s="221"/>
      <c r="O91" s="221"/>
      <c r="P91" s="51"/>
    </row>
    <row r="92" spans="2:16" x14ac:dyDescent="0.15">
      <c r="E92" s="221"/>
      <c r="F92" s="221"/>
      <c r="G92" s="221"/>
      <c r="H92" s="221"/>
      <c r="I92" s="221"/>
      <c r="J92" s="221"/>
      <c r="K92" s="221"/>
      <c r="L92" s="221"/>
      <c r="M92" s="221"/>
      <c r="N92" s="221"/>
      <c r="O92" s="221"/>
      <c r="P92" s="51"/>
    </row>
    <row r="93" spans="2:16" x14ac:dyDescent="0.15">
      <c r="E93" s="221"/>
      <c r="F93" s="221"/>
      <c r="G93" s="221"/>
      <c r="H93" s="221"/>
      <c r="I93" s="221"/>
      <c r="J93" s="221"/>
      <c r="K93" s="221"/>
      <c r="L93" s="221"/>
      <c r="M93" s="221"/>
      <c r="N93" s="221"/>
      <c r="O93" s="221"/>
      <c r="P93" s="51"/>
    </row>
    <row r="94" spans="2:16" x14ac:dyDescent="0.15">
      <c r="E94" s="221"/>
      <c r="F94" s="221"/>
      <c r="G94" s="221"/>
      <c r="H94" s="221"/>
      <c r="I94" s="221"/>
      <c r="J94" s="221"/>
      <c r="K94" s="221"/>
      <c r="L94" s="221"/>
      <c r="M94" s="221"/>
      <c r="N94" s="221"/>
      <c r="O94" s="221"/>
      <c r="P94" s="51"/>
    </row>
    <row r="95" spans="2:16" x14ac:dyDescent="0.15">
      <c r="B95" s="76"/>
      <c r="C95" s="76"/>
      <c r="E95" s="221"/>
      <c r="F95" s="221"/>
      <c r="G95" s="221"/>
      <c r="H95" s="221"/>
      <c r="I95" s="221"/>
      <c r="J95" s="221"/>
      <c r="K95" s="221"/>
      <c r="L95" s="221"/>
      <c r="M95" s="221"/>
      <c r="N95" s="221"/>
      <c r="O95" s="221"/>
      <c r="P95" s="51"/>
    </row>
    <row r="96" spans="2:16" x14ac:dyDescent="0.15">
      <c r="E96" s="221"/>
      <c r="F96" s="221"/>
      <c r="G96" s="221"/>
      <c r="H96" s="221"/>
      <c r="I96" s="221"/>
      <c r="J96" s="221"/>
      <c r="K96" s="221"/>
      <c r="L96" s="221"/>
      <c r="M96" s="221"/>
      <c r="N96" s="221"/>
      <c r="O96" s="221"/>
      <c r="P96" s="51"/>
    </row>
    <row r="97" spans="2:16" x14ac:dyDescent="0.15">
      <c r="E97" s="221"/>
      <c r="F97" s="221"/>
      <c r="G97" s="221"/>
      <c r="H97" s="221"/>
      <c r="I97" s="221"/>
      <c r="J97" s="221"/>
      <c r="K97" s="221"/>
      <c r="L97" s="221"/>
      <c r="M97" s="221"/>
      <c r="N97" s="221"/>
      <c r="O97" s="221"/>
      <c r="P97" s="51"/>
    </row>
    <row r="98" spans="2:16" x14ac:dyDescent="0.15">
      <c r="E98" s="221"/>
      <c r="F98" s="221"/>
      <c r="G98" s="221"/>
      <c r="H98" s="221"/>
      <c r="I98" s="221"/>
      <c r="J98" s="221"/>
      <c r="K98" s="221"/>
      <c r="L98" s="221"/>
      <c r="M98" s="221"/>
      <c r="N98" s="221"/>
      <c r="O98" s="221"/>
      <c r="P98" s="51"/>
    </row>
    <row r="99" spans="2:16" x14ac:dyDescent="0.15">
      <c r="E99" s="221"/>
      <c r="F99" s="221"/>
      <c r="G99" s="221"/>
      <c r="H99" s="221"/>
      <c r="I99" s="221"/>
      <c r="J99" s="221"/>
      <c r="K99" s="221"/>
      <c r="L99" s="221"/>
      <c r="M99" s="221"/>
      <c r="N99" s="221"/>
      <c r="O99" s="221"/>
      <c r="P99" s="51"/>
    </row>
    <row r="100" spans="2:16" x14ac:dyDescent="0.15">
      <c r="B100" s="76"/>
      <c r="C100" s="76"/>
      <c r="E100" s="221"/>
      <c r="F100" s="221"/>
      <c r="G100" s="221"/>
      <c r="H100" s="221"/>
      <c r="I100" s="221"/>
      <c r="J100" s="221"/>
      <c r="K100" s="221"/>
      <c r="L100" s="221"/>
      <c r="M100" s="221"/>
      <c r="N100" s="221"/>
      <c r="O100" s="221"/>
      <c r="P100" s="51"/>
    </row>
    <row r="101" spans="2:16" x14ac:dyDescent="0.15">
      <c r="E101" s="221"/>
      <c r="F101" s="221"/>
      <c r="G101" s="221"/>
      <c r="H101" s="221"/>
      <c r="I101" s="221"/>
      <c r="J101" s="221"/>
      <c r="K101" s="221"/>
      <c r="L101" s="221"/>
      <c r="M101" s="221"/>
      <c r="N101" s="221"/>
      <c r="O101" s="221"/>
      <c r="P101" s="51"/>
    </row>
    <row r="102" spans="2:16" x14ac:dyDescent="0.15">
      <c r="E102" s="221"/>
      <c r="F102" s="221"/>
      <c r="G102" s="221"/>
      <c r="H102" s="221"/>
      <c r="I102" s="221"/>
      <c r="J102" s="221"/>
      <c r="K102" s="221"/>
      <c r="L102" s="221"/>
      <c r="M102" s="221"/>
      <c r="N102" s="221"/>
      <c r="O102" s="221"/>
      <c r="P102" s="51"/>
    </row>
    <row r="103" spans="2:16" x14ac:dyDescent="0.15">
      <c r="E103" s="221"/>
      <c r="F103" s="221"/>
      <c r="G103" s="221"/>
      <c r="H103" s="221"/>
      <c r="I103" s="221"/>
      <c r="J103" s="221"/>
      <c r="K103" s="221"/>
      <c r="L103" s="221"/>
      <c r="M103" s="221"/>
      <c r="N103" s="221"/>
      <c r="O103" s="221"/>
      <c r="P103" s="51"/>
    </row>
    <row r="104" spans="2:16" x14ac:dyDescent="0.15">
      <c r="E104" s="221"/>
      <c r="F104" s="221"/>
      <c r="G104" s="221"/>
      <c r="H104" s="221"/>
      <c r="I104" s="221"/>
      <c r="J104" s="221"/>
      <c r="K104" s="221"/>
      <c r="L104" s="221"/>
      <c r="M104" s="221"/>
      <c r="N104" s="221"/>
      <c r="O104" s="221"/>
      <c r="P104" s="51"/>
    </row>
    <row r="105" spans="2:16" x14ac:dyDescent="0.15">
      <c r="E105" s="221"/>
      <c r="F105" s="221"/>
      <c r="G105" s="221"/>
      <c r="H105" s="221"/>
      <c r="I105" s="221"/>
      <c r="J105" s="221"/>
      <c r="K105" s="221"/>
      <c r="L105" s="221"/>
      <c r="M105" s="221"/>
      <c r="N105" s="221"/>
      <c r="O105" s="221"/>
      <c r="P105" s="51"/>
    </row>
    <row r="106" spans="2:16" x14ac:dyDescent="0.15">
      <c r="E106" s="221"/>
      <c r="F106" s="221"/>
      <c r="G106" s="221"/>
      <c r="H106" s="221"/>
      <c r="I106" s="221"/>
      <c r="J106" s="221"/>
      <c r="K106" s="221"/>
      <c r="L106" s="221"/>
      <c r="M106" s="221"/>
      <c r="N106" s="221"/>
      <c r="O106" s="221"/>
      <c r="P106" s="51"/>
    </row>
    <row r="107" spans="2:16" x14ac:dyDescent="0.15">
      <c r="E107" s="221"/>
      <c r="F107" s="221"/>
      <c r="G107" s="221"/>
      <c r="H107" s="221"/>
      <c r="I107" s="221"/>
      <c r="J107" s="221"/>
      <c r="K107" s="221"/>
      <c r="L107" s="221"/>
      <c r="M107" s="221"/>
      <c r="N107" s="221"/>
      <c r="O107" s="221"/>
      <c r="P107" s="51"/>
    </row>
    <row r="108" spans="2:16" x14ac:dyDescent="0.15">
      <c r="E108" s="221"/>
      <c r="F108" s="221"/>
      <c r="G108" s="221"/>
      <c r="H108" s="221"/>
      <c r="I108" s="221"/>
      <c r="J108" s="221"/>
      <c r="K108" s="221"/>
      <c r="L108" s="221"/>
      <c r="M108" s="221"/>
      <c r="N108" s="221"/>
      <c r="O108" s="221"/>
      <c r="P108" s="51"/>
    </row>
    <row r="109" spans="2:16" x14ac:dyDescent="0.15">
      <c r="E109" s="221"/>
      <c r="F109" s="221"/>
      <c r="G109" s="221"/>
      <c r="H109" s="221"/>
      <c r="I109" s="221"/>
      <c r="J109" s="221"/>
      <c r="K109" s="221"/>
      <c r="L109" s="221"/>
      <c r="M109" s="221"/>
      <c r="N109" s="221"/>
      <c r="O109" s="221"/>
      <c r="P109" s="51"/>
    </row>
    <row r="110" spans="2:16" x14ac:dyDescent="0.15">
      <c r="E110" s="221"/>
      <c r="F110" s="221"/>
      <c r="G110" s="221"/>
      <c r="H110" s="221"/>
      <c r="I110" s="221"/>
      <c r="J110" s="221"/>
      <c r="K110" s="221"/>
      <c r="L110" s="221"/>
      <c r="M110" s="221"/>
      <c r="N110" s="221"/>
      <c r="O110" s="221"/>
      <c r="P110" s="51"/>
    </row>
    <row r="111" spans="2:16" x14ac:dyDescent="0.15">
      <c r="E111" s="221"/>
      <c r="F111" s="221"/>
      <c r="G111" s="221"/>
      <c r="H111" s="221"/>
      <c r="I111" s="221"/>
      <c r="J111" s="221"/>
      <c r="K111" s="221"/>
      <c r="L111" s="221"/>
      <c r="M111" s="221"/>
      <c r="N111" s="221"/>
      <c r="O111" s="221"/>
      <c r="P111" s="51"/>
    </row>
    <row r="112" spans="2:16" x14ac:dyDescent="0.15">
      <c r="E112" s="221"/>
      <c r="F112" s="221"/>
      <c r="G112" s="221"/>
      <c r="H112" s="221"/>
      <c r="I112" s="221"/>
      <c r="J112" s="221"/>
      <c r="K112" s="221"/>
      <c r="L112" s="221"/>
      <c r="M112" s="221"/>
      <c r="N112" s="221"/>
      <c r="O112" s="221"/>
      <c r="P112" s="51"/>
    </row>
    <row r="113" spans="2:16" x14ac:dyDescent="0.15">
      <c r="E113" s="221"/>
      <c r="F113" s="221"/>
      <c r="G113" s="221"/>
      <c r="H113" s="221"/>
      <c r="I113" s="221"/>
      <c r="J113" s="221"/>
      <c r="K113" s="221"/>
      <c r="L113" s="221"/>
      <c r="M113" s="221"/>
      <c r="N113" s="221"/>
      <c r="O113" s="221"/>
      <c r="P113" s="51"/>
    </row>
    <row r="114" spans="2:16" x14ac:dyDescent="0.15">
      <c r="E114" s="221"/>
      <c r="F114" s="221"/>
      <c r="G114" s="221"/>
      <c r="H114" s="221"/>
      <c r="I114" s="221"/>
      <c r="J114" s="221"/>
      <c r="K114" s="221"/>
      <c r="L114" s="221"/>
      <c r="M114" s="221"/>
      <c r="N114" s="221"/>
      <c r="O114" s="221"/>
      <c r="P114" s="51"/>
    </row>
    <row r="115" spans="2:16" x14ac:dyDescent="0.15">
      <c r="E115" s="221"/>
      <c r="F115" s="221"/>
      <c r="G115" s="221"/>
      <c r="H115" s="221"/>
      <c r="I115" s="221"/>
      <c r="J115" s="221"/>
      <c r="K115" s="221"/>
      <c r="L115" s="221"/>
      <c r="M115" s="221"/>
      <c r="N115" s="221"/>
      <c r="O115" s="221"/>
      <c r="P115" s="51"/>
    </row>
    <row r="116" spans="2:16" x14ac:dyDescent="0.15">
      <c r="E116" s="221"/>
      <c r="F116" s="221"/>
      <c r="G116" s="221"/>
      <c r="H116" s="221"/>
      <c r="I116" s="221"/>
      <c r="J116" s="221"/>
      <c r="K116" s="221"/>
      <c r="L116" s="221"/>
      <c r="M116" s="221"/>
      <c r="N116" s="221"/>
      <c r="O116" s="221"/>
      <c r="P116" s="51"/>
    </row>
    <row r="117" spans="2:16" x14ac:dyDescent="0.15">
      <c r="E117" s="221"/>
      <c r="F117" s="221"/>
      <c r="G117" s="221"/>
      <c r="H117" s="221"/>
      <c r="I117" s="221"/>
      <c r="J117" s="221"/>
      <c r="K117" s="221"/>
      <c r="L117" s="221"/>
      <c r="M117" s="221"/>
      <c r="N117" s="221"/>
      <c r="O117" s="221"/>
      <c r="P117" s="51"/>
    </row>
    <row r="118" spans="2:16" x14ac:dyDescent="0.15">
      <c r="E118" s="221"/>
      <c r="F118" s="221"/>
      <c r="G118" s="221"/>
      <c r="H118" s="221"/>
      <c r="I118" s="221"/>
      <c r="J118" s="221"/>
      <c r="K118" s="221"/>
      <c r="L118" s="221"/>
      <c r="M118" s="221"/>
      <c r="N118" s="221"/>
      <c r="O118" s="221"/>
      <c r="P118" s="51"/>
    </row>
    <row r="119" spans="2:16" x14ac:dyDescent="0.15">
      <c r="B119" s="76"/>
      <c r="C119" s="76"/>
      <c r="E119" s="221"/>
      <c r="F119" s="221"/>
      <c r="G119" s="221"/>
      <c r="H119" s="221"/>
      <c r="I119" s="221"/>
      <c r="J119" s="221"/>
      <c r="K119" s="221"/>
      <c r="L119" s="221"/>
      <c r="M119" s="221"/>
      <c r="N119" s="221"/>
      <c r="O119" s="221"/>
      <c r="P119" s="51"/>
    </row>
    <row r="120" spans="2:16" x14ac:dyDescent="0.15">
      <c r="E120" s="221"/>
      <c r="F120" s="221"/>
      <c r="G120" s="221"/>
      <c r="H120" s="221"/>
      <c r="I120" s="221"/>
      <c r="J120" s="221"/>
      <c r="K120" s="221"/>
      <c r="L120" s="221"/>
      <c r="M120" s="221"/>
      <c r="N120" s="221"/>
      <c r="O120" s="221"/>
      <c r="P120" s="51"/>
    </row>
    <row r="121" spans="2:16" x14ac:dyDescent="0.15">
      <c r="E121" s="221"/>
      <c r="F121" s="221"/>
      <c r="G121" s="221"/>
      <c r="H121" s="221"/>
      <c r="I121" s="221"/>
      <c r="J121" s="221"/>
      <c r="K121" s="221"/>
      <c r="L121" s="221"/>
      <c r="M121" s="221"/>
      <c r="N121" s="221"/>
      <c r="O121" s="221"/>
      <c r="P121" s="51"/>
    </row>
    <row r="122" spans="2:16" x14ac:dyDescent="0.15">
      <c r="E122" s="221"/>
      <c r="F122" s="221"/>
      <c r="G122" s="221"/>
      <c r="H122" s="221"/>
      <c r="I122" s="221"/>
      <c r="J122" s="221"/>
      <c r="K122" s="221"/>
      <c r="L122" s="221"/>
      <c r="M122" s="221"/>
      <c r="N122" s="221"/>
      <c r="O122" s="221"/>
      <c r="P122" s="51"/>
    </row>
    <row r="123" spans="2:16" x14ac:dyDescent="0.15">
      <c r="E123" s="221"/>
      <c r="F123" s="221"/>
      <c r="G123" s="221"/>
      <c r="H123" s="221"/>
      <c r="I123" s="221"/>
      <c r="J123" s="221"/>
      <c r="K123" s="221"/>
      <c r="L123" s="221"/>
      <c r="M123" s="221"/>
      <c r="N123" s="221"/>
      <c r="O123" s="221"/>
      <c r="P123" s="51"/>
    </row>
    <row r="124" spans="2:16" x14ac:dyDescent="0.15">
      <c r="B124" s="76"/>
      <c r="C124" s="76"/>
      <c r="E124" s="221"/>
      <c r="F124" s="221"/>
      <c r="G124" s="221"/>
      <c r="H124" s="221"/>
      <c r="I124" s="221"/>
      <c r="J124" s="221"/>
      <c r="K124" s="221"/>
      <c r="L124" s="221"/>
      <c r="M124" s="221"/>
      <c r="N124" s="221"/>
      <c r="O124" s="221"/>
      <c r="P124" s="51"/>
    </row>
    <row r="125" spans="2:16" x14ac:dyDescent="0.15">
      <c r="E125" s="221"/>
      <c r="F125" s="221"/>
      <c r="G125" s="221"/>
      <c r="H125" s="221"/>
      <c r="I125" s="221"/>
      <c r="J125" s="221"/>
      <c r="K125" s="221"/>
      <c r="L125" s="221"/>
      <c r="M125" s="221"/>
      <c r="N125" s="221"/>
      <c r="O125" s="221"/>
      <c r="P125" s="51"/>
    </row>
    <row r="126" spans="2:16" x14ac:dyDescent="0.15">
      <c r="E126" s="221"/>
      <c r="F126" s="221"/>
      <c r="G126" s="221"/>
      <c r="H126" s="221"/>
      <c r="I126" s="221"/>
      <c r="J126" s="221"/>
      <c r="K126" s="221"/>
      <c r="L126" s="221"/>
      <c r="M126" s="221"/>
      <c r="N126" s="221"/>
      <c r="O126" s="221"/>
      <c r="P126" s="51"/>
    </row>
    <row r="127" spans="2:16" x14ac:dyDescent="0.15">
      <c r="E127" s="221"/>
      <c r="F127" s="221"/>
      <c r="G127" s="221"/>
      <c r="H127" s="221"/>
      <c r="I127" s="221"/>
      <c r="J127" s="221"/>
      <c r="K127" s="221"/>
      <c r="L127" s="221"/>
      <c r="M127" s="221"/>
      <c r="N127" s="221"/>
      <c r="O127" s="221"/>
      <c r="P127" s="51"/>
    </row>
    <row r="128" spans="2:16" x14ac:dyDescent="0.15">
      <c r="B128" s="217"/>
      <c r="C128" s="217"/>
      <c r="E128" s="221"/>
      <c r="F128" s="221"/>
      <c r="G128" s="221"/>
      <c r="H128" s="221"/>
      <c r="I128" s="221"/>
      <c r="J128" s="221"/>
      <c r="K128" s="221"/>
      <c r="L128" s="221"/>
      <c r="M128" s="221"/>
      <c r="N128" s="221"/>
      <c r="O128" s="221"/>
      <c r="P128" s="51"/>
    </row>
    <row r="129" spans="2:16" x14ac:dyDescent="0.15">
      <c r="E129" s="221"/>
      <c r="F129" s="221"/>
      <c r="G129" s="221"/>
      <c r="H129" s="221"/>
      <c r="I129" s="221"/>
      <c r="J129" s="221"/>
      <c r="K129" s="221"/>
      <c r="L129" s="221"/>
      <c r="M129" s="221"/>
      <c r="N129" s="221"/>
      <c r="O129" s="221"/>
      <c r="P129" s="51"/>
    </row>
    <row r="130" spans="2:16" x14ac:dyDescent="0.15">
      <c r="E130" s="221"/>
      <c r="F130" s="221"/>
      <c r="G130" s="221"/>
      <c r="H130" s="221"/>
      <c r="I130" s="221"/>
      <c r="J130" s="221"/>
      <c r="K130" s="221"/>
      <c r="L130" s="221"/>
      <c r="M130" s="221"/>
      <c r="N130" s="221"/>
      <c r="O130" s="221"/>
      <c r="P130" s="51"/>
    </row>
    <row r="131" spans="2:16" x14ac:dyDescent="0.15">
      <c r="E131" s="221"/>
      <c r="F131" s="221"/>
      <c r="G131" s="221"/>
      <c r="H131" s="221"/>
      <c r="I131" s="221"/>
      <c r="J131" s="221"/>
      <c r="K131" s="221"/>
      <c r="L131" s="221"/>
      <c r="M131" s="221"/>
      <c r="N131" s="221"/>
      <c r="O131" s="221"/>
      <c r="P131" s="51"/>
    </row>
    <row r="132" spans="2:16" x14ac:dyDescent="0.15">
      <c r="B132" s="76"/>
      <c r="C132" s="76"/>
      <c r="E132" s="221"/>
      <c r="F132" s="221"/>
      <c r="G132" s="221"/>
      <c r="H132" s="221"/>
      <c r="I132" s="221"/>
      <c r="J132" s="221"/>
      <c r="K132" s="221"/>
      <c r="L132" s="221"/>
      <c r="M132" s="221"/>
      <c r="N132" s="221"/>
      <c r="O132" s="221"/>
      <c r="P132" s="51"/>
    </row>
    <row r="133" spans="2:16" x14ac:dyDescent="0.15">
      <c r="E133" s="221"/>
      <c r="F133" s="221"/>
      <c r="G133" s="221"/>
      <c r="H133" s="221"/>
      <c r="I133" s="221"/>
      <c r="J133" s="221"/>
      <c r="K133" s="221"/>
      <c r="L133" s="221"/>
      <c r="M133" s="221"/>
      <c r="N133" s="221"/>
      <c r="O133" s="221"/>
      <c r="P133" s="51"/>
    </row>
    <row r="134" spans="2:16" x14ac:dyDescent="0.15">
      <c r="E134" s="221"/>
      <c r="F134" s="221"/>
      <c r="G134" s="221"/>
      <c r="H134" s="221"/>
      <c r="I134" s="221"/>
      <c r="J134" s="221"/>
      <c r="K134" s="221"/>
      <c r="L134" s="221"/>
      <c r="M134" s="221"/>
      <c r="N134" s="221"/>
      <c r="O134" s="221"/>
      <c r="P134" s="51"/>
    </row>
    <row r="135" spans="2:16" x14ac:dyDescent="0.15">
      <c r="E135" s="221"/>
      <c r="F135" s="221"/>
      <c r="G135" s="221"/>
      <c r="H135" s="221"/>
      <c r="I135" s="221"/>
      <c r="J135" s="221"/>
      <c r="K135" s="221"/>
      <c r="L135" s="221"/>
      <c r="M135" s="221"/>
      <c r="N135" s="221"/>
      <c r="O135" s="221"/>
      <c r="P135" s="51"/>
    </row>
    <row r="136" spans="2:16" x14ac:dyDescent="0.15">
      <c r="E136" s="221"/>
      <c r="F136" s="221"/>
      <c r="G136" s="221"/>
      <c r="H136" s="221"/>
      <c r="I136" s="221"/>
      <c r="J136" s="221"/>
      <c r="K136" s="221"/>
      <c r="L136" s="221"/>
      <c r="M136" s="221"/>
      <c r="N136" s="221"/>
      <c r="O136" s="221"/>
      <c r="P136" s="51"/>
    </row>
    <row r="137" spans="2:16" x14ac:dyDescent="0.15">
      <c r="E137" s="221"/>
      <c r="F137" s="221"/>
      <c r="G137" s="221"/>
      <c r="H137" s="221"/>
      <c r="I137" s="221"/>
      <c r="J137" s="221"/>
      <c r="K137" s="221"/>
      <c r="L137" s="221"/>
      <c r="M137" s="221"/>
      <c r="N137" s="221"/>
      <c r="O137" s="221"/>
      <c r="P137" s="51"/>
    </row>
    <row r="138" spans="2:16" x14ac:dyDescent="0.15">
      <c r="E138" s="221"/>
      <c r="F138" s="221"/>
      <c r="G138" s="221"/>
      <c r="H138" s="221"/>
      <c r="I138" s="221"/>
      <c r="J138" s="221"/>
      <c r="K138" s="221"/>
      <c r="L138" s="221"/>
      <c r="M138" s="221"/>
      <c r="N138" s="221"/>
      <c r="O138" s="221"/>
      <c r="P138" s="51"/>
    </row>
    <row r="139" spans="2:16" x14ac:dyDescent="0.15">
      <c r="E139" s="221"/>
      <c r="F139" s="221"/>
      <c r="G139" s="221"/>
      <c r="H139" s="221"/>
      <c r="I139" s="221"/>
      <c r="J139" s="221"/>
      <c r="K139" s="221"/>
      <c r="L139" s="221"/>
      <c r="M139" s="221"/>
      <c r="N139" s="221"/>
      <c r="O139" s="221"/>
      <c r="P139" s="51"/>
    </row>
    <row r="140" spans="2:16" x14ac:dyDescent="0.15">
      <c r="E140" s="221"/>
      <c r="F140" s="221"/>
      <c r="G140" s="221"/>
      <c r="H140" s="221"/>
      <c r="I140" s="221"/>
      <c r="J140" s="221"/>
      <c r="K140" s="221"/>
      <c r="L140" s="221"/>
      <c r="M140" s="221"/>
      <c r="N140" s="221"/>
      <c r="O140" s="221"/>
      <c r="P140" s="51"/>
    </row>
    <row r="141" spans="2:16" x14ac:dyDescent="0.15">
      <c r="E141" s="221"/>
      <c r="F141" s="221"/>
      <c r="G141" s="221"/>
      <c r="H141" s="221"/>
      <c r="I141" s="221"/>
      <c r="J141" s="221"/>
      <c r="K141" s="221"/>
      <c r="L141" s="221"/>
      <c r="M141" s="221"/>
      <c r="N141" s="221"/>
      <c r="O141" s="221"/>
      <c r="P141" s="51"/>
    </row>
    <row r="142" spans="2:16" x14ac:dyDescent="0.15">
      <c r="E142" s="221"/>
      <c r="F142" s="221"/>
      <c r="G142" s="221"/>
      <c r="H142" s="221"/>
      <c r="I142" s="221"/>
      <c r="J142" s="221"/>
      <c r="K142" s="221"/>
      <c r="L142" s="221"/>
      <c r="M142" s="221"/>
      <c r="N142" s="221"/>
      <c r="O142" s="221"/>
      <c r="P142" s="51"/>
    </row>
    <row r="143" spans="2:16" x14ac:dyDescent="0.15">
      <c r="E143" s="221"/>
      <c r="F143" s="221"/>
      <c r="G143" s="221"/>
      <c r="H143" s="221"/>
      <c r="I143" s="221"/>
      <c r="J143" s="221"/>
      <c r="K143" s="221"/>
      <c r="L143" s="221"/>
      <c r="M143" s="221"/>
      <c r="N143" s="221"/>
      <c r="O143" s="221"/>
      <c r="P143" s="51"/>
    </row>
    <row r="144" spans="2:16" x14ac:dyDescent="0.15">
      <c r="E144" s="221"/>
      <c r="F144" s="221"/>
      <c r="G144" s="221"/>
      <c r="H144" s="221"/>
      <c r="I144" s="221"/>
      <c r="J144" s="221"/>
      <c r="K144" s="221"/>
      <c r="L144" s="221"/>
      <c r="M144" s="221"/>
      <c r="N144" s="221"/>
      <c r="O144" s="221"/>
      <c r="P144" s="51"/>
    </row>
    <row r="145" spans="2:16" x14ac:dyDescent="0.15">
      <c r="E145" s="221"/>
      <c r="F145" s="221"/>
      <c r="G145" s="221"/>
      <c r="H145" s="221"/>
      <c r="I145" s="221"/>
      <c r="J145" s="221"/>
      <c r="K145" s="221"/>
      <c r="L145" s="221"/>
      <c r="M145" s="221"/>
      <c r="N145" s="221"/>
      <c r="O145" s="221"/>
      <c r="P145" s="51"/>
    </row>
    <row r="146" spans="2:16" x14ac:dyDescent="0.15">
      <c r="B146" s="218"/>
      <c r="C146" s="218"/>
      <c r="E146" s="221"/>
      <c r="F146" s="221"/>
      <c r="G146" s="221"/>
      <c r="H146" s="221"/>
      <c r="I146" s="221"/>
      <c r="J146" s="221"/>
      <c r="K146" s="221"/>
      <c r="L146" s="221"/>
      <c r="M146" s="221"/>
      <c r="N146" s="221"/>
      <c r="O146" s="221"/>
      <c r="P146" s="51"/>
    </row>
    <row r="147" spans="2:16" x14ac:dyDescent="0.15">
      <c r="E147" s="221"/>
      <c r="F147" s="221"/>
      <c r="G147" s="221"/>
      <c r="H147" s="221"/>
      <c r="I147" s="221"/>
      <c r="J147" s="221"/>
      <c r="K147" s="221"/>
      <c r="L147" s="221"/>
      <c r="M147" s="221"/>
      <c r="N147" s="221"/>
      <c r="O147" s="221"/>
      <c r="P147" s="51"/>
    </row>
    <row r="148" spans="2:16" x14ac:dyDescent="0.15">
      <c r="E148" s="221"/>
      <c r="F148" s="221"/>
      <c r="G148" s="221"/>
      <c r="H148" s="221"/>
      <c r="I148" s="221"/>
      <c r="J148" s="221"/>
      <c r="K148" s="221"/>
      <c r="L148" s="221"/>
      <c r="M148" s="221"/>
      <c r="N148" s="221"/>
      <c r="O148" s="221"/>
      <c r="P148" s="51"/>
    </row>
    <row r="149" spans="2:16" x14ac:dyDescent="0.15">
      <c r="E149" s="221"/>
      <c r="F149" s="221"/>
      <c r="G149" s="221"/>
      <c r="H149" s="221"/>
      <c r="I149" s="221"/>
      <c r="J149" s="221"/>
      <c r="K149" s="221"/>
      <c r="L149" s="221"/>
      <c r="M149" s="221"/>
      <c r="N149" s="221"/>
      <c r="O149" s="221"/>
      <c r="P149" s="51"/>
    </row>
    <row r="150" spans="2:16" x14ac:dyDescent="0.15">
      <c r="E150" s="221"/>
      <c r="F150" s="221"/>
      <c r="G150" s="221"/>
      <c r="H150" s="221"/>
      <c r="I150" s="221"/>
      <c r="J150" s="221"/>
      <c r="K150" s="221"/>
      <c r="L150" s="221"/>
      <c r="M150" s="221"/>
      <c r="N150" s="221"/>
      <c r="O150" s="221"/>
      <c r="P150" s="51"/>
    </row>
    <row r="151" spans="2:16" x14ac:dyDescent="0.15">
      <c r="E151" s="221"/>
      <c r="F151" s="221"/>
      <c r="G151" s="221"/>
      <c r="H151" s="221"/>
      <c r="I151" s="221"/>
      <c r="J151" s="221"/>
      <c r="K151" s="221"/>
      <c r="L151" s="221"/>
      <c r="M151" s="221"/>
      <c r="N151" s="221"/>
      <c r="O151" s="221"/>
      <c r="P151" s="51"/>
    </row>
    <row r="152" spans="2:16" x14ac:dyDescent="0.15">
      <c r="E152" s="221"/>
      <c r="F152" s="221"/>
      <c r="G152" s="221"/>
      <c r="H152" s="221"/>
      <c r="I152" s="221"/>
      <c r="J152" s="221"/>
      <c r="K152" s="221"/>
      <c r="L152" s="221"/>
      <c r="M152" s="221"/>
      <c r="N152" s="221"/>
      <c r="O152" s="221"/>
      <c r="P152" s="51"/>
    </row>
    <row r="153" spans="2:16" x14ac:dyDescent="0.15">
      <c r="E153" s="221"/>
      <c r="F153" s="221"/>
      <c r="G153" s="221"/>
      <c r="H153" s="221"/>
      <c r="I153" s="221"/>
      <c r="J153" s="221"/>
      <c r="K153" s="221"/>
      <c r="L153" s="221"/>
      <c r="M153" s="221"/>
      <c r="N153" s="221"/>
      <c r="O153" s="221"/>
      <c r="P153" s="51"/>
    </row>
    <row r="154" spans="2:16" x14ac:dyDescent="0.15">
      <c r="E154" s="221"/>
      <c r="F154" s="221"/>
      <c r="G154" s="221"/>
      <c r="H154" s="221"/>
      <c r="I154" s="221"/>
      <c r="J154" s="221"/>
      <c r="K154" s="221"/>
      <c r="L154" s="221"/>
      <c r="M154" s="221"/>
      <c r="N154" s="221"/>
      <c r="O154" s="221"/>
      <c r="P154" s="51"/>
    </row>
    <row r="155" spans="2:16" x14ac:dyDescent="0.15">
      <c r="E155" s="221"/>
      <c r="F155" s="221"/>
      <c r="G155" s="221"/>
      <c r="H155" s="221"/>
      <c r="I155" s="221"/>
      <c r="J155" s="221"/>
      <c r="K155" s="221"/>
      <c r="L155" s="221"/>
      <c r="M155" s="221"/>
      <c r="N155" s="221"/>
      <c r="O155" s="221"/>
      <c r="P155" s="51"/>
    </row>
    <row r="156" spans="2:16" x14ac:dyDescent="0.15">
      <c r="E156" s="221"/>
      <c r="F156" s="221"/>
      <c r="G156" s="221"/>
      <c r="H156" s="221"/>
      <c r="I156" s="221"/>
      <c r="J156" s="221"/>
      <c r="K156" s="221"/>
      <c r="L156" s="221"/>
      <c r="M156" s="221"/>
      <c r="N156" s="221"/>
      <c r="O156" s="221"/>
      <c r="P156" s="51"/>
    </row>
    <row r="157" spans="2:16" x14ac:dyDescent="0.15">
      <c r="B157" s="76"/>
      <c r="C157" s="76"/>
      <c r="E157" s="221"/>
      <c r="F157" s="221"/>
      <c r="G157" s="221"/>
      <c r="H157" s="221"/>
      <c r="I157" s="221"/>
      <c r="J157" s="221"/>
      <c r="K157" s="221"/>
      <c r="L157" s="221"/>
      <c r="M157" s="221"/>
      <c r="N157" s="221"/>
      <c r="O157" s="221"/>
      <c r="P157" s="51"/>
    </row>
    <row r="158" spans="2:16" x14ac:dyDescent="0.15">
      <c r="E158" s="221"/>
      <c r="F158" s="221"/>
      <c r="G158" s="221"/>
      <c r="H158" s="221"/>
      <c r="I158" s="221"/>
      <c r="J158" s="221"/>
      <c r="K158" s="221"/>
      <c r="L158" s="221"/>
      <c r="M158" s="221"/>
      <c r="N158" s="221"/>
      <c r="O158" s="221"/>
      <c r="P158" s="51"/>
    </row>
    <row r="159" spans="2:16" x14ac:dyDescent="0.15">
      <c r="E159" s="221"/>
      <c r="F159" s="221"/>
      <c r="G159" s="221"/>
      <c r="H159" s="221"/>
      <c r="I159" s="221"/>
      <c r="J159" s="221"/>
      <c r="K159" s="221"/>
      <c r="L159" s="221"/>
      <c r="M159" s="221"/>
      <c r="N159" s="221"/>
      <c r="O159" s="221"/>
      <c r="P159" s="51"/>
    </row>
    <row r="160" spans="2:16" x14ac:dyDescent="0.15">
      <c r="E160" s="221"/>
      <c r="F160" s="221"/>
      <c r="G160" s="221"/>
      <c r="H160" s="221"/>
      <c r="I160" s="221"/>
      <c r="J160" s="221"/>
      <c r="K160" s="221"/>
      <c r="L160" s="221"/>
      <c r="M160" s="221"/>
      <c r="N160" s="221"/>
      <c r="O160" s="221"/>
      <c r="P160" s="51"/>
    </row>
    <row r="161" spans="5:16" x14ac:dyDescent="0.15">
      <c r="E161" s="221"/>
      <c r="F161" s="221"/>
      <c r="G161" s="221"/>
      <c r="H161" s="221"/>
      <c r="I161" s="221"/>
      <c r="J161" s="221"/>
      <c r="K161" s="221"/>
      <c r="L161" s="221"/>
      <c r="M161" s="221"/>
      <c r="N161" s="221"/>
      <c r="O161" s="221"/>
      <c r="P161" s="51"/>
    </row>
    <row r="162" spans="5:16" x14ac:dyDescent="0.15">
      <c r="E162" s="221"/>
      <c r="F162" s="221"/>
      <c r="G162" s="221"/>
      <c r="H162" s="221"/>
      <c r="I162" s="221"/>
      <c r="J162" s="221"/>
      <c r="K162" s="221"/>
      <c r="L162" s="221"/>
      <c r="M162" s="221"/>
      <c r="N162" s="221"/>
      <c r="O162" s="221"/>
      <c r="P162" s="51"/>
    </row>
    <row r="163" spans="5:16" x14ac:dyDescent="0.15">
      <c r="E163" s="221"/>
      <c r="F163" s="221"/>
      <c r="G163" s="221"/>
      <c r="H163" s="221"/>
      <c r="I163" s="221"/>
      <c r="J163" s="221"/>
      <c r="K163" s="221"/>
      <c r="L163" s="221"/>
      <c r="M163" s="221"/>
      <c r="N163" s="221"/>
      <c r="O163" s="221"/>
      <c r="P163" s="51"/>
    </row>
    <row r="164" spans="5:16" x14ac:dyDescent="0.15">
      <c r="E164" s="221"/>
      <c r="F164" s="221"/>
      <c r="G164" s="221"/>
      <c r="H164" s="221"/>
      <c r="I164" s="221"/>
      <c r="J164" s="221"/>
      <c r="K164" s="221"/>
      <c r="L164" s="221"/>
      <c r="M164" s="221"/>
      <c r="N164" s="221"/>
      <c r="O164" s="221"/>
      <c r="P164" s="51"/>
    </row>
    <row r="165" spans="5:16" x14ac:dyDescent="0.15">
      <c r="E165" s="221"/>
      <c r="F165" s="221"/>
      <c r="G165" s="221"/>
      <c r="H165" s="221"/>
      <c r="I165" s="221"/>
      <c r="J165" s="221"/>
      <c r="K165" s="221"/>
      <c r="L165" s="221"/>
      <c r="M165" s="221"/>
      <c r="N165" s="221"/>
      <c r="O165" s="221"/>
      <c r="P165" s="51"/>
    </row>
    <row r="166" spans="5:16" x14ac:dyDescent="0.15">
      <c r="E166" s="221"/>
      <c r="F166" s="221"/>
      <c r="G166" s="221"/>
      <c r="H166" s="221"/>
      <c r="I166" s="221"/>
      <c r="J166" s="221"/>
      <c r="K166" s="221"/>
      <c r="L166" s="221"/>
      <c r="M166" s="221"/>
      <c r="N166" s="221"/>
      <c r="O166" s="221"/>
      <c r="P166" s="51"/>
    </row>
    <row r="167" spans="5:16" x14ac:dyDescent="0.15">
      <c r="E167" s="221"/>
      <c r="F167" s="221"/>
      <c r="G167" s="221"/>
      <c r="H167" s="221"/>
      <c r="I167" s="221"/>
      <c r="J167" s="221"/>
      <c r="K167" s="221"/>
      <c r="L167" s="221"/>
      <c r="M167" s="221"/>
      <c r="N167" s="221"/>
      <c r="O167" s="221"/>
      <c r="P167" s="51"/>
    </row>
    <row r="168" spans="5:16" x14ac:dyDescent="0.15">
      <c r="E168" s="221"/>
      <c r="F168" s="221"/>
      <c r="G168" s="221"/>
      <c r="H168" s="221"/>
      <c r="I168" s="221"/>
      <c r="J168" s="221"/>
      <c r="K168" s="221"/>
      <c r="L168" s="221"/>
      <c r="M168" s="221"/>
      <c r="N168" s="221"/>
      <c r="O168" s="221"/>
      <c r="P168" s="51"/>
    </row>
    <row r="169" spans="5:16" x14ac:dyDescent="0.15">
      <c r="E169" s="221"/>
      <c r="F169" s="221"/>
      <c r="G169" s="221"/>
      <c r="H169" s="221"/>
      <c r="I169" s="221"/>
      <c r="J169" s="221"/>
      <c r="K169" s="221"/>
      <c r="L169" s="221"/>
      <c r="M169" s="221"/>
      <c r="N169" s="221"/>
      <c r="O169" s="221"/>
      <c r="P169" s="51"/>
    </row>
    <row r="170" spans="5:16" x14ac:dyDescent="0.15">
      <c r="E170" s="221"/>
      <c r="F170" s="221"/>
      <c r="G170" s="221"/>
      <c r="H170" s="221"/>
      <c r="I170" s="221"/>
      <c r="J170" s="221"/>
      <c r="K170" s="221"/>
      <c r="L170" s="221"/>
      <c r="M170" s="221"/>
      <c r="N170" s="221"/>
      <c r="O170" s="221"/>
      <c r="P170" s="51"/>
    </row>
    <row r="171" spans="5:16" x14ac:dyDescent="0.15">
      <c r="E171" s="221"/>
      <c r="F171" s="221"/>
      <c r="G171" s="221"/>
      <c r="H171" s="221"/>
      <c r="I171" s="221"/>
      <c r="J171" s="221"/>
      <c r="K171" s="221"/>
      <c r="L171" s="221"/>
      <c r="M171" s="221"/>
      <c r="N171" s="221"/>
      <c r="O171" s="221"/>
      <c r="P171" s="51"/>
    </row>
    <row r="172" spans="5:16" x14ac:dyDescent="0.15">
      <c r="E172" s="221"/>
      <c r="F172" s="221"/>
      <c r="G172" s="221"/>
      <c r="H172" s="221"/>
      <c r="I172" s="221"/>
      <c r="J172" s="221"/>
      <c r="K172" s="221"/>
      <c r="L172" s="221"/>
      <c r="M172" s="221"/>
      <c r="N172" s="221"/>
      <c r="O172" s="221"/>
      <c r="P172" s="51"/>
    </row>
    <row r="173" spans="5:16" x14ac:dyDescent="0.15">
      <c r="E173" s="221"/>
      <c r="F173" s="221"/>
      <c r="G173" s="221"/>
      <c r="H173" s="221"/>
      <c r="I173" s="221"/>
      <c r="J173" s="221"/>
      <c r="K173" s="221"/>
      <c r="L173" s="221"/>
      <c r="M173" s="221"/>
      <c r="N173" s="221"/>
      <c r="O173" s="221"/>
      <c r="P173" s="51"/>
    </row>
    <row r="174" spans="5:16" x14ac:dyDescent="0.15">
      <c r="E174" s="221"/>
      <c r="F174" s="221"/>
      <c r="G174" s="221"/>
      <c r="H174" s="221"/>
      <c r="I174" s="221"/>
      <c r="J174" s="221"/>
      <c r="K174" s="221"/>
      <c r="L174" s="221"/>
      <c r="M174" s="221"/>
      <c r="N174" s="221"/>
      <c r="O174" s="221"/>
      <c r="P174" s="51"/>
    </row>
    <row r="175" spans="5:16" x14ac:dyDescent="0.15">
      <c r="E175" s="221"/>
      <c r="F175" s="221"/>
      <c r="G175" s="221"/>
      <c r="H175" s="221"/>
      <c r="I175" s="221"/>
      <c r="J175" s="221"/>
      <c r="K175" s="221"/>
      <c r="L175" s="221"/>
      <c r="M175" s="221"/>
      <c r="N175" s="221"/>
      <c r="O175" s="221"/>
      <c r="P175" s="51"/>
    </row>
    <row r="176" spans="5:16" x14ac:dyDescent="0.15">
      <c r="E176" s="221"/>
      <c r="F176" s="221"/>
      <c r="G176" s="221"/>
      <c r="H176" s="221"/>
      <c r="I176" s="221"/>
      <c r="J176" s="221"/>
      <c r="K176" s="221"/>
      <c r="L176" s="221"/>
      <c r="M176" s="221"/>
      <c r="N176" s="221"/>
      <c r="O176" s="221"/>
      <c r="P176" s="51"/>
    </row>
    <row r="177" spans="2:16" x14ac:dyDescent="0.15">
      <c r="E177" s="221"/>
      <c r="F177" s="221"/>
      <c r="G177" s="221"/>
      <c r="H177" s="221"/>
      <c r="I177" s="221"/>
      <c r="J177" s="221"/>
      <c r="K177" s="221"/>
      <c r="L177" s="221"/>
      <c r="M177" s="221"/>
      <c r="N177" s="221"/>
      <c r="O177" s="221"/>
      <c r="P177" s="51"/>
    </row>
    <row r="178" spans="2:16" x14ac:dyDescent="0.15">
      <c r="E178" s="221"/>
      <c r="F178" s="221"/>
      <c r="G178" s="221"/>
      <c r="H178" s="221"/>
      <c r="I178" s="221"/>
      <c r="J178" s="221"/>
      <c r="K178" s="221"/>
      <c r="L178" s="221"/>
      <c r="M178" s="221"/>
      <c r="N178" s="221"/>
      <c r="O178" s="221"/>
      <c r="P178" s="51"/>
    </row>
    <row r="179" spans="2:16" x14ac:dyDescent="0.15">
      <c r="B179" s="76"/>
      <c r="C179" s="76"/>
      <c r="E179" s="221"/>
      <c r="F179" s="221"/>
      <c r="G179" s="221"/>
      <c r="H179" s="221"/>
      <c r="I179" s="221"/>
      <c r="J179" s="221"/>
      <c r="K179" s="221"/>
      <c r="L179" s="221"/>
      <c r="M179" s="221"/>
      <c r="N179" s="221"/>
      <c r="O179" s="221"/>
      <c r="P179" s="51"/>
    </row>
    <row r="180" spans="2:16" x14ac:dyDescent="0.15">
      <c r="E180" s="221"/>
      <c r="F180" s="221"/>
      <c r="G180" s="221"/>
      <c r="H180" s="221"/>
      <c r="I180" s="221"/>
      <c r="J180" s="221"/>
      <c r="K180" s="221"/>
      <c r="L180" s="221"/>
      <c r="M180" s="221"/>
      <c r="N180" s="221"/>
      <c r="O180" s="221"/>
      <c r="P180" s="51"/>
    </row>
    <row r="181" spans="2:16" x14ac:dyDescent="0.15">
      <c r="E181" s="221"/>
      <c r="F181" s="221"/>
      <c r="G181" s="221"/>
      <c r="H181" s="221"/>
      <c r="I181" s="221"/>
      <c r="J181" s="221"/>
      <c r="K181" s="221"/>
      <c r="L181" s="221"/>
      <c r="M181" s="221"/>
      <c r="N181" s="221"/>
      <c r="O181" s="221"/>
      <c r="P181" s="51"/>
    </row>
    <row r="182" spans="2:16" x14ac:dyDescent="0.15">
      <c r="E182" s="221"/>
      <c r="F182" s="221"/>
      <c r="G182" s="221"/>
      <c r="H182" s="221"/>
      <c r="I182" s="221"/>
      <c r="J182" s="221"/>
      <c r="K182" s="221"/>
      <c r="L182" s="221"/>
      <c r="M182" s="221"/>
      <c r="N182" s="221"/>
      <c r="O182" s="221"/>
      <c r="P182" s="51"/>
    </row>
    <row r="183" spans="2:16" x14ac:dyDescent="0.15">
      <c r="E183" s="221"/>
      <c r="F183" s="221"/>
      <c r="G183" s="221"/>
      <c r="H183" s="221"/>
      <c r="I183" s="221"/>
      <c r="J183" s="221"/>
      <c r="K183" s="221"/>
      <c r="L183" s="221"/>
      <c r="M183" s="221"/>
      <c r="N183" s="221"/>
      <c r="O183" s="221"/>
      <c r="P183" s="51"/>
    </row>
    <row r="184" spans="2:16" x14ac:dyDescent="0.15">
      <c r="E184" s="221"/>
      <c r="F184" s="221"/>
      <c r="G184" s="221"/>
      <c r="H184" s="221"/>
      <c r="I184" s="221"/>
      <c r="J184" s="221"/>
      <c r="K184" s="221"/>
      <c r="L184" s="221"/>
      <c r="M184" s="221"/>
      <c r="N184" s="221"/>
      <c r="O184" s="221"/>
      <c r="P184" s="51"/>
    </row>
    <row r="185" spans="2:16" x14ac:dyDescent="0.15">
      <c r="E185" s="221"/>
      <c r="F185" s="221"/>
      <c r="G185" s="221"/>
      <c r="H185" s="221"/>
      <c r="I185" s="221"/>
      <c r="J185" s="221"/>
      <c r="K185" s="221"/>
      <c r="L185" s="221"/>
      <c r="M185" s="221"/>
      <c r="N185" s="221"/>
      <c r="O185" s="221"/>
      <c r="P185" s="51"/>
    </row>
    <row r="186" spans="2:16" x14ac:dyDescent="0.15">
      <c r="E186" s="221"/>
      <c r="F186" s="221"/>
      <c r="G186" s="221"/>
      <c r="H186" s="221"/>
      <c r="I186" s="221"/>
      <c r="J186" s="221"/>
      <c r="K186" s="221"/>
      <c r="L186" s="221"/>
      <c r="M186" s="221"/>
      <c r="N186" s="221"/>
      <c r="O186" s="221"/>
      <c r="P186" s="51"/>
    </row>
    <row r="187" spans="2:16" x14ac:dyDescent="0.15">
      <c r="E187" s="221"/>
      <c r="F187" s="221"/>
      <c r="G187" s="221"/>
      <c r="H187" s="221"/>
      <c r="I187" s="221"/>
      <c r="J187" s="221"/>
      <c r="K187" s="221"/>
      <c r="L187" s="221"/>
      <c r="M187" s="221"/>
      <c r="N187" s="221"/>
      <c r="O187" s="221"/>
      <c r="P187" s="51"/>
    </row>
    <row r="188" spans="2:16" x14ac:dyDescent="0.15">
      <c r="E188" s="221"/>
      <c r="F188" s="221"/>
      <c r="G188" s="221"/>
      <c r="H188" s="221"/>
      <c r="I188" s="221"/>
      <c r="J188" s="221"/>
      <c r="K188" s="221"/>
      <c r="L188" s="221"/>
      <c r="M188" s="221"/>
      <c r="N188" s="221"/>
      <c r="O188" s="221"/>
      <c r="P188" s="51"/>
    </row>
    <row r="189" spans="2:16" x14ac:dyDescent="0.15">
      <c r="E189" s="221"/>
      <c r="F189" s="221"/>
      <c r="G189" s="221"/>
      <c r="H189" s="221"/>
      <c r="I189" s="221"/>
      <c r="J189" s="221"/>
      <c r="K189" s="221"/>
      <c r="L189" s="221"/>
      <c r="M189" s="221"/>
      <c r="N189" s="221"/>
      <c r="O189" s="221"/>
      <c r="P189" s="51"/>
    </row>
    <row r="190" spans="2:16" x14ac:dyDescent="0.15">
      <c r="E190" s="221"/>
      <c r="F190" s="221"/>
      <c r="G190" s="221"/>
      <c r="H190" s="221"/>
      <c r="I190" s="221"/>
      <c r="J190" s="221"/>
      <c r="K190" s="221"/>
      <c r="L190" s="221"/>
      <c r="M190" s="221"/>
      <c r="N190" s="221"/>
      <c r="O190" s="221"/>
      <c r="P190" s="51"/>
    </row>
    <row r="191" spans="2:16" x14ac:dyDescent="0.15">
      <c r="E191" s="221"/>
      <c r="F191" s="221"/>
      <c r="G191" s="221"/>
      <c r="H191" s="221"/>
      <c r="I191" s="221"/>
      <c r="J191" s="221"/>
      <c r="K191" s="221"/>
      <c r="L191" s="221"/>
      <c r="M191" s="221"/>
      <c r="N191" s="221"/>
      <c r="O191" s="221"/>
      <c r="P191" s="51"/>
    </row>
    <row r="192" spans="2:16" x14ac:dyDescent="0.15">
      <c r="E192" s="221"/>
      <c r="F192" s="221"/>
      <c r="G192" s="221"/>
      <c r="H192" s="221"/>
      <c r="I192" s="221"/>
      <c r="J192" s="221"/>
      <c r="K192" s="221"/>
      <c r="L192" s="221"/>
      <c r="M192" s="221"/>
      <c r="N192" s="221"/>
      <c r="O192" s="221"/>
      <c r="P192" s="51"/>
    </row>
    <row r="193" spans="5:16" x14ac:dyDescent="0.15">
      <c r="E193" s="221"/>
      <c r="F193" s="221"/>
      <c r="G193" s="221"/>
      <c r="H193" s="221"/>
      <c r="I193" s="221"/>
      <c r="J193" s="221"/>
      <c r="K193" s="221"/>
      <c r="L193" s="221"/>
      <c r="M193" s="221"/>
      <c r="N193" s="221"/>
      <c r="O193" s="221"/>
      <c r="P193" s="51"/>
    </row>
    <row r="194" spans="5:16" x14ac:dyDescent="0.15">
      <c r="E194" s="221"/>
      <c r="F194" s="221"/>
      <c r="G194" s="221"/>
      <c r="H194" s="221"/>
      <c r="I194" s="221"/>
      <c r="J194" s="221"/>
      <c r="K194" s="221"/>
      <c r="L194" s="221"/>
      <c r="M194" s="221"/>
      <c r="N194" s="221"/>
      <c r="O194" s="221"/>
      <c r="P194" s="51"/>
    </row>
    <row r="195" spans="5:16" x14ac:dyDescent="0.15">
      <c r="E195" s="221"/>
      <c r="F195" s="221"/>
      <c r="G195" s="221"/>
      <c r="H195" s="221"/>
      <c r="I195" s="221"/>
      <c r="J195" s="221"/>
      <c r="K195" s="221"/>
      <c r="L195" s="221"/>
      <c r="M195" s="221"/>
      <c r="N195" s="221"/>
      <c r="O195" s="221"/>
      <c r="P195" s="51"/>
    </row>
    <row r="196" spans="5:16" x14ac:dyDescent="0.15">
      <c r="E196" s="221"/>
      <c r="F196" s="221"/>
      <c r="G196" s="221"/>
      <c r="H196" s="221"/>
      <c r="I196" s="221"/>
      <c r="J196" s="221"/>
      <c r="K196" s="221"/>
      <c r="L196" s="221"/>
      <c r="M196" s="221"/>
      <c r="N196" s="221"/>
      <c r="O196" s="221"/>
      <c r="P196" s="51"/>
    </row>
    <row r="197" spans="5:16" x14ac:dyDescent="0.15">
      <c r="E197" s="221"/>
      <c r="F197" s="221"/>
      <c r="G197" s="221"/>
      <c r="H197" s="221"/>
      <c r="I197" s="221"/>
      <c r="J197" s="221"/>
      <c r="K197" s="221"/>
      <c r="L197" s="221"/>
      <c r="M197" s="221"/>
      <c r="N197" s="221"/>
      <c r="O197" s="221"/>
      <c r="P197" s="51"/>
    </row>
    <row r="198" spans="5:16" x14ac:dyDescent="0.15">
      <c r="E198" s="221"/>
      <c r="F198" s="221"/>
      <c r="G198" s="221"/>
      <c r="H198" s="221"/>
      <c r="I198" s="221"/>
      <c r="J198" s="221"/>
      <c r="K198" s="221"/>
      <c r="L198" s="221"/>
      <c r="M198" s="221"/>
      <c r="N198" s="221"/>
      <c r="O198" s="221"/>
      <c r="P198" s="51"/>
    </row>
    <row r="199" spans="5:16" x14ac:dyDescent="0.15">
      <c r="E199" s="221"/>
      <c r="F199" s="221"/>
      <c r="G199" s="221"/>
      <c r="H199" s="221"/>
      <c r="I199" s="221"/>
      <c r="J199" s="221"/>
      <c r="K199" s="221"/>
      <c r="L199" s="221"/>
      <c r="M199" s="221"/>
      <c r="N199" s="221"/>
      <c r="O199" s="221"/>
      <c r="P199" s="51"/>
    </row>
    <row r="200" spans="5:16" x14ac:dyDescent="0.15">
      <c r="E200" s="221"/>
      <c r="F200" s="221"/>
      <c r="G200" s="221"/>
      <c r="H200" s="221"/>
      <c r="I200" s="221"/>
      <c r="J200" s="221"/>
      <c r="K200" s="221"/>
      <c r="L200" s="221"/>
      <c r="M200" s="221"/>
      <c r="N200" s="221"/>
      <c r="O200" s="221"/>
      <c r="P200" s="51"/>
    </row>
    <row r="201" spans="5:16" x14ac:dyDescent="0.15">
      <c r="E201" s="221"/>
      <c r="F201" s="221"/>
      <c r="G201" s="221"/>
      <c r="H201" s="221"/>
      <c r="I201" s="221"/>
      <c r="J201" s="221"/>
      <c r="K201" s="221"/>
      <c r="L201" s="221"/>
      <c r="M201" s="221"/>
      <c r="N201" s="221"/>
      <c r="O201" s="221"/>
      <c r="P201" s="51"/>
    </row>
    <row r="202" spans="5:16" x14ac:dyDescent="0.15">
      <c r="E202" s="221"/>
      <c r="F202" s="221"/>
      <c r="G202" s="221"/>
      <c r="H202" s="221"/>
      <c r="I202" s="221"/>
      <c r="J202" s="221"/>
      <c r="K202" s="221"/>
      <c r="L202" s="221"/>
      <c r="M202" s="221"/>
      <c r="N202" s="221"/>
      <c r="O202" s="221"/>
      <c r="P202" s="51"/>
    </row>
    <row r="203" spans="5:16" x14ac:dyDescent="0.15">
      <c r="E203" s="221"/>
      <c r="F203" s="221"/>
      <c r="G203" s="221"/>
      <c r="H203" s="221"/>
      <c r="I203" s="221"/>
      <c r="J203" s="221"/>
      <c r="K203" s="221"/>
      <c r="L203" s="221"/>
      <c r="M203" s="221"/>
      <c r="N203" s="221"/>
      <c r="O203" s="221"/>
      <c r="P203" s="51"/>
    </row>
    <row r="204" spans="5:16" x14ac:dyDescent="0.15">
      <c r="E204" s="221"/>
      <c r="F204" s="221"/>
      <c r="G204" s="221"/>
      <c r="H204" s="221"/>
      <c r="I204" s="221"/>
      <c r="J204" s="221"/>
      <c r="K204" s="221"/>
      <c r="L204" s="221"/>
      <c r="M204" s="221"/>
      <c r="N204" s="221"/>
      <c r="O204" s="221"/>
      <c r="P204" s="51"/>
    </row>
    <row r="205" spans="5:16" x14ac:dyDescent="0.15">
      <c r="E205" s="221"/>
      <c r="F205" s="221"/>
      <c r="G205" s="221"/>
      <c r="H205" s="221"/>
      <c r="I205" s="221"/>
      <c r="J205" s="221"/>
      <c r="K205" s="221"/>
      <c r="L205" s="221"/>
      <c r="M205" s="221"/>
      <c r="N205" s="221"/>
      <c r="O205" s="221"/>
      <c r="P205" s="51"/>
    </row>
    <row r="206" spans="5:16" x14ac:dyDescent="0.15">
      <c r="E206" s="221"/>
      <c r="F206" s="221"/>
      <c r="G206" s="221"/>
      <c r="H206" s="221"/>
      <c r="I206" s="221"/>
      <c r="J206" s="221"/>
      <c r="K206" s="221"/>
      <c r="L206" s="221"/>
      <c r="M206" s="221"/>
      <c r="N206" s="221"/>
      <c r="O206" s="221"/>
      <c r="P206" s="51"/>
    </row>
    <row r="207" spans="5:16" x14ac:dyDescent="0.15">
      <c r="E207" s="221"/>
      <c r="F207" s="221"/>
      <c r="G207" s="221"/>
      <c r="H207" s="221"/>
      <c r="I207" s="221"/>
      <c r="J207" s="221"/>
      <c r="K207" s="221"/>
      <c r="L207" s="221"/>
      <c r="M207" s="221"/>
      <c r="N207" s="221"/>
      <c r="O207" s="221"/>
      <c r="P207" s="51"/>
    </row>
    <row r="208" spans="5:16" x14ac:dyDescent="0.15">
      <c r="E208" s="221"/>
      <c r="F208" s="221"/>
      <c r="G208" s="221"/>
      <c r="H208" s="221"/>
      <c r="I208" s="221"/>
      <c r="J208" s="221"/>
      <c r="K208" s="221"/>
      <c r="L208" s="221"/>
      <c r="M208" s="221"/>
      <c r="N208" s="221"/>
      <c r="O208" s="221"/>
      <c r="P208" s="51"/>
    </row>
    <row r="209" spans="2:16" x14ac:dyDescent="0.15">
      <c r="E209" s="221"/>
      <c r="F209" s="221"/>
      <c r="G209" s="221"/>
      <c r="H209" s="221"/>
      <c r="I209" s="221"/>
      <c r="J209" s="221"/>
      <c r="K209" s="221"/>
      <c r="L209" s="221"/>
      <c r="M209" s="221"/>
      <c r="N209" s="221"/>
      <c r="O209" s="221"/>
      <c r="P209" s="51"/>
    </row>
    <row r="210" spans="2:16" x14ac:dyDescent="0.15">
      <c r="E210" s="221"/>
      <c r="F210" s="221"/>
      <c r="G210" s="221"/>
      <c r="H210" s="221"/>
      <c r="I210" s="221"/>
      <c r="J210" s="221"/>
      <c r="K210" s="221"/>
      <c r="L210" s="221"/>
      <c r="M210" s="221"/>
      <c r="N210" s="221"/>
      <c r="O210" s="221"/>
      <c r="P210" s="51"/>
    </row>
    <row r="211" spans="2:16" x14ac:dyDescent="0.15">
      <c r="E211" s="221"/>
      <c r="F211" s="221"/>
      <c r="G211" s="221"/>
      <c r="H211" s="221"/>
      <c r="I211" s="221"/>
      <c r="J211" s="221"/>
      <c r="K211" s="221"/>
      <c r="L211" s="221"/>
      <c r="M211" s="221"/>
      <c r="N211" s="221"/>
      <c r="O211" s="221"/>
      <c r="P211" s="51"/>
    </row>
    <row r="212" spans="2:16" x14ac:dyDescent="0.15">
      <c r="E212" s="221"/>
      <c r="F212" s="221"/>
      <c r="G212" s="221"/>
      <c r="H212" s="221"/>
      <c r="I212" s="221"/>
      <c r="J212" s="221"/>
      <c r="K212" s="221"/>
      <c r="L212" s="221"/>
      <c r="M212" s="221"/>
      <c r="N212" s="221"/>
      <c r="O212" s="221"/>
      <c r="P212" s="51"/>
    </row>
    <row r="213" spans="2:16" x14ac:dyDescent="0.15">
      <c r="E213" s="221"/>
      <c r="F213" s="221"/>
      <c r="G213" s="221"/>
      <c r="H213" s="221"/>
      <c r="I213" s="221"/>
      <c r="J213" s="221"/>
      <c r="K213" s="221"/>
      <c r="L213" s="221"/>
      <c r="M213" s="221"/>
      <c r="N213" s="221"/>
      <c r="O213" s="221"/>
      <c r="P213" s="51"/>
    </row>
    <row r="214" spans="2:16" x14ac:dyDescent="0.15">
      <c r="E214" s="221"/>
      <c r="F214" s="221"/>
      <c r="G214" s="221"/>
      <c r="H214" s="221"/>
      <c r="I214" s="221"/>
      <c r="J214" s="221"/>
      <c r="K214" s="221"/>
      <c r="L214" s="221"/>
      <c r="M214" s="221"/>
      <c r="N214" s="221"/>
      <c r="O214" s="221"/>
      <c r="P214" s="51"/>
    </row>
    <row r="215" spans="2:16" x14ac:dyDescent="0.15">
      <c r="B215" s="76"/>
      <c r="C215" s="76"/>
      <c r="E215" s="221"/>
      <c r="F215" s="221"/>
      <c r="G215" s="221"/>
      <c r="H215" s="221"/>
      <c r="I215" s="221"/>
      <c r="J215" s="221"/>
      <c r="K215" s="221"/>
      <c r="L215" s="221"/>
      <c r="M215" s="221"/>
      <c r="N215" s="221"/>
      <c r="O215" s="221"/>
      <c r="P215" s="51"/>
    </row>
    <row r="216" spans="2:16" x14ac:dyDescent="0.15">
      <c r="E216" s="221"/>
      <c r="F216" s="221"/>
      <c r="G216" s="221"/>
      <c r="H216" s="221"/>
      <c r="I216" s="221"/>
      <c r="J216" s="221"/>
      <c r="K216" s="221"/>
      <c r="L216" s="221"/>
      <c r="M216" s="221"/>
      <c r="N216" s="221"/>
      <c r="O216" s="221"/>
      <c r="P216" s="51"/>
    </row>
    <row r="217" spans="2:16" x14ac:dyDescent="0.15">
      <c r="E217" s="221"/>
      <c r="F217" s="221"/>
      <c r="G217" s="221"/>
      <c r="H217" s="221"/>
      <c r="I217" s="221"/>
      <c r="J217" s="221"/>
      <c r="K217" s="221"/>
      <c r="L217" s="221"/>
      <c r="M217" s="221"/>
      <c r="N217" s="221"/>
      <c r="O217" s="221"/>
      <c r="P217" s="51"/>
    </row>
    <row r="218" spans="2:16" x14ac:dyDescent="0.15">
      <c r="B218" s="76"/>
      <c r="C218" s="76"/>
      <c r="E218" s="221"/>
      <c r="F218" s="221"/>
      <c r="G218" s="221"/>
      <c r="H218" s="221"/>
      <c r="I218" s="221"/>
      <c r="J218" s="221"/>
      <c r="K218" s="221"/>
      <c r="L218" s="221"/>
      <c r="M218" s="221"/>
      <c r="N218" s="221"/>
      <c r="O218" s="221"/>
      <c r="P218" s="51"/>
    </row>
    <row r="219" spans="2:16" x14ac:dyDescent="0.15">
      <c r="B219" s="76"/>
      <c r="C219" s="76"/>
      <c r="E219" s="221"/>
      <c r="F219" s="221"/>
      <c r="G219" s="221"/>
      <c r="H219" s="221"/>
      <c r="I219" s="221"/>
      <c r="J219" s="221"/>
      <c r="K219" s="221"/>
      <c r="L219" s="221"/>
      <c r="M219" s="221"/>
      <c r="N219" s="221"/>
      <c r="O219" s="221"/>
      <c r="P219" s="51"/>
    </row>
    <row r="220" spans="2:16" x14ac:dyDescent="0.15">
      <c r="E220" s="221"/>
      <c r="F220" s="221"/>
      <c r="G220" s="221"/>
      <c r="H220" s="221"/>
      <c r="I220" s="221"/>
      <c r="J220" s="221"/>
      <c r="K220" s="221"/>
      <c r="L220" s="221"/>
      <c r="M220" s="221"/>
      <c r="N220" s="221"/>
      <c r="O220" s="221"/>
      <c r="P220" s="51"/>
    </row>
    <row r="221" spans="2:16" x14ac:dyDescent="0.15">
      <c r="E221" s="221"/>
      <c r="F221" s="221"/>
      <c r="G221" s="221"/>
      <c r="H221" s="221"/>
      <c r="I221" s="221"/>
      <c r="J221" s="221"/>
      <c r="K221" s="221"/>
      <c r="L221" s="221"/>
      <c r="M221" s="221"/>
      <c r="N221" s="221"/>
      <c r="O221" s="221"/>
      <c r="P221" s="51"/>
    </row>
    <row r="222" spans="2:16" x14ac:dyDescent="0.15">
      <c r="E222" s="221"/>
      <c r="F222" s="221"/>
      <c r="G222" s="221"/>
      <c r="H222" s="221"/>
      <c r="I222" s="221"/>
      <c r="J222" s="221"/>
      <c r="K222" s="221"/>
      <c r="L222" s="221"/>
      <c r="M222" s="221"/>
      <c r="N222" s="221"/>
      <c r="O222" s="221"/>
      <c r="P222" s="51"/>
    </row>
    <row r="223" spans="2:16" x14ac:dyDescent="0.15">
      <c r="E223" s="221"/>
      <c r="F223" s="221"/>
      <c r="G223" s="221"/>
      <c r="H223" s="221"/>
      <c r="I223" s="221"/>
      <c r="J223" s="221"/>
      <c r="K223" s="221"/>
      <c r="L223" s="221"/>
      <c r="M223" s="221"/>
      <c r="N223" s="221"/>
      <c r="O223" s="221"/>
      <c r="P223" s="51"/>
    </row>
    <row r="224" spans="2:16" x14ac:dyDescent="0.15">
      <c r="E224" s="221"/>
      <c r="F224" s="221"/>
      <c r="G224" s="221"/>
      <c r="H224" s="221"/>
      <c r="I224" s="221"/>
      <c r="J224" s="221"/>
      <c r="K224" s="221"/>
      <c r="L224" s="221"/>
      <c r="M224" s="221"/>
      <c r="N224" s="221"/>
      <c r="O224" s="221"/>
      <c r="P224" s="51"/>
    </row>
    <row r="225" spans="5:16" x14ac:dyDescent="0.15">
      <c r="E225" s="221"/>
      <c r="F225" s="221"/>
      <c r="G225" s="221"/>
      <c r="H225" s="221"/>
      <c r="I225" s="221"/>
      <c r="J225" s="221"/>
      <c r="K225" s="221"/>
      <c r="L225" s="221"/>
      <c r="M225" s="221"/>
      <c r="N225" s="221"/>
      <c r="O225" s="221"/>
      <c r="P225" s="51"/>
    </row>
    <row r="226" spans="5:16" x14ac:dyDescent="0.15">
      <c r="E226" s="221"/>
      <c r="F226" s="221"/>
      <c r="G226" s="221"/>
      <c r="H226" s="221"/>
      <c r="I226" s="221"/>
      <c r="J226" s="221"/>
      <c r="K226" s="221"/>
      <c r="L226" s="221"/>
      <c r="M226" s="221"/>
      <c r="N226" s="221"/>
      <c r="O226" s="221"/>
      <c r="P226" s="51"/>
    </row>
    <row r="227" spans="5:16" x14ac:dyDescent="0.15">
      <c r="E227" s="221"/>
      <c r="F227" s="221"/>
      <c r="G227" s="221"/>
      <c r="H227" s="221"/>
      <c r="I227" s="221"/>
      <c r="J227" s="221"/>
      <c r="K227" s="221"/>
      <c r="L227" s="221"/>
      <c r="M227" s="221"/>
      <c r="N227" s="221"/>
      <c r="O227" s="221"/>
      <c r="P227" s="51"/>
    </row>
    <row r="228" spans="5:16" x14ac:dyDescent="0.15">
      <c r="E228" s="221"/>
      <c r="F228" s="221"/>
      <c r="G228" s="221"/>
      <c r="H228" s="221"/>
      <c r="I228" s="221"/>
      <c r="J228" s="221"/>
      <c r="K228" s="221"/>
      <c r="L228" s="221"/>
      <c r="M228" s="221"/>
      <c r="N228" s="221"/>
      <c r="O228" s="221"/>
      <c r="P228" s="51"/>
    </row>
    <row r="229" spans="5:16" x14ac:dyDescent="0.15">
      <c r="E229" s="221"/>
      <c r="F229" s="221"/>
      <c r="G229" s="221"/>
      <c r="H229" s="221"/>
      <c r="I229" s="221"/>
      <c r="J229" s="221"/>
      <c r="K229" s="221"/>
      <c r="L229" s="221"/>
      <c r="M229" s="221"/>
      <c r="N229" s="221"/>
      <c r="O229" s="221"/>
      <c r="P229" s="51"/>
    </row>
    <row r="230" spans="5:16" x14ac:dyDescent="0.15">
      <c r="E230" s="221"/>
      <c r="F230" s="221"/>
      <c r="G230" s="221"/>
      <c r="H230" s="221"/>
      <c r="I230" s="221"/>
      <c r="J230" s="221"/>
      <c r="K230" s="221"/>
      <c r="L230" s="221"/>
      <c r="M230" s="221"/>
      <c r="N230" s="221"/>
      <c r="O230" s="221"/>
      <c r="P230" s="51"/>
    </row>
    <row r="231" spans="5:16" x14ac:dyDescent="0.15">
      <c r="E231" s="221"/>
      <c r="F231" s="221"/>
      <c r="G231" s="221"/>
      <c r="H231" s="221"/>
      <c r="I231" s="221"/>
      <c r="J231" s="221"/>
      <c r="K231" s="221"/>
      <c r="L231" s="221"/>
      <c r="M231" s="221"/>
      <c r="N231" s="221"/>
      <c r="O231" s="221"/>
      <c r="P231" s="51"/>
    </row>
    <row r="232" spans="5:16" x14ac:dyDescent="0.15">
      <c r="E232" s="221"/>
      <c r="F232" s="221"/>
      <c r="G232" s="221"/>
      <c r="H232" s="221"/>
      <c r="I232" s="221"/>
      <c r="J232" s="221"/>
      <c r="K232" s="221"/>
      <c r="L232" s="221"/>
      <c r="M232" s="221"/>
      <c r="N232" s="221"/>
      <c r="O232" s="221"/>
      <c r="P232" s="51"/>
    </row>
    <row r="233" spans="5:16" x14ac:dyDescent="0.15">
      <c r="E233" s="221"/>
      <c r="F233" s="221"/>
      <c r="G233" s="221"/>
      <c r="H233" s="221"/>
      <c r="I233" s="221"/>
      <c r="J233" s="221"/>
      <c r="K233" s="221"/>
      <c r="L233" s="221"/>
      <c r="M233" s="221"/>
      <c r="N233" s="221"/>
      <c r="O233" s="221"/>
      <c r="P233" s="51"/>
    </row>
    <row r="234" spans="5:16" x14ac:dyDescent="0.15">
      <c r="E234" s="221"/>
      <c r="F234" s="221"/>
      <c r="G234" s="221"/>
      <c r="H234" s="221"/>
      <c r="I234" s="221"/>
      <c r="J234" s="221"/>
      <c r="K234" s="221"/>
      <c r="L234" s="221"/>
      <c r="M234" s="221"/>
      <c r="N234" s="221"/>
      <c r="O234" s="221"/>
      <c r="P234" s="51"/>
    </row>
    <row r="235" spans="5:16" x14ac:dyDescent="0.15">
      <c r="E235" s="221"/>
      <c r="F235" s="221"/>
      <c r="G235" s="221"/>
      <c r="H235" s="221"/>
      <c r="I235" s="221"/>
      <c r="J235" s="221"/>
      <c r="K235" s="221"/>
      <c r="L235" s="221"/>
      <c r="M235" s="221"/>
      <c r="N235" s="221"/>
      <c r="O235" s="221"/>
      <c r="P235" s="51"/>
    </row>
    <row r="236" spans="5:16" x14ac:dyDescent="0.15">
      <c r="E236" s="221"/>
      <c r="F236" s="221"/>
      <c r="G236" s="221"/>
      <c r="H236" s="221"/>
      <c r="I236" s="221"/>
      <c r="J236" s="221"/>
      <c r="K236" s="221"/>
      <c r="L236" s="221"/>
      <c r="M236" s="221"/>
      <c r="N236" s="221"/>
      <c r="O236" s="221"/>
      <c r="P236" s="51"/>
    </row>
    <row r="237" spans="5:16" x14ac:dyDescent="0.15">
      <c r="E237" s="221"/>
      <c r="F237" s="221"/>
      <c r="G237" s="221"/>
      <c r="H237" s="221"/>
      <c r="I237" s="221"/>
      <c r="J237" s="221"/>
      <c r="K237" s="221"/>
      <c r="L237" s="221"/>
      <c r="M237" s="221"/>
      <c r="N237" s="221"/>
      <c r="O237" s="221"/>
      <c r="P237" s="51"/>
    </row>
    <row r="238" spans="5:16" x14ac:dyDescent="0.15">
      <c r="E238" s="221"/>
      <c r="F238" s="221"/>
      <c r="G238" s="221"/>
      <c r="H238" s="221"/>
      <c r="I238" s="221"/>
      <c r="J238" s="221"/>
      <c r="K238" s="221"/>
      <c r="L238" s="221"/>
      <c r="M238" s="221"/>
      <c r="N238" s="221"/>
      <c r="O238" s="221"/>
      <c r="P238" s="51"/>
    </row>
    <row r="239" spans="5:16" x14ac:dyDescent="0.15">
      <c r="E239" s="221"/>
      <c r="F239" s="221"/>
      <c r="G239" s="221"/>
      <c r="H239" s="221"/>
      <c r="I239" s="221"/>
      <c r="J239" s="221"/>
      <c r="K239" s="221"/>
      <c r="L239" s="221"/>
      <c r="M239" s="221"/>
      <c r="N239" s="221"/>
      <c r="O239" s="221"/>
      <c r="P239" s="51"/>
    </row>
    <row r="240" spans="5:16" x14ac:dyDescent="0.15">
      <c r="E240" s="221"/>
      <c r="F240" s="221"/>
      <c r="G240" s="221"/>
      <c r="H240" s="221"/>
      <c r="I240" s="221"/>
      <c r="J240" s="221"/>
      <c r="K240" s="221"/>
      <c r="L240" s="221"/>
      <c r="M240" s="221"/>
      <c r="N240" s="221"/>
      <c r="O240" s="221"/>
      <c r="P240" s="51"/>
    </row>
    <row r="241" spans="2:16" x14ac:dyDescent="0.15">
      <c r="E241" s="221"/>
      <c r="F241" s="221"/>
      <c r="G241" s="221"/>
      <c r="H241" s="221"/>
      <c r="I241" s="221"/>
      <c r="J241" s="221"/>
      <c r="K241" s="221"/>
      <c r="L241" s="221"/>
      <c r="M241" s="221"/>
      <c r="N241" s="221"/>
      <c r="O241" s="221"/>
      <c r="P241" s="51"/>
    </row>
    <row r="242" spans="2:16" x14ac:dyDescent="0.15">
      <c r="E242" s="221"/>
      <c r="F242" s="221"/>
      <c r="G242" s="221"/>
      <c r="H242" s="221"/>
      <c r="I242" s="221"/>
      <c r="J242" s="221"/>
      <c r="K242" s="221"/>
      <c r="L242" s="221"/>
      <c r="M242" s="221"/>
      <c r="N242" s="221"/>
      <c r="O242" s="221"/>
      <c r="P242" s="51"/>
    </row>
    <row r="243" spans="2:16" x14ac:dyDescent="0.15">
      <c r="E243" s="221"/>
      <c r="F243" s="221"/>
      <c r="G243" s="221"/>
      <c r="H243" s="221"/>
      <c r="I243" s="221"/>
      <c r="J243" s="221"/>
      <c r="K243" s="221"/>
      <c r="L243" s="221"/>
      <c r="M243" s="221"/>
      <c r="N243" s="221"/>
      <c r="O243" s="221"/>
      <c r="P243" s="51"/>
    </row>
    <row r="244" spans="2:16" x14ac:dyDescent="0.15">
      <c r="B244" s="76"/>
      <c r="C244" s="76"/>
      <c r="E244" s="221"/>
      <c r="F244" s="221"/>
      <c r="G244" s="221"/>
      <c r="H244" s="221"/>
      <c r="I244" s="221"/>
      <c r="J244" s="221"/>
      <c r="K244" s="221"/>
      <c r="L244" s="221"/>
      <c r="M244" s="221"/>
      <c r="N244" s="221"/>
      <c r="O244" s="221"/>
      <c r="P244" s="51"/>
    </row>
    <row r="245" spans="2:16" x14ac:dyDescent="0.15">
      <c r="E245" s="221"/>
      <c r="F245" s="221"/>
      <c r="G245" s="221"/>
      <c r="H245" s="221"/>
      <c r="I245" s="221"/>
      <c r="J245" s="221"/>
      <c r="K245" s="221"/>
      <c r="L245" s="221"/>
      <c r="M245" s="221"/>
      <c r="N245" s="221"/>
      <c r="O245" s="221"/>
      <c r="P245" s="51"/>
    </row>
    <row r="246" spans="2:16" x14ac:dyDescent="0.15">
      <c r="E246" s="221"/>
      <c r="F246" s="221"/>
      <c r="G246" s="221"/>
      <c r="H246" s="221"/>
      <c r="I246" s="221"/>
      <c r="J246" s="221"/>
      <c r="K246" s="221"/>
      <c r="L246" s="221"/>
      <c r="M246" s="221"/>
      <c r="N246" s="221"/>
      <c r="O246" s="221"/>
      <c r="P246" s="51"/>
    </row>
    <row r="247" spans="2:16" x14ac:dyDescent="0.15">
      <c r="E247" s="221"/>
      <c r="F247" s="221"/>
      <c r="G247" s="221"/>
      <c r="H247" s="221"/>
      <c r="I247" s="221"/>
      <c r="J247" s="221"/>
      <c r="K247" s="221"/>
      <c r="L247" s="221"/>
      <c r="M247" s="221"/>
      <c r="N247" s="221"/>
      <c r="O247" s="221"/>
      <c r="P247" s="51"/>
    </row>
    <row r="248" spans="2:16" x14ac:dyDescent="0.15">
      <c r="E248" s="221"/>
      <c r="F248" s="221"/>
      <c r="G248" s="221"/>
      <c r="H248" s="221"/>
      <c r="I248" s="221"/>
      <c r="J248" s="221"/>
      <c r="K248" s="221"/>
      <c r="L248" s="221"/>
      <c r="M248" s="221"/>
      <c r="N248" s="221"/>
      <c r="O248" s="221"/>
      <c r="P248" s="51"/>
    </row>
    <row r="249" spans="2:16" x14ac:dyDescent="0.15">
      <c r="B249" s="76"/>
      <c r="C249" s="76"/>
      <c r="E249" s="221"/>
      <c r="F249" s="221"/>
      <c r="G249" s="221"/>
      <c r="H249" s="221"/>
      <c r="I249" s="221"/>
      <c r="J249" s="221"/>
      <c r="K249" s="221"/>
      <c r="L249" s="221"/>
      <c r="M249" s="221"/>
      <c r="N249" s="221"/>
      <c r="O249" s="221"/>
      <c r="P249" s="51"/>
    </row>
    <row r="250" spans="2:16" x14ac:dyDescent="0.15">
      <c r="E250" s="221"/>
      <c r="F250" s="221"/>
      <c r="G250" s="221"/>
      <c r="H250" s="221"/>
      <c r="I250" s="221"/>
      <c r="J250" s="221"/>
      <c r="K250" s="221"/>
      <c r="L250" s="221"/>
      <c r="M250" s="221"/>
      <c r="N250" s="221"/>
      <c r="O250" s="221"/>
      <c r="P250" s="51"/>
    </row>
    <row r="251" spans="2:16" x14ac:dyDescent="0.15">
      <c r="E251" s="221"/>
      <c r="F251" s="221"/>
      <c r="G251" s="221"/>
      <c r="H251" s="221"/>
      <c r="I251" s="221"/>
      <c r="J251" s="221"/>
      <c r="K251" s="221"/>
      <c r="L251" s="221"/>
      <c r="M251" s="221"/>
      <c r="N251" s="221"/>
      <c r="O251" s="221"/>
      <c r="P251" s="51"/>
    </row>
    <row r="252" spans="2:16" x14ac:dyDescent="0.15">
      <c r="E252" s="221"/>
      <c r="F252" s="221"/>
      <c r="G252" s="221"/>
      <c r="H252" s="221"/>
      <c r="I252" s="221"/>
      <c r="J252" s="221"/>
      <c r="K252" s="221"/>
      <c r="L252" s="221"/>
      <c r="M252" s="221"/>
      <c r="N252" s="221"/>
      <c r="O252" s="221"/>
      <c r="P252" s="51"/>
    </row>
    <row r="253" spans="2:16" x14ac:dyDescent="0.15">
      <c r="E253" s="221"/>
      <c r="F253" s="221"/>
      <c r="G253" s="221"/>
      <c r="H253" s="221"/>
      <c r="I253" s="221"/>
      <c r="J253" s="221"/>
      <c r="K253" s="221"/>
      <c r="L253" s="221"/>
      <c r="M253" s="221"/>
      <c r="N253" s="221"/>
      <c r="O253" s="221"/>
      <c r="P253" s="51"/>
    </row>
    <row r="254" spans="2:16" x14ac:dyDescent="0.15">
      <c r="E254" s="221"/>
      <c r="F254" s="221"/>
      <c r="G254" s="221"/>
      <c r="H254" s="221"/>
      <c r="I254" s="221"/>
      <c r="J254" s="221"/>
      <c r="K254" s="221"/>
      <c r="L254" s="221"/>
      <c r="M254" s="221"/>
      <c r="N254" s="221"/>
      <c r="O254" s="221"/>
      <c r="P254" s="51"/>
    </row>
    <row r="255" spans="2:16" x14ac:dyDescent="0.15">
      <c r="E255" s="221"/>
      <c r="F255" s="221"/>
      <c r="G255" s="221"/>
      <c r="H255" s="221"/>
      <c r="I255" s="221"/>
      <c r="J255" s="221"/>
      <c r="K255" s="221"/>
      <c r="L255" s="221"/>
      <c r="M255" s="221"/>
      <c r="N255" s="221"/>
      <c r="O255" s="221"/>
      <c r="P255" s="51"/>
    </row>
    <row r="256" spans="2:16" x14ac:dyDescent="0.15">
      <c r="E256" s="221"/>
      <c r="F256" s="221"/>
      <c r="G256" s="221"/>
      <c r="H256" s="221"/>
      <c r="I256" s="221"/>
      <c r="J256" s="221"/>
      <c r="K256" s="221"/>
      <c r="L256" s="221"/>
      <c r="M256" s="221"/>
      <c r="N256" s="221"/>
      <c r="O256" s="221"/>
      <c r="P256" s="51"/>
    </row>
    <row r="257" spans="2:16" x14ac:dyDescent="0.15">
      <c r="E257" s="221"/>
      <c r="F257" s="221"/>
      <c r="G257" s="221"/>
      <c r="H257" s="221"/>
      <c r="I257" s="221"/>
      <c r="J257" s="221"/>
      <c r="K257" s="221"/>
      <c r="L257" s="221"/>
      <c r="M257" s="221"/>
      <c r="N257" s="221"/>
      <c r="O257" s="221"/>
      <c r="P257" s="51"/>
    </row>
    <row r="258" spans="2:16" x14ac:dyDescent="0.15">
      <c r="E258" s="221"/>
      <c r="F258" s="221"/>
      <c r="G258" s="221"/>
      <c r="H258" s="221"/>
      <c r="I258" s="221"/>
      <c r="J258" s="221"/>
      <c r="K258" s="221"/>
      <c r="L258" s="221"/>
      <c r="M258" s="221"/>
      <c r="N258" s="221"/>
      <c r="O258" s="221"/>
      <c r="P258" s="51"/>
    </row>
    <row r="259" spans="2:16" x14ac:dyDescent="0.15">
      <c r="E259" s="221"/>
      <c r="F259" s="221"/>
      <c r="G259" s="221"/>
      <c r="H259" s="221"/>
      <c r="I259" s="221"/>
      <c r="J259" s="221"/>
      <c r="K259" s="221"/>
      <c r="L259" s="221"/>
      <c r="M259" s="221"/>
      <c r="N259" s="221"/>
      <c r="O259" s="221"/>
      <c r="P259" s="51"/>
    </row>
    <row r="260" spans="2:16" x14ac:dyDescent="0.15">
      <c r="E260" s="221"/>
      <c r="F260" s="221"/>
      <c r="G260" s="221"/>
      <c r="H260" s="221"/>
      <c r="I260" s="221"/>
      <c r="J260" s="221"/>
      <c r="K260" s="221"/>
      <c r="L260" s="221"/>
      <c r="M260" s="221"/>
      <c r="N260" s="221"/>
      <c r="O260" s="221"/>
      <c r="P260" s="51"/>
    </row>
    <row r="261" spans="2:16" x14ac:dyDescent="0.15">
      <c r="E261" s="221"/>
      <c r="F261" s="221"/>
      <c r="G261" s="221"/>
      <c r="H261" s="221"/>
      <c r="I261" s="221"/>
      <c r="J261" s="221"/>
      <c r="K261" s="221"/>
      <c r="L261" s="221"/>
      <c r="M261" s="221"/>
      <c r="N261" s="221"/>
      <c r="O261" s="221"/>
      <c r="P261" s="51"/>
    </row>
    <row r="262" spans="2:16" x14ac:dyDescent="0.15">
      <c r="E262" s="221"/>
      <c r="F262" s="221"/>
      <c r="G262" s="221"/>
      <c r="H262" s="221"/>
      <c r="I262" s="221"/>
      <c r="J262" s="221"/>
      <c r="K262" s="221"/>
      <c r="L262" s="221"/>
      <c r="M262" s="221"/>
      <c r="N262" s="221"/>
      <c r="O262" s="221"/>
      <c r="P262" s="51"/>
    </row>
    <row r="263" spans="2:16" x14ac:dyDescent="0.15">
      <c r="E263" s="221"/>
      <c r="F263" s="221"/>
      <c r="G263" s="221"/>
      <c r="H263" s="221"/>
      <c r="I263" s="221"/>
      <c r="J263" s="221"/>
      <c r="K263" s="221"/>
      <c r="L263" s="221"/>
      <c r="M263" s="221"/>
      <c r="N263" s="221"/>
      <c r="O263" s="221"/>
      <c r="P263" s="51"/>
    </row>
    <row r="264" spans="2:16" x14ac:dyDescent="0.15">
      <c r="E264" s="221"/>
      <c r="F264" s="221"/>
      <c r="G264" s="221"/>
      <c r="H264" s="221"/>
      <c r="I264" s="221"/>
      <c r="J264" s="221"/>
      <c r="K264" s="221"/>
      <c r="L264" s="221"/>
      <c r="M264" s="221"/>
      <c r="N264" s="221"/>
      <c r="O264" s="221"/>
      <c r="P264" s="51"/>
    </row>
    <row r="265" spans="2:16" x14ac:dyDescent="0.15">
      <c r="E265" s="221"/>
      <c r="F265" s="221"/>
      <c r="G265" s="221"/>
      <c r="H265" s="221"/>
      <c r="I265" s="221"/>
      <c r="J265" s="221"/>
      <c r="K265" s="221"/>
      <c r="L265" s="221"/>
      <c r="M265" s="221"/>
      <c r="N265" s="221"/>
      <c r="O265" s="221"/>
      <c r="P265" s="51"/>
    </row>
    <row r="266" spans="2:16" x14ac:dyDescent="0.15">
      <c r="E266" s="221"/>
      <c r="F266" s="221"/>
      <c r="G266" s="221"/>
      <c r="H266" s="221"/>
      <c r="I266" s="221"/>
      <c r="J266" s="221"/>
      <c r="K266" s="221"/>
      <c r="L266" s="221"/>
      <c r="M266" s="221"/>
      <c r="N266" s="221"/>
      <c r="O266" s="221"/>
      <c r="P266" s="51"/>
    </row>
    <row r="267" spans="2:16" x14ac:dyDescent="0.15">
      <c r="E267" s="221"/>
      <c r="F267" s="221"/>
      <c r="G267" s="221"/>
      <c r="H267" s="221"/>
      <c r="I267" s="221"/>
      <c r="J267" s="221"/>
      <c r="K267" s="221"/>
      <c r="L267" s="221"/>
      <c r="M267" s="221"/>
      <c r="N267" s="221"/>
      <c r="O267" s="221"/>
      <c r="P267" s="51"/>
    </row>
    <row r="268" spans="2:16" x14ac:dyDescent="0.15">
      <c r="E268" s="221"/>
      <c r="F268" s="221"/>
      <c r="G268" s="221"/>
      <c r="H268" s="221"/>
      <c r="I268" s="221"/>
      <c r="J268" s="221"/>
      <c r="K268" s="221"/>
      <c r="L268" s="221"/>
      <c r="M268" s="221"/>
      <c r="N268" s="221"/>
      <c r="O268" s="221"/>
      <c r="P268" s="51"/>
    </row>
    <row r="269" spans="2:16" x14ac:dyDescent="0.15">
      <c r="E269" s="221"/>
      <c r="F269" s="221"/>
      <c r="G269" s="221"/>
      <c r="H269" s="221"/>
      <c r="I269" s="221"/>
      <c r="J269" s="221"/>
      <c r="K269" s="221"/>
      <c r="L269" s="221"/>
      <c r="M269" s="221"/>
      <c r="N269" s="221"/>
      <c r="O269" s="221"/>
      <c r="P269" s="51"/>
    </row>
    <row r="270" spans="2:16" x14ac:dyDescent="0.15">
      <c r="B270" s="76"/>
      <c r="C270" s="76"/>
      <c r="E270" s="221"/>
      <c r="F270" s="221"/>
      <c r="G270" s="221"/>
      <c r="H270" s="221"/>
      <c r="I270" s="221"/>
      <c r="J270" s="221"/>
      <c r="K270" s="221"/>
      <c r="L270" s="221"/>
      <c r="M270" s="221"/>
      <c r="N270" s="221"/>
      <c r="O270" s="221"/>
      <c r="P270" s="51"/>
    </row>
    <row r="271" spans="2:16" x14ac:dyDescent="0.15">
      <c r="E271" s="221"/>
      <c r="F271" s="221"/>
      <c r="G271" s="221"/>
      <c r="H271" s="221"/>
      <c r="I271" s="221"/>
      <c r="J271" s="221"/>
      <c r="K271" s="221"/>
      <c r="L271" s="221"/>
      <c r="M271" s="221"/>
      <c r="N271" s="221"/>
      <c r="O271" s="221"/>
      <c r="P271" s="51"/>
    </row>
    <row r="272" spans="2:16" x14ac:dyDescent="0.15">
      <c r="E272" s="221"/>
      <c r="F272" s="221"/>
      <c r="G272" s="221"/>
      <c r="H272" s="221"/>
      <c r="I272" s="221"/>
      <c r="J272" s="221"/>
      <c r="K272" s="221"/>
      <c r="L272" s="221"/>
      <c r="M272" s="221"/>
      <c r="N272" s="221"/>
      <c r="O272" s="221"/>
      <c r="P272" s="51"/>
    </row>
    <row r="273" spans="2:16" x14ac:dyDescent="0.15">
      <c r="B273" s="76"/>
      <c r="C273" s="76"/>
      <c r="E273" s="221"/>
      <c r="F273" s="221"/>
      <c r="G273" s="221"/>
      <c r="H273" s="221"/>
      <c r="I273" s="221"/>
      <c r="J273" s="221"/>
      <c r="K273" s="221"/>
      <c r="L273" s="221"/>
      <c r="M273" s="221"/>
      <c r="N273" s="221"/>
      <c r="O273" s="221"/>
      <c r="P273" s="51"/>
    </row>
    <row r="274" spans="2:16" x14ac:dyDescent="0.15">
      <c r="E274" s="221"/>
      <c r="F274" s="221"/>
      <c r="G274" s="221"/>
      <c r="H274" s="221"/>
      <c r="I274" s="221"/>
      <c r="J274" s="221"/>
      <c r="K274" s="221"/>
      <c r="L274" s="221"/>
      <c r="M274" s="221"/>
      <c r="N274" s="221"/>
      <c r="O274" s="221"/>
      <c r="P274" s="51"/>
    </row>
    <row r="275" spans="2:16" x14ac:dyDescent="0.15">
      <c r="E275" s="221"/>
      <c r="F275" s="221"/>
      <c r="G275" s="221"/>
      <c r="H275" s="221"/>
      <c r="I275" s="221"/>
      <c r="J275" s="221"/>
      <c r="K275" s="221"/>
      <c r="L275" s="221"/>
      <c r="M275" s="221"/>
      <c r="N275" s="221"/>
      <c r="O275" s="221"/>
      <c r="P275" s="51"/>
    </row>
    <row r="276" spans="2:16" x14ac:dyDescent="0.15">
      <c r="E276" s="221"/>
      <c r="F276" s="221"/>
      <c r="G276" s="221"/>
      <c r="H276" s="221"/>
      <c r="I276" s="221"/>
      <c r="J276" s="221"/>
      <c r="K276" s="221"/>
      <c r="L276" s="221"/>
      <c r="M276" s="221"/>
      <c r="N276" s="221"/>
      <c r="O276" s="221"/>
      <c r="P276" s="51"/>
    </row>
    <row r="277" spans="2:16" x14ac:dyDescent="0.15">
      <c r="E277" s="221"/>
      <c r="F277" s="221"/>
      <c r="G277" s="221"/>
      <c r="H277" s="221"/>
      <c r="I277" s="221"/>
      <c r="J277" s="221"/>
      <c r="K277" s="221"/>
      <c r="L277" s="221"/>
      <c r="M277" s="221"/>
      <c r="N277" s="221"/>
      <c r="O277" s="221"/>
      <c r="P277" s="51"/>
    </row>
    <row r="278" spans="2:16" x14ac:dyDescent="0.15">
      <c r="E278" s="221"/>
      <c r="F278" s="221"/>
      <c r="G278" s="221"/>
      <c r="H278" s="221"/>
      <c r="I278" s="221"/>
      <c r="J278" s="221"/>
      <c r="K278" s="221"/>
      <c r="L278" s="221"/>
      <c r="M278" s="221"/>
      <c r="N278" s="221"/>
      <c r="O278" s="221"/>
      <c r="P278" s="51"/>
    </row>
    <row r="279" spans="2:16" x14ac:dyDescent="0.15">
      <c r="E279" s="221"/>
      <c r="F279" s="221"/>
      <c r="G279" s="221"/>
      <c r="H279" s="221"/>
      <c r="I279" s="221"/>
      <c r="J279" s="221"/>
      <c r="K279" s="221"/>
      <c r="L279" s="221"/>
      <c r="M279" s="221"/>
      <c r="N279" s="221"/>
      <c r="O279" s="221"/>
      <c r="P279" s="51"/>
    </row>
    <row r="280" spans="2:16" x14ac:dyDescent="0.15">
      <c r="B280" s="218"/>
      <c r="C280" s="218"/>
      <c r="E280" s="221">
        <f>Soil!C72</f>
        <v>2</v>
      </c>
      <c r="F280" s="221">
        <f>Soil!C73</f>
        <v>4.2491199999999996</v>
      </c>
      <c r="G280" s="221">
        <f>Soil!C74</f>
        <v>97.80395</v>
      </c>
      <c r="H280" s="221">
        <f>Soil!C80</f>
        <v>0.94968746955388639</v>
      </c>
      <c r="I280" s="221">
        <f>pH</f>
        <v>7.8480089492590928</v>
      </c>
      <c r="J280" s="221"/>
      <c r="K280" s="221"/>
      <c r="L280" s="221">
        <f>Soil!C77*100</f>
        <v>55.895226897048367</v>
      </c>
      <c r="M280" s="221"/>
      <c r="N280" s="221"/>
      <c r="O280" s="221"/>
      <c r="P280" s="51"/>
    </row>
    <row r="281" spans="2:16" x14ac:dyDescent="0.15">
      <c r="E281" s="221"/>
      <c r="F281" s="221"/>
      <c r="G281" s="221"/>
      <c r="H281" s="221"/>
      <c r="I281" s="221"/>
      <c r="J281" s="221"/>
      <c r="K281" s="221"/>
      <c r="L281" s="221"/>
      <c r="M281" s="221"/>
      <c r="N281" s="221"/>
      <c r="O281" s="221"/>
      <c r="P281" s="51"/>
    </row>
    <row r="282" spans="2:16" x14ac:dyDescent="0.15">
      <c r="E282" s="221"/>
      <c r="F282" s="221"/>
      <c r="G282" s="221"/>
      <c r="H282" s="221"/>
      <c r="I282" s="221"/>
      <c r="J282" s="221"/>
      <c r="K282" s="221"/>
      <c r="L282" s="221"/>
      <c r="M282" s="221"/>
      <c r="N282" s="221"/>
      <c r="O282" s="221"/>
      <c r="P282" s="51"/>
    </row>
    <row r="283" spans="2:16" x14ac:dyDescent="0.15">
      <c r="E283" s="221"/>
      <c r="F283" s="221"/>
      <c r="G283" s="221"/>
      <c r="H283" s="221"/>
      <c r="I283" s="221"/>
      <c r="J283" s="221"/>
      <c r="K283" s="221"/>
      <c r="L283" s="221"/>
      <c r="M283" s="221"/>
      <c r="N283" s="221"/>
      <c r="O283" s="221"/>
      <c r="P283" s="51"/>
    </row>
    <row r="284" spans="2:16" x14ac:dyDescent="0.15">
      <c r="B284" s="76"/>
      <c r="C284" s="76"/>
      <c r="E284" s="221"/>
      <c r="F284" s="221"/>
      <c r="G284" s="221"/>
      <c r="H284" s="221"/>
      <c r="I284" s="221"/>
      <c r="J284" s="221"/>
      <c r="K284" s="221"/>
      <c r="L284" s="221"/>
      <c r="M284" s="221"/>
      <c r="N284" s="221"/>
      <c r="O284" s="221"/>
      <c r="P284" s="51"/>
    </row>
    <row r="285" spans="2:16" x14ac:dyDescent="0.15">
      <c r="E285" s="221"/>
      <c r="F285" s="221"/>
      <c r="G285" s="221"/>
      <c r="H285" s="221"/>
      <c r="I285" s="221"/>
      <c r="J285" s="221"/>
      <c r="K285" s="221"/>
      <c r="L285" s="221"/>
      <c r="M285" s="221"/>
      <c r="N285" s="221"/>
      <c r="O285" s="221"/>
      <c r="P285" s="51"/>
    </row>
    <row r="286" spans="2:16" x14ac:dyDescent="0.15">
      <c r="E286" s="221"/>
      <c r="F286" s="221"/>
      <c r="G286" s="221"/>
      <c r="H286" s="221"/>
      <c r="I286" s="221"/>
      <c r="J286" s="221"/>
      <c r="K286" s="221"/>
      <c r="L286" s="221"/>
      <c r="M286" s="221"/>
      <c r="N286" s="221"/>
      <c r="O286" s="221"/>
      <c r="P286" s="51"/>
    </row>
    <row r="287" spans="2:16" x14ac:dyDescent="0.15">
      <c r="E287" s="221"/>
      <c r="F287" s="221"/>
      <c r="G287" s="221"/>
      <c r="H287" s="221"/>
      <c r="I287" s="221"/>
      <c r="J287" s="221"/>
      <c r="K287" s="221"/>
      <c r="L287" s="221"/>
      <c r="M287" s="221"/>
      <c r="N287" s="221"/>
      <c r="O287" s="221"/>
      <c r="P287" s="51"/>
    </row>
    <row r="288" spans="2:16" x14ac:dyDescent="0.15">
      <c r="E288" s="221"/>
      <c r="F288" s="221"/>
      <c r="G288" s="221"/>
      <c r="H288" s="221"/>
      <c r="I288" s="221"/>
      <c r="J288" s="221"/>
      <c r="K288" s="221"/>
      <c r="L288" s="221"/>
      <c r="M288" s="221"/>
      <c r="N288" s="221"/>
      <c r="O288" s="221"/>
      <c r="P288" s="51"/>
    </row>
    <row r="289" spans="2:16" x14ac:dyDescent="0.15">
      <c r="E289" s="221"/>
      <c r="F289" s="221"/>
      <c r="G289" s="221"/>
      <c r="H289" s="221"/>
      <c r="I289" s="221"/>
      <c r="J289" s="221"/>
      <c r="K289" s="221"/>
      <c r="L289" s="221"/>
      <c r="M289" s="221"/>
      <c r="N289" s="221"/>
      <c r="O289" s="221"/>
      <c r="P289" s="51"/>
    </row>
    <row r="290" spans="2:16" x14ac:dyDescent="0.15">
      <c r="B290" s="76"/>
      <c r="C290" s="76"/>
      <c r="E290" s="221"/>
      <c r="F290" s="221"/>
      <c r="G290" s="221"/>
      <c r="H290" s="221"/>
      <c r="I290" s="221"/>
      <c r="J290" s="221"/>
      <c r="K290" s="221"/>
      <c r="L290" s="221"/>
      <c r="M290" s="221"/>
      <c r="N290" s="221"/>
      <c r="O290" s="221"/>
      <c r="P290" s="51"/>
    </row>
    <row r="291" spans="2:16" x14ac:dyDescent="0.15">
      <c r="E291" s="221"/>
      <c r="F291" s="221"/>
      <c r="G291" s="221"/>
      <c r="H291" s="221"/>
      <c r="I291" s="221"/>
      <c r="J291" s="221"/>
      <c r="K291" s="221"/>
      <c r="L291" s="221"/>
      <c r="M291" s="221"/>
      <c r="N291" s="221"/>
      <c r="O291" s="221"/>
      <c r="P291" s="51"/>
    </row>
    <row r="292" spans="2:16" x14ac:dyDescent="0.15">
      <c r="E292" s="221"/>
      <c r="F292" s="221"/>
      <c r="G292" s="221"/>
      <c r="H292" s="221"/>
      <c r="I292" s="221"/>
      <c r="J292" s="221"/>
      <c r="K292" s="221"/>
      <c r="L292" s="221"/>
      <c r="M292" s="221"/>
      <c r="N292" s="221"/>
      <c r="O292" s="221"/>
      <c r="P292" s="51"/>
    </row>
    <row r="293" spans="2:16" x14ac:dyDescent="0.15">
      <c r="E293" s="221"/>
      <c r="F293" s="221"/>
      <c r="G293" s="221"/>
      <c r="H293" s="221"/>
      <c r="I293" s="221"/>
      <c r="J293" s="221"/>
      <c r="K293" s="221"/>
      <c r="L293" s="221"/>
      <c r="M293" s="221"/>
      <c r="N293" s="221"/>
      <c r="O293" s="221"/>
      <c r="P293" s="51"/>
    </row>
    <row r="294" spans="2:16" x14ac:dyDescent="0.15">
      <c r="E294" s="221"/>
      <c r="F294" s="221"/>
      <c r="G294" s="221"/>
      <c r="H294" s="221"/>
      <c r="I294" s="221"/>
      <c r="J294" s="221"/>
      <c r="K294" s="221"/>
      <c r="L294" s="221"/>
      <c r="M294" s="221"/>
      <c r="N294" s="221"/>
      <c r="O294" s="221"/>
      <c r="P294" s="51"/>
    </row>
    <row r="295" spans="2:16" x14ac:dyDescent="0.15">
      <c r="E295" s="221"/>
      <c r="F295" s="221"/>
      <c r="G295" s="221"/>
      <c r="H295" s="221"/>
      <c r="I295" s="221"/>
      <c r="J295" s="221"/>
      <c r="K295" s="221"/>
      <c r="L295" s="221"/>
      <c r="M295" s="221"/>
      <c r="N295" s="221"/>
      <c r="O295" s="221"/>
      <c r="P295" s="51"/>
    </row>
    <row r="296" spans="2:16" x14ac:dyDescent="0.15">
      <c r="E296" s="221"/>
      <c r="F296" s="221"/>
      <c r="G296" s="221"/>
      <c r="H296" s="221"/>
      <c r="I296" s="221"/>
      <c r="J296" s="221"/>
      <c r="K296" s="221"/>
      <c r="L296" s="221"/>
      <c r="M296" s="221"/>
      <c r="N296" s="221"/>
      <c r="O296" s="221"/>
      <c r="P296" s="51"/>
    </row>
    <row r="297" spans="2:16" x14ac:dyDescent="0.15">
      <c r="E297" s="221"/>
      <c r="F297" s="221"/>
      <c r="G297" s="221"/>
      <c r="H297" s="221"/>
      <c r="I297" s="221"/>
      <c r="J297" s="221"/>
      <c r="K297" s="221"/>
      <c r="L297" s="221"/>
      <c r="M297" s="221"/>
      <c r="N297" s="221"/>
      <c r="O297" s="221"/>
      <c r="P297" s="51"/>
    </row>
    <row r="298" spans="2:16" x14ac:dyDescent="0.15">
      <c r="E298" s="221"/>
      <c r="F298" s="221"/>
      <c r="G298" s="221"/>
      <c r="H298" s="221"/>
      <c r="I298" s="221"/>
      <c r="J298" s="221"/>
      <c r="K298" s="221"/>
      <c r="L298" s="221"/>
      <c r="M298" s="221"/>
      <c r="N298" s="221"/>
      <c r="O298" s="221"/>
      <c r="P298" s="51"/>
    </row>
    <row r="299" spans="2:16" x14ac:dyDescent="0.15">
      <c r="E299" s="221"/>
      <c r="F299" s="221"/>
      <c r="G299" s="221"/>
      <c r="H299" s="221"/>
      <c r="I299" s="221"/>
      <c r="J299" s="221"/>
      <c r="K299" s="221"/>
      <c r="L299" s="221"/>
      <c r="M299" s="221"/>
      <c r="N299" s="221"/>
      <c r="O299" s="221"/>
      <c r="P299" s="51"/>
    </row>
    <row r="300" spans="2:16" x14ac:dyDescent="0.15">
      <c r="E300" s="221"/>
      <c r="F300" s="221"/>
      <c r="G300" s="221"/>
      <c r="H300" s="221"/>
      <c r="I300" s="221"/>
      <c r="J300" s="221"/>
      <c r="K300" s="221"/>
      <c r="L300" s="221"/>
      <c r="M300" s="221"/>
      <c r="N300" s="221"/>
      <c r="O300" s="221"/>
      <c r="P300" s="51"/>
    </row>
    <row r="301" spans="2:16" x14ac:dyDescent="0.15">
      <c r="E301" s="221"/>
      <c r="F301" s="221"/>
      <c r="G301" s="221"/>
      <c r="H301" s="221"/>
      <c r="I301" s="221"/>
      <c r="J301" s="221"/>
      <c r="K301" s="221"/>
      <c r="L301" s="221"/>
      <c r="M301" s="221"/>
      <c r="N301" s="221"/>
      <c r="O301" s="221"/>
      <c r="P301" s="51"/>
    </row>
    <row r="302" spans="2:16" x14ac:dyDescent="0.15">
      <c r="E302" s="221"/>
      <c r="F302" s="221"/>
      <c r="G302" s="221"/>
      <c r="H302" s="221"/>
      <c r="I302" s="221"/>
      <c r="J302" s="221"/>
      <c r="K302" s="221"/>
      <c r="L302" s="221"/>
      <c r="M302" s="221"/>
      <c r="N302" s="221"/>
      <c r="O302" s="221"/>
      <c r="P302" s="51"/>
    </row>
    <row r="303" spans="2:16" x14ac:dyDescent="0.15">
      <c r="E303" s="221"/>
      <c r="F303" s="221"/>
      <c r="G303" s="221"/>
      <c r="H303" s="221"/>
      <c r="I303" s="221"/>
      <c r="J303" s="221"/>
      <c r="K303" s="221"/>
      <c r="L303" s="221"/>
      <c r="M303" s="221"/>
      <c r="N303" s="221"/>
      <c r="O303" s="221"/>
      <c r="P303" s="51"/>
    </row>
    <row r="304" spans="2:16" x14ac:dyDescent="0.15">
      <c r="E304" s="221"/>
      <c r="F304" s="221"/>
      <c r="G304" s="221"/>
      <c r="H304" s="221"/>
      <c r="I304" s="221"/>
      <c r="J304" s="221"/>
      <c r="K304" s="221"/>
      <c r="L304" s="221"/>
      <c r="M304" s="221"/>
      <c r="N304" s="221"/>
      <c r="O304" s="221"/>
      <c r="P304" s="51"/>
    </row>
    <row r="305" spans="2:16" x14ac:dyDescent="0.15">
      <c r="E305" s="221"/>
      <c r="F305" s="221"/>
      <c r="G305" s="221"/>
      <c r="H305" s="221"/>
      <c r="I305" s="221"/>
      <c r="J305" s="221"/>
      <c r="K305" s="221"/>
      <c r="L305" s="221"/>
      <c r="M305" s="221"/>
      <c r="N305" s="221"/>
      <c r="O305" s="221"/>
      <c r="P305" s="51"/>
    </row>
    <row r="306" spans="2:16" x14ac:dyDescent="0.15">
      <c r="E306" s="221"/>
      <c r="F306" s="221"/>
      <c r="G306" s="221"/>
      <c r="H306" s="221"/>
      <c r="I306" s="221"/>
      <c r="J306" s="221"/>
      <c r="K306" s="221"/>
      <c r="L306" s="221"/>
      <c r="M306" s="221"/>
      <c r="N306" s="221"/>
      <c r="O306" s="221"/>
      <c r="P306" s="51"/>
    </row>
    <row r="307" spans="2:16" x14ac:dyDescent="0.15">
      <c r="E307" s="221"/>
      <c r="F307" s="221"/>
      <c r="G307" s="221"/>
      <c r="H307" s="221"/>
      <c r="I307" s="221"/>
      <c r="J307" s="221"/>
      <c r="K307" s="221"/>
      <c r="L307" s="221"/>
      <c r="M307" s="221"/>
      <c r="N307" s="221"/>
      <c r="O307" s="221"/>
      <c r="P307" s="51"/>
    </row>
    <row r="308" spans="2:16" x14ac:dyDescent="0.15">
      <c r="B308" s="76"/>
      <c r="C308" s="76"/>
      <c r="E308" s="221"/>
      <c r="F308" s="221"/>
      <c r="G308" s="221"/>
      <c r="H308" s="221"/>
      <c r="I308" s="221"/>
      <c r="J308" s="221"/>
      <c r="K308" s="221"/>
      <c r="L308" s="221"/>
      <c r="M308" s="221"/>
      <c r="N308" s="221"/>
      <c r="O308" s="221"/>
      <c r="P308" s="51"/>
    </row>
    <row r="309" spans="2:16" x14ac:dyDescent="0.15">
      <c r="E309" s="221"/>
      <c r="F309" s="221"/>
      <c r="G309" s="221"/>
      <c r="H309" s="221"/>
      <c r="I309" s="221"/>
      <c r="J309" s="221"/>
      <c r="K309" s="221"/>
      <c r="L309" s="221"/>
      <c r="M309" s="221"/>
      <c r="N309" s="221"/>
      <c r="O309" s="221"/>
      <c r="P309" s="51"/>
    </row>
    <row r="310" spans="2:16" x14ac:dyDescent="0.15">
      <c r="E310" s="221"/>
      <c r="F310" s="221"/>
      <c r="G310" s="221"/>
      <c r="H310" s="221"/>
      <c r="I310" s="221"/>
      <c r="J310" s="221"/>
      <c r="K310" s="221"/>
      <c r="L310" s="221"/>
      <c r="M310" s="221"/>
      <c r="N310" s="221"/>
      <c r="O310" s="221"/>
      <c r="P310" s="51"/>
    </row>
    <row r="311" spans="2:16" x14ac:dyDescent="0.15">
      <c r="E311" s="221"/>
      <c r="F311" s="221"/>
      <c r="G311" s="221"/>
      <c r="H311" s="221"/>
      <c r="I311" s="221"/>
      <c r="J311" s="221"/>
      <c r="K311" s="221"/>
      <c r="L311" s="221"/>
      <c r="M311" s="221"/>
      <c r="N311" s="221"/>
      <c r="O311" s="221"/>
      <c r="P311" s="51"/>
    </row>
    <row r="312" spans="2:16" x14ac:dyDescent="0.15">
      <c r="E312" s="221"/>
      <c r="F312" s="221"/>
      <c r="G312" s="221"/>
      <c r="H312" s="221"/>
      <c r="I312" s="221"/>
      <c r="J312" s="221"/>
      <c r="K312" s="221"/>
      <c r="L312" s="221"/>
      <c r="M312" s="221"/>
      <c r="N312" s="221"/>
      <c r="O312" s="221"/>
      <c r="P312" s="51"/>
    </row>
    <row r="313" spans="2:16" x14ac:dyDescent="0.15">
      <c r="B313" s="76"/>
      <c r="C313" s="76"/>
      <c r="E313" s="221"/>
      <c r="F313" s="221"/>
      <c r="G313" s="221"/>
      <c r="H313" s="221"/>
      <c r="I313" s="221"/>
      <c r="J313" s="221"/>
      <c r="K313" s="221"/>
      <c r="L313" s="221"/>
      <c r="M313" s="221"/>
      <c r="N313" s="221"/>
      <c r="O313" s="221"/>
      <c r="P313" s="51"/>
    </row>
    <row r="314" spans="2:16" x14ac:dyDescent="0.15">
      <c r="E314" s="221"/>
      <c r="F314" s="221"/>
      <c r="G314" s="221"/>
      <c r="H314" s="221"/>
      <c r="I314" s="221"/>
      <c r="J314" s="221"/>
      <c r="K314" s="221"/>
      <c r="L314" s="221"/>
      <c r="M314" s="221"/>
      <c r="N314" s="221"/>
      <c r="O314" s="221"/>
      <c r="P314" s="51"/>
    </row>
    <row r="315" spans="2:16" x14ac:dyDescent="0.15">
      <c r="E315" s="221"/>
      <c r="F315" s="221"/>
      <c r="G315" s="221"/>
      <c r="H315" s="221"/>
      <c r="I315" s="221"/>
      <c r="J315" s="221"/>
      <c r="K315" s="221"/>
      <c r="L315" s="221"/>
      <c r="M315" s="221"/>
      <c r="N315" s="221"/>
      <c r="O315" s="221"/>
      <c r="P315" s="51"/>
    </row>
    <row r="316" spans="2:16" x14ac:dyDescent="0.15">
      <c r="E316" s="221"/>
      <c r="F316" s="221"/>
      <c r="G316" s="221"/>
      <c r="H316" s="221"/>
      <c r="I316" s="221"/>
      <c r="J316" s="221"/>
      <c r="K316" s="221"/>
      <c r="L316" s="221"/>
      <c r="M316" s="221"/>
      <c r="N316" s="221"/>
      <c r="O316" s="221"/>
      <c r="P316" s="51"/>
    </row>
    <row r="317" spans="2:16" x14ac:dyDescent="0.15">
      <c r="E317" s="221"/>
      <c r="F317" s="221"/>
      <c r="G317" s="221"/>
      <c r="H317" s="221"/>
      <c r="I317" s="221"/>
      <c r="J317" s="221"/>
      <c r="K317" s="221"/>
      <c r="L317" s="221"/>
      <c r="M317" s="221"/>
      <c r="N317" s="221"/>
      <c r="O317" s="221"/>
      <c r="P317" s="51"/>
    </row>
    <row r="318" spans="2:16" x14ac:dyDescent="0.15">
      <c r="B318" s="76"/>
      <c r="C318" s="76"/>
      <c r="E318" s="221"/>
      <c r="F318" s="221"/>
      <c r="G318" s="221"/>
      <c r="H318" s="221"/>
      <c r="I318" s="221"/>
      <c r="J318" s="221"/>
      <c r="K318" s="221"/>
      <c r="L318" s="221"/>
      <c r="M318" s="221"/>
      <c r="N318" s="221"/>
      <c r="O318" s="221"/>
      <c r="P318" s="51"/>
    </row>
    <row r="319" spans="2:16" x14ac:dyDescent="0.15">
      <c r="B319" s="76"/>
      <c r="C319" s="76"/>
      <c r="E319" s="221"/>
      <c r="F319" s="221"/>
      <c r="G319" s="221"/>
      <c r="H319" s="221"/>
      <c r="I319" s="221"/>
      <c r="J319" s="221"/>
      <c r="K319" s="221"/>
      <c r="L319" s="221"/>
      <c r="M319" s="221"/>
      <c r="N319" s="221"/>
      <c r="O319" s="221"/>
      <c r="P319" s="51"/>
    </row>
    <row r="320" spans="2:16" x14ac:dyDescent="0.15">
      <c r="B320" s="219"/>
      <c r="C320" s="219"/>
      <c r="E320" s="221"/>
      <c r="F320" s="221"/>
      <c r="G320" s="221"/>
      <c r="H320" s="221"/>
      <c r="I320" s="221"/>
      <c r="J320" s="221"/>
      <c r="K320" s="221"/>
      <c r="L320" s="221"/>
      <c r="M320" s="221"/>
      <c r="N320" s="221"/>
      <c r="O320" s="221"/>
      <c r="P320" s="51"/>
    </row>
    <row r="321" spans="2:16" x14ac:dyDescent="0.15">
      <c r="B321" s="76"/>
      <c r="C321" s="76"/>
      <c r="E321" s="221"/>
      <c r="F321" s="221"/>
      <c r="G321" s="221"/>
      <c r="H321" s="221"/>
      <c r="I321" s="221"/>
      <c r="J321" s="221"/>
      <c r="K321" s="221"/>
      <c r="L321" s="221"/>
      <c r="M321" s="221"/>
      <c r="N321" s="221"/>
      <c r="O321" s="221"/>
      <c r="P321" s="51"/>
    </row>
    <row r="322" spans="2:16" x14ac:dyDescent="0.15">
      <c r="B322" s="76"/>
      <c r="C322" s="76"/>
      <c r="E322" s="221"/>
      <c r="F322" s="221"/>
      <c r="G322" s="221"/>
      <c r="H322" s="221"/>
      <c r="I322" s="221"/>
      <c r="J322" s="221"/>
      <c r="K322" s="221"/>
      <c r="L322" s="221"/>
      <c r="M322" s="221"/>
      <c r="N322" s="221"/>
      <c r="O322" s="221"/>
      <c r="P322" s="51"/>
    </row>
    <row r="323" spans="2:16" x14ac:dyDescent="0.15">
      <c r="E323" s="221"/>
      <c r="F323" s="221"/>
      <c r="G323" s="221"/>
      <c r="H323" s="221"/>
      <c r="I323" s="221"/>
      <c r="J323" s="221"/>
      <c r="K323" s="221"/>
      <c r="L323" s="221"/>
      <c r="M323" s="221"/>
      <c r="N323" s="221"/>
      <c r="O323" s="221"/>
      <c r="P323" s="51"/>
    </row>
    <row r="324" spans="2:16" x14ac:dyDescent="0.15">
      <c r="E324" s="221"/>
      <c r="F324" s="221"/>
      <c r="G324" s="221"/>
      <c r="H324" s="221"/>
      <c r="I324" s="221"/>
      <c r="J324" s="221"/>
      <c r="K324" s="221"/>
      <c r="L324" s="221"/>
      <c r="M324" s="221"/>
      <c r="N324" s="221"/>
      <c r="O324" s="221"/>
      <c r="P324" s="51"/>
    </row>
    <row r="325" spans="2:16" x14ac:dyDescent="0.15">
      <c r="E325" s="221"/>
      <c r="F325" s="221"/>
      <c r="G325" s="221"/>
      <c r="H325" s="221"/>
      <c r="I325" s="221"/>
      <c r="J325" s="221"/>
      <c r="K325" s="221"/>
      <c r="L325" s="221"/>
      <c r="M325" s="221"/>
      <c r="N325" s="221"/>
      <c r="O325" s="221"/>
      <c r="P325" s="51"/>
    </row>
    <row r="326" spans="2:16" x14ac:dyDescent="0.15">
      <c r="E326" s="221"/>
      <c r="F326" s="221"/>
      <c r="G326" s="221"/>
      <c r="H326" s="221"/>
      <c r="I326" s="221"/>
      <c r="J326" s="221"/>
      <c r="K326" s="221"/>
      <c r="L326" s="221"/>
      <c r="M326" s="221"/>
      <c r="N326" s="221"/>
      <c r="O326" s="221"/>
      <c r="P326" s="51"/>
    </row>
    <row r="327" spans="2:16" x14ac:dyDescent="0.15">
      <c r="E327" s="221"/>
      <c r="F327" s="221"/>
      <c r="G327" s="221"/>
      <c r="H327" s="221"/>
      <c r="I327" s="221"/>
      <c r="J327" s="221"/>
      <c r="K327" s="221"/>
      <c r="L327" s="221"/>
      <c r="M327" s="221"/>
      <c r="N327" s="221"/>
      <c r="O327" s="221"/>
      <c r="P327" s="51"/>
    </row>
    <row r="328" spans="2:16" x14ac:dyDescent="0.15">
      <c r="B328" s="218"/>
      <c r="C328" s="218"/>
      <c r="E328" s="221"/>
      <c r="F328" s="221"/>
      <c r="G328" s="221"/>
      <c r="H328" s="221"/>
      <c r="I328" s="221"/>
      <c r="J328" s="221"/>
      <c r="K328" s="221"/>
      <c r="L328" s="221"/>
      <c r="M328" s="221"/>
      <c r="N328" s="221"/>
      <c r="O328" s="221"/>
      <c r="P328" s="51"/>
    </row>
    <row r="329" spans="2:16" x14ac:dyDescent="0.15">
      <c r="B329" s="76"/>
      <c r="C329" s="76"/>
      <c r="E329" s="221"/>
      <c r="F329" s="221"/>
      <c r="G329" s="221"/>
      <c r="H329" s="221"/>
      <c r="I329" s="221"/>
      <c r="J329" s="221"/>
      <c r="K329" s="221"/>
      <c r="L329" s="221"/>
      <c r="M329" s="221"/>
      <c r="N329" s="221"/>
      <c r="O329" s="221"/>
      <c r="P329" s="51"/>
    </row>
    <row r="330" spans="2:16" x14ac:dyDescent="0.15">
      <c r="B330" s="76"/>
      <c r="C330" s="76"/>
      <c r="E330" s="221"/>
      <c r="F330" s="221"/>
      <c r="G330" s="221"/>
      <c r="H330" s="221"/>
      <c r="I330" s="221"/>
      <c r="J330" s="221"/>
      <c r="K330" s="221"/>
      <c r="L330" s="221"/>
      <c r="M330" s="221"/>
      <c r="N330" s="221"/>
      <c r="O330" s="221"/>
      <c r="P330" s="51"/>
    </row>
    <row r="331" spans="2:16" x14ac:dyDescent="0.15">
      <c r="B331" s="76"/>
      <c r="C331" s="76"/>
      <c r="E331" s="221"/>
      <c r="F331" s="221"/>
      <c r="G331" s="221"/>
      <c r="H331" s="221"/>
      <c r="I331" s="221"/>
      <c r="J331" s="221"/>
      <c r="K331" s="221"/>
      <c r="L331" s="221"/>
      <c r="M331" s="221"/>
      <c r="N331" s="221"/>
      <c r="O331" s="221"/>
      <c r="P331" s="51"/>
    </row>
    <row r="332" spans="2:16" x14ac:dyDescent="0.15">
      <c r="B332" s="76"/>
      <c r="C332" s="76"/>
      <c r="E332" s="221"/>
      <c r="F332" s="221"/>
      <c r="G332" s="221"/>
      <c r="H332" s="221"/>
      <c r="I332" s="221"/>
      <c r="J332" s="221"/>
      <c r="K332" s="221"/>
      <c r="L332" s="221"/>
      <c r="M332" s="221"/>
      <c r="N332" s="221"/>
      <c r="O332" s="221"/>
      <c r="P332" s="51"/>
    </row>
    <row r="333" spans="2:16" x14ac:dyDescent="0.15">
      <c r="E333" s="221"/>
      <c r="F333" s="221"/>
      <c r="G333" s="221"/>
      <c r="H333" s="221"/>
      <c r="I333" s="221"/>
      <c r="J333" s="221"/>
      <c r="K333" s="221"/>
      <c r="L333" s="221"/>
      <c r="M333" s="221"/>
      <c r="N333" s="221"/>
      <c r="O333" s="221"/>
      <c r="P333" s="51"/>
    </row>
    <row r="334" spans="2:16" x14ac:dyDescent="0.15">
      <c r="E334" s="221"/>
      <c r="F334" s="221"/>
      <c r="G334" s="221"/>
      <c r="H334" s="221"/>
      <c r="I334" s="221"/>
      <c r="J334" s="221"/>
      <c r="K334" s="221"/>
      <c r="L334" s="221"/>
      <c r="M334" s="221"/>
      <c r="N334" s="221"/>
      <c r="O334" s="221"/>
      <c r="P334" s="51"/>
    </row>
    <row r="335" spans="2:16" x14ac:dyDescent="0.15">
      <c r="E335" s="221"/>
      <c r="F335" s="221"/>
      <c r="G335" s="221"/>
      <c r="H335" s="221"/>
      <c r="I335" s="221"/>
      <c r="J335" s="221"/>
      <c r="K335" s="221"/>
      <c r="L335" s="221"/>
      <c r="M335" s="221"/>
      <c r="N335" s="221"/>
      <c r="O335" s="221"/>
      <c r="P335" s="51"/>
    </row>
    <row r="336" spans="2:16" x14ac:dyDescent="0.15">
      <c r="E336" s="221"/>
      <c r="F336" s="221"/>
      <c r="G336" s="221"/>
      <c r="H336" s="221"/>
      <c r="I336" s="221"/>
      <c r="J336" s="221"/>
      <c r="K336" s="221"/>
      <c r="L336" s="221"/>
      <c r="M336" s="221"/>
      <c r="N336" s="221"/>
      <c r="O336" s="221"/>
      <c r="P336" s="51"/>
    </row>
    <row r="337" spans="2:16" x14ac:dyDescent="0.15">
      <c r="E337" s="221"/>
      <c r="F337" s="221"/>
      <c r="G337" s="221"/>
      <c r="H337" s="221"/>
      <c r="I337" s="221"/>
      <c r="J337" s="221"/>
      <c r="K337" s="221"/>
      <c r="L337" s="221"/>
      <c r="M337" s="221"/>
      <c r="N337" s="221"/>
      <c r="O337" s="221"/>
      <c r="P337" s="51"/>
    </row>
    <row r="338" spans="2:16" x14ac:dyDescent="0.15">
      <c r="E338" s="221"/>
      <c r="F338" s="221"/>
      <c r="G338" s="221"/>
      <c r="H338" s="221"/>
      <c r="I338" s="221"/>
      <c r="J338" s="221"/>
      <c r="K338" s="221"/>
      <c r="L338" s="221"/>
      <c r="M338" s="221"/>
      <c r="N338" s="221"/>
      <c r="O338" s="221"/>
      <c r="P338" s="51"/>
    </row>
    <row r="339" spans="2:16" x14ac:dyDescent="0.15">
      <c r="B339" s="76"/>
      <c r="C339" s="76"/>
      <c r="E339" s="221"/>
      <c r="F339" s="221"/>
      <c r="G339" s="221"/>
      <c r="H339" s="221"/>
      <c r="I339" s="221"/>
      <c r="J339" s="221"/>
      <c r="K339" s="221"/>
      <c r="L339" s="221"/>
      <c r="M339" s="221"/>
      <c r="N339" s="221"/>
      <c r="O339" s="221"/>
      <c r="P339" s="51"/>
    </row>
    <row r="340" spans="2:16" x14ac:dyDescent="0.15">
      <c r="E340" s="221"/>
      <c r="F340" s="221"/>
      <c r="G340" s="221"/>
      <c r="H340" s="221"/>
      <c r="I340" s="221"/>
      <c r="J340" s="221"/>
      <c r="K340" s="221"/>
      <c r="L340" s="221"/>
      <c r="M340" s="221"/>
      <c r="N340" s="221"/>
      <c r="O340" s="221"/>
      <c r="P340" s="51"/>
    </row>
    <row r="341" spans="2:16" x14ac:dyDescent="0.15">
      <c r="B341" s="76"/>
      <c r="C341" s="76"/>
      <c r="E341" s="221"/>
      <c r="F341" s="221"/>
      <c r="G341" s="221"/>
      <c r="H341" s="221"/>
      <c r="I341" s="221"/>
      <c r="J341" s="221"/>
      <c r="K341" s="221"/>
      <c r="L341" s="221"/>
      <c r="M341" s="221"/>
      <c r="N341" s="221"/>
      <c r="O341" s="221"/>
      <c r="P341" s="51"/>
    </row>
    <row r="342" spans="2:16" x14ac:dyDescent="0.15">
      <c r="B342" s="76"/>
      <c r="C342" s="76"/>
      <c r="E342" s="221"/>
      <c r="F342" s="221"/>
      <c r="G342" s="221"/>
      <c r="H342" s="221"/>
      <c r="I342" s="221"/>
      <c r="J342" s="221"/>
      <c r="K342" s="221"/>
      <c r="L342" s="221"/>
      <c r="M342" s="221"/>
      <c r="N342" s="221"/>
      <c r="O342" s="221"/>
      <c r="P342" s="51"/>
    </row>
    <row r="343" spans="2:16" x14ac:dyDescent="0.15">
      <c r="E343" s="221"/>
      <c r="F343" s="221"/>
      <c r="G343" s="221"/>
      <c r="H343" s="221"/>
      <c r="I343" s="221"/>
      <c r="J343" s="221"/>
      <c r="K343" s="221"/>
      <c r="L343" s="221"/>
      <c r="M343" s="221"/>
      <c r="N343" s="221"/>
      <c r="O343" s="221"/>
      <c r="P343" s="51"/>
    </row>
    <row r="344" spans="2:16" x14ac:dyDescent="0.15">
      <c r="B344" s="76"/>
      <c r="C344" s="76"/>
      <c r="E344" s="221"/>
      <c r="F344" s="221"/>
      <c r="G344" s="221"/>
      <c r="H344" s="221"/>
      <c r="I344" s="221"/>
      <c r="J344" s="221"/>
      <c r="K344" s="221"/>
      <c r="L344" s="221"/>
      <c r="M344" s="221"/>
      <c r="N344" s="221"/>
      <c r="O344" s="221"/>
      <c r="P344" s="51"/>
    </row>
    <row r="345" spans="2:16" x14ac:dyDescent="0.15">
      <c r="E345" s="221"/>
      <c r="F345" s="221"/>
      <c r="G345" s="221"/>
      <c r="H345" s="221"/>
      <c r="I345" s="221"/>
      <c r="J345" s="221"/>
      <c r="K345" s="221"/>
      <c r="L345" s="221"/>
      <c r="M345" s="221"/>
      <c r="N345" s="221"/>
      <c r="O345" s="221"/>
      <c r="P345" s="51"/>
    </row>
    <row r="346" spans="2:16" x14ac:dyDescent="0.15">
      <c r="E346" s="221"/>
      <c r="F346" s="221"/>
      <c r="G346" s="221"/>
      <c r="H346" s="221"/>
      <c r="I346" s="221"/>
      <c r="J346" s="221"/>
      <c r="K346" s="221"/>
      <c r="L346" s="221"/>
      <c r="M346" s="221"/>
      <c r="N346" s="221"/>
      <c r="O346" s="221"/>
      <c r="P346" s="51"/>
    </row>
    <row r="347" spans="2:16" x14ac:dyDescent="0.15">
      <c r="E347" s="221"/>
      <c r="F347" s="221"/>
      <c r="G347" s="221"/>
      <c r="H347" s="221"/>
      <c r="I347" s="221"/>
      <c r="J347" s="221"/>
      <c r="K347" s="221"/>
      <c r="L347" s="221"/>
      <c r="M347" s="221"/>
      <c r="N347" s="221"/>
      <c r="O347" s="221"/>
      <c r="P347" s="51"/>
    </row>
    <row r="348" spans="2:16" x14ac:dyDescent="0.15">
      <c r="E348" s="221"/>
      <c r="F348" s="221"/>
      <c r="G348" s="221"/>
      <c r="H348" s="221"/>
      <c r="I348" s="221"/>
      <c r="J348" s="221"/>
      <c r="K348" s="221"/>
      <c r="L348" s="221"/>
      <c r="M348" s="221"/>
      <c r="N348" s="221"/>
      <c r="O348" s="221"/>
      <c r="P348" s="51"/>
    </row>
    <row r="349" spans="2:16" x14ac:dyDescent="0.15">
      <c r="E349" s="221"/>
      <c r="F349" s="221"/>
      <c r="G349" s="221"/>
      <c r="H349" s="221"/>
      <c r="I349" s="221"/>
      <c r="J349" s="221"/>
      <c r="K349" s="221"/>
      <c r="L349" s="221"/>
      <c r="M349" s="221"/>
      <c r="N349" s="221"/>
      <c r="O349" s="221"/>
      <c r="P349" s="51"/>
    </row>
    <row r="350" spans="2:16" x14ac:dyDescent="0.15">
      <c r="B350" s="76"/>
      <c r="C350" s="76"/>
      <c r="E350" s="221"/>
      <c r="F350" s="221"/>
      <c r="G350" s="221"/>
      <c r="H350" s="221"/>
      <c r="I350" s="221"/>
      <c r="J350" s="221"/>
      <c r="K350" s="221"/>
      <c r="L350" s="221"/>
      <c r="M350" s="221"/>
      <c r="N350" s="221"/>
      <c r="O350" s="221"/>
      <c r="P350" s="51"/>
    </row>
    <row r="351" spans="2:16" x14ac:dyDescent="0.15">
      <c r="E351" s="221"/>
      <c r="F351" s="221"/>
      <c r="G351" s="221"/>
      <c r="H351" s="221"/>
      <c r="I351" s="221"/>
      <c r="J351" s="221"/>
      <c r="K351" s="221"/>
      <c r="L351" s="221"/>
      <c r="M351" s="221"/>
      <c r="N351" s="221"/>
      <c r="O351" s="221"/>
      <c r="P351" s="51"/>
    </row>
    <row r="352" spans="2:16" x14ac:dyDescent="0.15">
      <c r="E352" s="221"/>
      <c r="F352" s="221"/>
      <c r="G352" s="221"/>
      <c r="H352" s="221"/>
      <c r="I352" s="221"/>
      <c r="J352" s="221"/>
      <c r="K352" s="221"/>
      <c r="L352" s="221"/>
      <c r="M352" s="221"/>
      <c r="N352" s="221"/>
      <c r="O352" s="221"/>
      <c r="P352" s="51"/>
    </row>
    <row r="353" spans="5:16" x14ac:dyDescent="0.15">
      <c r="E353" s="221"/>
      <c r="F353" s="221"/>
      <c r="G353" s="221"/>
      <c r="H353" s="221"/>
      <c r="I353" s="221"/>
      <c r="J353" s="221"/>
      <c r="K353" s="221"/>
      <c r="L353" s="221"/>
      <c r="M353" s="221"/>
      <c r="N353" s="221"/>
      <c r="O353" s="221"/>
      <c r="P353" s="51"/>
    </row>
    <row r="354" spans="5:16" x14ac:dyDescent="0.15">
      <c r="E354" s="221"/>
      <c r="F354" s="221"/>
      <c r="G354" s="221"/>
      <c r="H354" s="221"/>
      <c r="I354" s="221"/>
      <c r="J354" s="221"/>
      <c r="K354" s="221"/>
      <c r="L354" s="221"/>
      <c r="M354" s="221"/>
      <c r="N354" s="221"/>
      <c r="O354" s="221"/>
      <c r="P354" s="51"/>
    </row>
    <row r="355" spans="5:16" x14ac:dyDescent="0.15">
      <c r="E355" s="221"/>
      <c r="F355" s="221"/>
      <c r="G355" s="221"/>
      <c r="H355" s="221"/>
      <c r="I355" s="221"/>
      <c r="J355" s="221"/>
      <c r="K355" s="221"/>
      <c r="L355" s="221"/>
      <c r="M355" s="221"/>
      <c r="N355" s="221"/>
      <c r="O355" s="221"/>
      <c r="P355" s="51"/>
    </row>
    <row r="356" spans="5:16" x14ac:dyDescent="0.15">
      <c r="E356" s="221"/>
      <c r="F356" s="221"/>
      <c r="G356" s="221"/>
      <c r="H356" s="221"/>
      <c r="I356" s="221"/>
      <c r="J356" s="221"/>
      <c r="K356" s="221"/>
      <c r="L356" s="221"/>
      <c r="M356" s="221"/>
      <c r="N356" s="221"/>
      <c r="O356" s="221"/>
      <c r="P356" s="51"/>
    </row>
    <row r="357" spans="5:16" x14ac:dyDescent="0.15">
      <c r="E357" s="221"/>
      <c r="F357" s="221"/>
      <c r="G357" s="221"/>
      <c r="H357" s="221"/>
      <c r="I357" s="221"/>
      <c r="J357" s="221"/>
      <c r="K357" s="221"/>
      <c r="L357" s="221"/>
      <c r="M357" s="221"/>
      <c r="N357" s="221"/>
      <c r="O357" s="221"/>
      <c r="P357" s="51"/>
    </row>
    <row r="358" spans="5:16" x14ac:dyDescent="0.15">
      <c r="E358" s="221"/>
      <c r="F358" s="221"/>
      <c r="G358" s="221"/>
      <c r="H358" s="221"/>
      <c r="I358" s="221"/>
      <c r="J358" s="221"/>
      <c r="K358" s="221"/>
      <c r="L358" s="221"/>
      <c r="M358" s="221"/>
      <c r="N358" s="221"/>
      <c r="O358" s="221"/>
      <c r="P358" s="51"/>
    </row>
    <row r="359" spans="5:16" x14ac:dyDescent="0.15">
      <c r="E359" s="221"/>
      <c r="F359" s="221"/>
      <c r="G359" s="221"/>
      <c r="H359" s="221"/>
      <c r="I359" s="221"/>
      <c r="J359" s="221"/>
      <c r="K359" s="221"/>
      <c r="L359" s="221"/>
      <c r="M359" s="221"/>
      <c r="N359" s="221"/>
      <c r="O359" s="221"/>
      <c r="P359" s="51"/>
    </row>
    <row r="360" spans="5:16" x14ac:dyDescent="0.15">
      <c r="E360" s="221"/>
      <c r="F360" s="221"/>
      <c r="G360" s="221"/>
      <c r="H360" s="221"/>
      <c r="I360" s="221"/>
      <c r="J360" s="221"/>
      <c r="K360" s="221"/>
      <c r="L360" s="221"/>
      <c r="M360" s="221"/>
      <c r="N360" s="221"/>
      <c r="O360" s="221"/>
      <c r="P360" s="51"/>
    </row>
    <row r="361" spans="5:16" x14ac:dyDescent="0.15">
      <c r="E361" s="221"/>
      <c r="F361" s="221"/>
      <c r="G361" s="221"/>
      <c r="H361" s="221"/>
      <c r="I361" s="221"/>
      <c r="J361" s="221"/>
      <c r="K361" s="221"/>
      <c r="L361" s="221"/>
      <c r="M361" s="221"/>
      <c r="N361" s="221"/>
      <c r="O361" s="221"/>
      <c r="P361" s="51"/>
    </row>
    <row r="362" spans="5:16" x14ac:dyDescent="0.15">
      <c r="E362" s="221"/>
      <c r="F362" s="221"/>
      <c r="G362" s="221"/>
      <c r="H362" s="221"/>
      <c r="I362" s="221"/>
      <c r="J362" s="221"/>
      <c r="K362" s="221"/>
      <c r="L362" s="221"/>
      <c r="M362" s="221"/>
      <c r="N362" s="221"/>
      <c r="O362" s="221"/>
      <c r="P362" s="51"/>
    </row>
    <row r="363" spans="5:16" x14ac:dyDescent="0.15">
      <c r="E363" s="221"/>
      <c r="F363" s="221"/>
      <c r="G363" s="221"/>
      <c r="H363" s="221"/>
      <c r="I363" s="221"/>
      <c r="J363" s="221"/>
      <c r="K363" s="221"/>
      <c r="L363" s="221"/>
      <c r="M363" s="221"/>
      <c r="N363" s="221"/>
      <c r="O363" s="221"/>
      <c r="P363" s="51"/>
    </row>
    <row r="364" spans="5:16" x14ac:dyDescent="0.15">
      <c r="E364" s="221"/>
      <c r="F364" s="221"/>
      <c r="G364" s="221"/>
      <c r="H364" s="221"/>
      <c r="I364" s="221"/>
      <c r="J364" s="221"/>
      <c r="K364" s="221"/>
      <c r="L364" s="221"/>
      <c r="M364" s="221"/>
      <c r="N364" s="221"/>
      <c r="O364" s="221"/>
      <c r="P364" s="51"/>
    </row>
    <row r="365" spans="5:16" x14ac:dyDescent="0.15">
      <c r="E365" s="221"/>
      <c r="F365" s="221"/>
      <c r="G365" s="221"/>
      <c r="H365" s="221"/>
      <c r="I365" s="221"/>
      <c r="J365" s="221"/>
      <c r="K365" s="221"/>
      <c r="L365" s="221"/>
      <c r="M365" s="221"/>
      <c r="N365" s="221"/>
      <c r="O365" s="221"/>
      <c r="P365" s="51"/>
    </row>
    <row r="366" spans="5:16" x14ac:dyDescent="0.15">
      <c r="E366" s="221"/>
      <c r="F366" s="221"/>
      <c r="G366" s="221"/>
      <c r="H366" s="221"/>
      <c r="I366" s="221"/>
      <c r="J366" s="221"/>
      <c r="K366" s="221"/>
      <c r="L366" s="221"/>
      <c r="M366" s="221"/>
      <c r="N366" s="221"/>
      <c r="O366" s="221"/>
      <c r="P366" s="51"/>
    </row>
    <row r="367" spans="5:16" x14ac:dyDescent="0.15">
      <c r="E367" s="221"/>
      <c r="F367" s="221"/>
      <c r="G367" s="221"/>
      <c r="H367" s="221"/>
      <c r="I367" s="221"/>
      <c r="J367" s="221"/>
      <c r="K367" s="221"/>
      <c r="L367" s="221"/>
      <c r="M367" s="221"/>
      <c r="N367" s="221"/>
      <c r="O367" s="221"/>
      <c r="P367" s="51"/>
    </row>
    <row r="368" spans="5:16" x14ac:dyDescent="0.15">
      <c r="E368" s="221"/>
      <c r="F368" s="221"/>
      <c r="G368" s="221"/>
      <c r="H368" s="221"/>
      <c r="I368" s="221"/>
      <c r="J368" s="221"/>
      <c r="K368" s="221"/>
      <c r="L368" s="221"/>
      <c r="M368" s="221"/>
      <c r="N368" s="221"/>
      <c r="O368" s="221"/>
      <c r="P368" s="51"/>
    </row>
    <row r="369" spans="5:16" x14ac:dyDescent="0.15">
      <c r="E369" s="221"/>
      <c r="F369" s="221"/>
      <c r="G369" s="221"/>
      <c r="H369" s="221"/>
      <c r="I369" s="221"/>
      <c r="J369" s="221"/>
      <c r="K369" s="221"/>
      <c r="L369" s="221"/>
      <c r="M369" s="221"/>
      <c r="N369" s="221"/>
      <c r="O369" s="221"/>
      <c r="P369" s="51"/>
    </row>
    <row r="370" spans="5:16" x14ac:dyDescent="0.15">
      <c r="E370" s="221"/>
      <c r="F370" s="221"/>
      <c r="G370" s="221"/>
      <c r="H370" s="221"/>
      <c r="I370" s="221"/>
      <c r="J370" s="221"/>
      <c r="K370" s="221"/>
      <c r="L370" s="221"/>
      <c r="M370" s="221"/>
      <c r="N370" s="221"/>
      <c r="O370" s="221"/>
      <c r="P370" s="51"/>
    </row>
    <row r="371" spans="5:16" x14ac:dyDescent="0.15">
      <c r="E371" s="221"/>
      <c r="F371" s="221"/>
      <c r="G371" s="221"/>
      <c r="H371" s="221"/>
      <c r="I371" s="221"/>
      <c r="J371" s="221"/>
      <c r="K371" s="221"/>
      <c r="L371" s="221"/>
      <c r="M371" s="221"/>
      <c r="N371" s="221"/>
      <c r="O371" s="221"/>
      <c r="P371" s="51"/>
    </row>
    <row r="372" spans="5:16" x14ac:dyDescent="0.15">
      <c r="E372" s="221"/>
      <c r="F372" s="221"/>
      <c r="G372" s="221"/>
      <c r="H372" s="221"/>
      <c r="I372" s="221"/>
      <c r="J372" s="221"/>
      <c r="K372" s="221"/>
      <c r="L372" s="221"/>
      <c r="M372" s="221"/>
      <c r="N372" s="221"/>
      <c r="O372" s="221"/>
      <c r="P372" s="51"/>
    </row>
    <row r="373" spans="5:16" x14ac:dyDescent="0.15">
      <c r="E373" s="221"/>
      <c r="F373" s="221"/>
      <c r="G373" s="221"/>
      <c r="H373" s="221"/>
      <c r="I373" s="221"/>
      <c r="J373" s="221"/>
      <c r="K373" s="221"/>
      <c r="L373" s="221"/>
      <c r="M373" s="221"/>
      <c r="N373" s="221"/>
      <c r="O373" s="221"/>
      <c r="P373" s="51"/>
    </row>
    <row r="374" spans="5:16" x14ac:dyDescent="0.15">
      <c r="E374" s="221"/>
      <c r="F374" s="221"/>
      <c r="G374" s="221"/>
      <c r="H374" s="221"/>
      <c r="I374" s="221"/>
      <c r="J374" s="221"/>
      <c r="K374" s="221"/>
      <c r="L374" s="221"/>
      <c r="M374" s="221"/>
      <c r="N374" s="221"/>
      <c r="O374" s="221"/>
      <c r="P374" s="51"/>
    </row>
    <row r="375" spans="5:16" x14ac:dyDescent="0.15">
      <c r="E375" s="221"/>
      <c r="F375" s="221"/>
      <c r="G375" s="221"/>
      <c r="H375" s="221"/>
      <c r="I375" s="221"/>
      <c r="J375" s="221"/>
      <c r="K375" s="221"/>
      <c r="L375" s="221"/>
      <c r="M375" s="221"/>
      <c r="N375" s="221"/>
      <c r="O375" s="221"/>
      <c r="P375" s="51"/>
    </row>
    <row r="376" spans="5:16" x14ac:dyDescent="0.15">
      <c r="E376" s="221"/>
      <c r="F376" s="221"/>
      <c r="G376" s="221"/>
      <c r="H376" s="221"/>
      <c r="I376" s="221"/>
      <c r="J376" s="221"/>
      <c r="K376" s="221"/>
      <c r="L376" s="221"/>
      <c r="M376" s="221"/>
      <c r="N376" s="221"/>
      <c r="O376" s="221"/>
      <c r="P376" s="51"/>
    </row>
    <row r="377" spans="5:16" x14ac:dyDescent="0.15">
      <c r="E377" s="221"/>
      <c r="F377" s="221"/>
      <c r="G377" s="221"/>
      <c r="H377" s="221"/>
      <c r="I377" s="221"/>
      <c r="J377" s="221"/>
      <c r="K377" s="221"/>
      <c r="L377" s="221"/>
      <c r="M377" s="221"/>
      <c r="N377" s="221"/>
      <c r="O377" s="221"/>
      <c r="P377" s="51"/>
    </row>
    <row r="378" spans="5:16" x14ac:dyDescent="0.15">
      <c r="E378" s="221"/>
      <c r="F378" s="221"/>
      <c r="G378" s="221"/>
      <c r="H378" s="221"/>
      <c r="I378" s="221"/>
      <c r="J378" s="221"/>
      <c r="K378" s="221"/>
      <c r="L378" s="221"/>
      <c r="M378" s="221"/>
      <c r="N378" s="221"/>
      <c r="O378" s="221"/>
      <c r="P378" s="51"/>
    </row>
    <row r="379" spans="5:16" x14ac:dyDescent="0.15">
      <c r="E379" s="221"/>
      <c r="F379" s="221"/>
      <c r="G379" s="221"/>
      <c r="H379" s="221"/>
      <c r="I379" s="221"/>
      <c r="J379" s="221"/>
      <c r="K379" s="221"/>
      <c r="L379" s="221"/>
      <c r="M379" s="221"/>
      <c r="N379" s="221"/>
      <c r="O379" s="221"/>
      <c r="P379" s="51"/>
    </row>
    <row r="380" spans="5:16" x14ac:dyDescent="0.15">
      <c r="E380" s="221"/>
      <c r="F380" s="221"/>
      <c r="G380" s="221"/>
      <c r="H380" s="221"/>
      <c r="I380" s="221"/>
      <c r="J380" s="221"/>
      <c r="K380" s="221"/>
      <c r="L380" s="221"/>
      <c r="M380" s="221"/>
      <c r="N380" s="221"/>
      <c r="O380" s="221"/>
      <c r="P380" s="51"/>
    </row>
    <row r="381" spans="5:16" x14ac:dyDescent="0.15">
      <c r="E381" s="221"/>
      <c r="F381" s="221"/>
      <c r="G381" s="221"/>
      <c r="H381" s="221"/>
      <c r="I381" s="221"/>
      <c r="J381" s="221"/>
      <c r="K381" s="221"/>
      <c r="L381" s="221"/>
      <c r="M381" s="221"/>
      <c r="N381" s="221"/>
      <c r="O381" s="221"/>
      <c r="P381" s="51"/>
    </row>
    <row r="382" spans="5:16" x14ac:dyDescent="0.15">
      <c r="E382" s="221"/>
      <c r="F382" s="221"/>
      <c r="G382" s="221"/>
      <c r="H382" s="221"/>
      <c r="I382" s="221"/>
      <c r="J382" s="221"/>
      <c r="K382" s="221"/>
      <c r="L382" s="221"/>
      <c r="M382" s="221"/>
      <c r="N382" s="221"/>
      <c r="O382" s="221"/>
      <c r="P382" s="51"/>
    </row>
    <row r="383" spans="5:16" x14ac:dyDescent="0.15">
      <c r="E383" s="221"/>
      <c r="F383" s="221"/>
      <c r="G383" s="221"/>
      <c r="H383" s="221"/>
      <c r="I383" s="221"/>
      <c r="J383" s="221"/>
      <c r="K383" s="221"/>
      <c r="L383" s="221"/>
      <c r="M383" s="221"/>
      <c r="N383" s="221"/>
      <c r="O383" s="221"/>
      <c r="P383" s="51"/>
    </row>
    <row r="384" spans="5:16" x14ac:dyDescent="0.15">
      <c r="E384" s="221"/>
      <c r="F384" s="221"/>
      <c r="G384" s="221"/>
      <c r="H384" s="221"/>
      <c r="I384" s="221"/>
      <c r="J384" s="221"/>
      <c r="K384" s="221"/>
      <c r="L384" s="221"/>
      <c r="M384" s="221"/>
      <c r="N384" s="221"/>
      <c r="O384" s="221"/>
      <c r="P384" s="51"/>
    </row>
    <row r="385" spans="5:16" x14ac:dyDescent="0.15">
      <c r="E385" s="221"/>
      <c r="F385" s="221"/>
      <c r="G385" s="221"/>
      <c r="H385" s="221"/>
      <c r="I385" s="221"/>
      <c r="J385" s="221"/>
      <c r="K385" s="221"/>
      <c r="L385" s="221"/>
      <c r="M385" s="221"/>
      <c r="N385" s="221"/>
      <c r="O385" s="221"/>
      <c r="P385" s="51"/>
    </row>
    <row r="386" spans="5:16" x14ac:dyDescent="0.15">
      <c r="E386" s="221"/>
      <c r="F386" s="221"/>
      <c r="G386" s="221"/>
      <c r="H386" s="221"/>
      <c r="I386" s="221"/>
      <c r="J386" s="221"/>
      <c r="K386" s="221"/>
      <c r="L386" s="221"/>
      <c r="M386" s="221"/>
      <c r="N386" s="221"/>
      <c r="O386" s="221"/>
      <c r="P386" s="51"/>
    </row>
    <row r="387" spans="5:16" x14ac:dyDescent="0.15">
      <c r="E387" s="221"/>
      <c r="F387" s="221"/>
      <c r="G387" s="221"/>
      <c r="H387" s="221"/>
      <c r="I387" s="221"/>
      <c r="J387" s="221"/>
      <c r="K387" s="221"/>
      <c r="L387" s="221"/>
      <c r="M387" s="221"/>
      <c r="N387" s="221"/>
      <c r="O387" s="221"/>
      <c r="P387" s="51"/>
    </row>
    <row r="388" spans="5:16" x14ac:dyDescent="0.15">
      <c r="E388" s="221"/>
      <c r="F388" s="221"/>
      <c r="G388" s="221"/>
      <c r="H388" s="221"/>
      <c r="I388" s="221"/>
      <c r="J388" s="221"/>
      <c r="K388" s="221"/>
      <c r="L388" s="221"/>
      <c r="M388" s="221"/>
      <c r="N388" s="221"/>
      <c r="O388" s="221"/>
      <c r="P388" s="51"/>
    </row>
    <row r="389" spans="5:16" x14ac:dyDescent="0.15">
      <c r="E389" s="221"/>
      <c r="F389" s="221"/>
      <c r="G389" s="221"/>
      <c r="H389" s="221"/>
      <c r="I389" s="221"/>
      <c r="J389" s="221"/>
      <c r="K389" s="221"/>
      <c r="L389" s="221"/>
      <c r="M389" s="221"/>
      <c r="N389" s="221"/>
      <c r="O389" s="221"/>
      <c r="P389" s="51"/>
    </row>
    <row r="390" spans="5:16" x14ac:dyDescent="0.15">
      <c r="E390" s="221"/>
      <c r="F390" s="221"/>
      <c r="G390" s="221"/>
      <c r="H390" s="221"/>
      <c r="I390" s="221"/>
      <c r="J390" s="221"/>
      <c r="K390" s="221"/>
      <c r="L390" s="221"/>
      <c r="M390" s="221"/>
      <c r="N390" s="221"/>
      <c r="O390" s="221"/>
      <c r="P390" s="51"/>
    </row>
    <row r="391" spans="5:16" x14ac:dyDescent="0.15">
      <c r="E391" s="221"/>
      <c r="F391" s="221"/>
      <c r="G391" s="221"/>
      <c r="H391" s="221"/>
      <c r="I391" s="221"/>
      <c r="J391" s="221"/>
      <c r="K391" s="221"/>
      <c r="L391" s="221"/>
      <c r="M391" s="221"/>
      <c r="N391" s="221"/>
      <c r="O391" s="221"/>
      <c r="P391" s="51"/>
    </row>
    <row r="392" spans="5:16" x14ac:dyDescent="0.15">
      <c r="E392" s="221"/>
      <c r="F392" s="221"/>
      <c r="G392" s="221"/>
      <c r="H392" s="221"/>
      <c r="I392" s="221"/>
      <c r="J392" s="221"/>
      <c r="K392" s="221"/>
      <c r="L392" s="221"/>
      <c r="M392" s="221"/>
      <c r="N392" s="221"/>
      <c r="O392" s="221"/>
      <c r="P392" s="51"/>
    </row>
    <row r="393" spans="5:16" x14ac:dyDescent="0.15">
      <c r="E393" s="221"/>
      <c r="F393" s="221"/>
      <c r="G393" s="221"/>
      <c r="H393" s="221"/>
      <c r="I393" s="221"/>
      <c r="J393" s="221"/>
      <c r="K393" s="221"/>
      <c r="L393" s="221"/>
      <c r="M393" s="221"/>
      <c r="N393" s="221"/>
      <c r="O393" s="221"/>
      <c r="P393" s="51"/>
    </row>
    <row r="394" spans="5:16" x14ac:dyDescent="0.15">
      <c r="E394" s="221"/>
      <c r="F394" s="221"/>
      <c r="G394" s="221"/>
      <c r="H394" s="221"/>
      <c r="I394" s="221"/>
      <c r="J394" s="221"/>
      <c r="K394" s="221"/>
      <c r="L394" s="221"/>
      <c r="M394" s="221"/>
      <c r="N394" s="221"/>
      <c r="O394" s="221"/>
      <c r="P394" s="51"/>
    </row>
    <row r="395" spans="5:16" x14ac:dyDescent="0.15">
      <c r="E395" s="221"/>
      <c r="F395" s="221"/>
      <c r="G395" s="221"/>
      <c r="H395" s="221"/>
      <c r="I395" s="221"/>
      <c r="J395" s="221"/>
      <c r="K395" s="221"/>
      <c r="L395" s="221"/>
      <c r="M395" s="221"/>
      <c r="N395" s="221"/>
      <c r="O395" s="221"/>
      <c r="P395" s="51"/>
    </row>
    <row r="396" spans="5:16" x14ac:dyDescent="0.15">
      <c r="E396" s="221"/>
      <c r="F396" s="221"/>
      <c r="G396" s="221"/>
      <c r="H396" s="221"/>
      <c r="I396" s="221"/>
      <c r="J396" s="221"/>
      <c r="K396" s="221"/>
      <c r="L396" s="221"/>
      <c r="M396" s="221"/>
      <c r="N396" s="221"/>
      <c r="O396" s="221"/>
      <c r="P396" s="51"/>
    </row>
    <row r="397" spans="5:16" x14ac:dyDescent="0.15">
      <c r="E397" s="221"/>
      <c r="F397" s="221"/>
      <c r="G397" s="221"/>
      <c r="H397" s="221"/>
      <c r="I397" s="221"/>
      <c r="J397" s="221"/>
      <c r="K397" s="221"/>
      <c r="L397" s="221"/>
      <c r="M397" s="221"/>
      <c r="N397" s="221"/>
      <c r="O397" s="221"/>
      <c r="P397" s="51"/>
    </row>
    <row r="398" spans="5:16" x14ac:dyDescent="0.15">
      <c r="E398" s="221"/>
      <c r="F398" s="221"/>
      <c r="G398" s="221"/>
      <c r="H398" s="221"/>
      <c r="I398" s="221"/>
      <c r="J398" s="221"/>
      <c r="K398" s="221"/>
      <c r="L398" s="221"/>
      <c r="M398" s="221"/>
      <c r="N398" s="221"/>
      <c r="O398" s="221"/>
      <c r="P398" s="51"/>
    </row>
    <row r="399" spans="5:16" x14ac:dyDescent="0.15">
      <c r="E399" s="221"/>
      <c r="F399" s="221"/>
      <c r="G399" s="221"/>
      <c r="H399" s="221"/>
      <c r="I399" s="221"/>
      <c r="J399" s="221"/>
      <c r="K399" s="221"/>
      <c r="L399" s="221"/>
      <c r="M399" s="221"/>
      <c r="N399" s="221"/>
      <c r="O399" s="221"/>
      <c r="P399" s="51"/>
    </row>
    <row r="400" spans="5:16" x14ac:dyDescent="0.15">
      <c r="E400" s="221"/>
      <c r="F400" s="221"/>
      <c r="G400" s="221"/>
      <c r="H400" s="221"/>
      <c r="I400" s="221"/>
      <c r="J400" s="221"/>
      <c r="K400" s="221"/>
      <c r="L400" s="221"/>
      <c r="M400" s="221"/>
      <c r="N400" s="221"/>
      <c r="O400" s="221"/>
      <c r="P400" s="51"/>
    </row>
    <row r="401" spans="5:16" x14ac:dyDescent="0.15">
      <c r="E401" s="221"/>
      <c r="F401" s="221"/>
      <c r="G401" s="221"/>
      <c r="H401" s="221"/>
      <c r="I401" s="221"/>
      <c r="J401" s="221"/>
      <c r="K401" s="221"/>
      <c r="L401" s="221"/>
      <c r="M401" s="221"/>
      <c r="N401" s="221"/>
      <c r="O401" s="221"/>
      <c r="P401" s="51"/>
    </row>
    <row r="402" spans="5:16" x14ac:dyDescent="0.15">
      <c r="E402" s="221"/>
      <c r="F402" s="221"/>
      <c r="G402" s="221"/>
      <c r="H402" s="221"/>
      <c r="I402" s="221"/>
      <c r="J402" s="221"/>
      <c r="K402" s="221"/>
      <c r="L402" s="221"/>
      <c r="M402" s="221"/>
      <c r="N402" s="221"/>
      <c r="O402" s="221"/>
      <c r="P402" s="51"/>
    </row>
    <row r="403" spans="5:16" x14ac:dyDescent="0.15">
      <c r="E403" s="221"/>
      <c r="F403" s="221"/>
      <c r="G403" s="221"/>
      <c r="H403" s="221"/>
      <c r="I403" s="221"/>
      <c r="J403" s="221"/>
      <c r="K403" s="221"/>
      <c r="L403" s="221"/>
      <c r="M403" s="221"/>
      <c r="N403" s="221"/>
      <c r="O403" s="221"/>
      <c r="P403" s="51"/>
    </row>
    <row r="404" spans="5:16" x14ac:dyDescent="0.15">
      <c r="E404" s="221"/>
      <c r="F404" s="221"/>
      <c r="G404" s="221"/>
      <c r="H404" s="221"/>
      <c r="I404" s="221"/>
      <c r="J404" s="221"/>
      <c r="K404" s="221"/>
      <c r="L404" s="221"/>
      <c r="M404" s="221"/>
      <c r="N404" s="221"/>
      <c r="O404" s="221"/>
      <c r="P404" s="51"/>
    </row>
    <row r="405" spans="5:16" x14ac:dyDescent="0.15">
      <c r="E405" s="221"/>
      <c r="F405" s="221"/>
      <c r="G405" s="221"/>
      <c r="H405" s="221"/>
      <c r="I405" s="221"/>
      <c r="J405" s="221"/>
      <c r="K405" s="221"/>
      <c r="L405" s="221"/>
      <c r="M405" s="221"/>
      <c r="N405" s="221"/>
      <c r="O405" s="221"/>
      <c r="P405" s="51"/>
    </row>
    <row r="406" spans="5:16" x14ac:dyDescent="0.15">
      <c r="E406" s="221"/>
      <c r="F406" s="221"/>
      <c r="G406" s="221"/>
      <c r="H406" s="221"/>
      <c r="I406" s="221"/>
      <c r="J406" s="221"/>
      <c r="K406" s="221"/>
      <c r="L406" s="221"/>
      <c r="M406" s="221"/>
      <c r="N406" s="221"/>
      <c r="O406" s="221"/>
      <c r="P406" s="51"/>
    </row>
    <row r="407" spans="5:16" x14ac:dyDescent="0.15">
      <c r="E407" s="221"/>
      <c r="F407" s="221"/>
      <c r="G407" s="221"/>
      <c r="H407" s="221"/>
      <c r="I407" s="221"/>
      <c r="J407" s="221"/>
      <c r="K407" s="221"/>
      <c r="L407" s="221"/>
      <c r="M407" s="221"/>
      <c r="N407" s="221"/>
      <c r="O407" s="221"/>
      <c r="P407" s="51"/>
    </row>
    <row r="408" spans="5:16" x14ac:dyDescent="0.15">
      <c r="E408" s="221"/>
      <c r="F408" s="221"/>
      <c r="G408" s="221"/>
      <c r="H408" s="221"/>
      <c r="I408" s="221"/>
      <c r="J408" s="221"/>
      <c r="K408" s="221"/>
      <c r="L408" s="221"/>
      <c r="M408" s="221"/>
      <c r="N408" s="221"/>
      <c r="O408" s="221"/>
      <c r="P408" s="51"/>
    </row>
    <row r="409" spans="5:16" x14ac:dyDescent="0.15">
      <c r="E409" s="221"/>
      <c r="F409" s="221"/>
      <c r="G409" s="221"/>
      <c r="H409" s="221"/>
      <c r="I409" s="221"/>
      <c r="J409" s="221"/>
      <c r="K409" s="221"/>
      <c r="L409" s="221"/>
      <c r="M409" s="221"/>
      <c r="N409" s="221"/>
      <c r="O409" s="221"/>
      <c r="P409" s="51"/>
    </row>
    <row r="410" spans="5:16" x14ac:dyDescent="0.15">
      <c r="E410" s="221"/>
      <c r="F410" s="221"/>
      <c r="G410" s="221"/>
      <c r="H410" s="221"/>
      <c r="I410" s="221"/>
      <c r="J410" s="221"/>
      <c r="K410" s="221"/>
      <c r="L410" s="221"/>
      <c r="M410" s="221"/>
      <c r="N410" s="221"/>
      <c r="O410" s="221"/>
      <c r="P410" s="51"/>
    </row>
    <row r="411" spans="5:16" x14ac:dyDescent="0.15">
      <c r="E411" s="221"/>
      <c r="F411" s="221"/>
      <c r="G411" s="221"/>
      <c r="H411" s="221"/>
      <c r="I411" s="221"/>
      <c r="J411" s="221"/>
      <c r="K411" s="221"/>
      <c r="L411" s="221"/>
      <c r="M411" s="221"/>
      <c r="N411" s="221"/>
      <c r="O411" s="221"/>
      <c r="P411" s="51"/>
    </row>
    <row r="412" spans="5:16" x14ac:dyDescent="0.15">
      <c r="E412" s="221"/>
      <c r="F412" s="221"/>
      <c r="G412" s="221"/>
      <c r="H412" s="221"/>
      <c r="I412" s="221"/>
      <c r="J412" s="221"/>
      <c r="K412" s="221"/>
      <c r="L412" s="221"/>
      <c r="M412" s="221"/>
      <c r="N412" s="221"/>
      <c r="O412" s="221"/>
      <c r="P412" s="51"/>
    </row>
    <row r="413" spans="5:16" x14ac:dyDescent="0.15">
      <c r="E413" s="221"/>
      <c r="F413" s="221"/>
      <c r="G413" s="221"/>
      <c r="H413" s="221"/>
      <c r="I413" s="221"/>
      <c r="J413" s="221"/>
      <c r="K413" s="221"/>
      <c r="L413" s="221"/>
      <c r="M413" s="221"/>
      <c r="N413" s="221"/>
      <c r="O413" s="221"/>
      <c r="P413" s="51"/>
    </row>
    <row r="414" spans="5:16" x14ac:dyDescent="0.15">
      <c r="E414" s="221"/>
      <c r="F414" s="221"/>
      <c r="G414" s="221"/>
      <c r="H414" s="221"/>
      <c r="I414" s="221"/>
      <c r="J414" s="221"/>
      <c r="K414" s="221"/>
      <c r="L414" s="221"/>
      <c r="M414" s="221"/>
      <c r="N414" s="221"/>
      <c r="O414" s="221"/>
      <c r="P414" s="51"/>
    </row>
    <row r="415" spans="5:16" x14ac:dyDescent="0.15">
      <c r="E415" s="221"/>
      <c r="F415" s="221"/>
      <c r="G415" s="221"/>
      <c r="H415" s="221"/>
      <c r="I415" s="221"/>
      <c r="J415" s="221"/>
      <c r="K415" s="221"/>
      <c r="L415" s="221"/>
      <c r="M415" s="221"/>
      <c r="N415" s="221"/>
      <c r="O415" s="221"/>
      <c r="P415" s="51"/>
    </row>
    <row r="416" spans="5:16" x14ac:dyDescent="0.15">
      <c r="E416" s="221"/>
      <c r="F416" s="221"/>
      <c r="G416" s="221"/>
      <c r="H416" s="221"/>
      <c r="I416" s="221"/>
      <c r="J416" s="221"/>
      <c r="K416" s="221"/>
      <c r="L416" s="221"/>
      <c r="M416" s="221"/>
      <c r="N416" s="221"/>
      <c r="O416" s="221"/>
      <c r="P416" s="51"/>
    </row>
    <row r="417" spans="5:16" x14ac:dyDescent="0.15">
      <c r="E417" s="221"/>
      <c r="F417" s="221"/>
      <c r="G417" s="221"/>
      <c r="H417" s="221"/>
      <c r="I417" s="221"/>
      <c r="J417" s="221"/>
      <c r="K417" s="221"/>
      <c r="L417" s="221"/>
      <c r="M417" s="221"/>
      <c r="N417" s="221"/>
      <c r="O417" s="221"/>
      <c r="P417" s="51"/>
    </row>
    <row r="418" spans="5:16" x14ac:dyDescent="0.15">
      <c r="E418" s="221"/>
      <c r="F418" s="221"/>
      <c r="G418" s="221"/>
      <c r="H418" s="221"/>
      <c r="I418" s="221"/>
      <c r="J418" s="221"/>
      <c r="K418" s="221"/>
      <c r="L418" s="221"/>
      <c r="M418" s="221"/>
      <c r="N418" s="221"/>
      <c r="O418" s="221"/>
      <c r="P418" s="51"/>
    </row>
    <row r="419" spans="5:16" x14ac:dyDescent="0.15">
      <c r="E419" s="221"/>
      <c r="F419" s="221"/>
      <c r="G419" s="221"/>
      <c r="H419" s="221"/>
      <c r="I419" s="221"/>
      <c r="J419" s="221"/>
      <c r="K419" s="221"/>
      <c r="L419" s="221"/>
      <c r="M419" s="221"/>
      <c r="N419" s="221"/>
      <c r="O419" s="221"/>
      <c r="P419" s="51"/>
    </row>
    <row r="420" spans="5:16" x14ac:dyDescent="0.15">
      <c r="E420" s="221"/>
      <c r="F420" s="221"/>
      <c r="G420" s="221"/>
      <c r="H420" s="221"/>
      <c r="I420" s="221"/>
      <c r="J420" s="221"/>
      <c r="K420" s="221"/>
      <c r="L420" s="221"/>
      <c r="M420" s="221"/>
      <c r="N420" s="221"/>
      <c r="O420" s="221"/>
      <c r="P420" s="51"/>
    </row>
    <row r="421" spans="5:16" x14ac:dyDescent="0.15">
      <c r="E421" s="221"/>
      <c r="F421" s="221"/>
      <c r="G421" s="221"/>
      <c r="H421" s="221"/>
      <c r="I421" s="221"/>
      <c r="J421" s="221"/>
      <c r="K421" s="221"/>
      <c r="L421" s="221"/>
      <c r="M421" s="221"/>
      <c r="N421" s="221"/>
      <c r="O421" s="221"/>
      <c r="P421" s="51"/>
    </row>
    <row r="422" spans="5:16" x14ac:dyDescent="0.15">
      <c r="E422" s="221"/>
      <c r="F422" s="221"/>
      <c r="G422" s="221"/>
      <c r="H422" s="221"/>
      <c r="I422" s="221"/>
      <c r="J422" s="221"/>
      <c r="K422" s="221"/>
      <c r="L422" s="221"/>
      <c r="M422" s="221"/>
      <c r="N422" s="221"/>
      <c r="O422" s="221"/>
      <c r="P422" s="51"/>
    </row>
    <row r="423" spans="5:16" x14ac:dyDescent="0.15">
      <c r="E423" s="221"/>
      <c r="F423" s="221"/>
      <c r="G423" s="221"/>
      <c r="H423" s="221"/>
      <c r="I423" s="221"/>
      <c r="J423" s="221"/>
      <c r="K423" s="221"/>
      <c r="L423" s="221"/>
      <c r="M423" s="221"/>
      <c r="N423" s="221"/>
      <c r="O423" s="221"/>
      <c r="P423" s="51"/>
    </row>
    <row r="424" spans="5:16" x14ac:dyDescent="0.15">
      <c r="E424" s="221"/>
      <c r="F424" s="221"/>
      <c r="G424" s="221"/>
      <c r="H424" s="221"/>
      <c r="I424" s="221"/>
      <c r="J424" s="221"/>
      <c r="K424" s="221"/>
      <c r="L424" s="221"/>
      <c r="M424" s="221"/>
      <c r="N424" s="221"/>
      <c r="O424" s="221"/>
      <c r="P424" s="51"/>
    </row>
    <row r="425" spans="5:16" x14ac:dyDescent="0.15">
      <c r="E425" s="221"/>
      <c r="F425" s="221"/>
      <c r="G425" s="221"/>
      <c r="H425" s="221"/>
      <c r="I425" s="221"/>
      <c r="J425" s="221"/>
      <c r="K425" s="221"/>
      <c r="L425" s="221"/>
      <c r="M425" s="221"/>
      <c r="N425" s="221"/>
      <c r="O425" s="221"/>
      <c r="P425" s="51"/>
    </row>
    <row r="426" spans="5:16" x14ac:dyDescent="0.15">
      <c r="E426" s="221"/>
      <c r="F426" s="221"/>
      <c r="G426" s="221"/>
      <c r="H426" s="221"/>
      <c r="I426" s="221"/>
      <c r="J426" s="221"/>
      <c r="K426" s="221"/>
      <c r="L426" s="221"/>
      <c r="M426" s="221"/>
      <c r="N426" s="221"/>
      <c r="O426" s="221"/>
      <c r="P426" s="51"/>
    </row>
    <row r="427" spans="5:16" x14ac:dyDescent="0.15">
      <c r="E427" s="221"/>
      <c r="F427" s="221"/>
      <c r="G427" s="221"/>
      <c r="H427" s="221"/>
      <c r="I427" s="221"/>
      <c r="J427" s="221"/>
      <c r="K427" s="221"/>
      <c r="L427" s="221"/>
      <c r="M427" s="221"/>
      <c r="N427" s="221"/>
      <c r="O427" s="221"/>
      <c r="P427" s="51"/>
    </row>
    <row r="428" spans="5:16" x14ac:dyDescent="0.15">
      <c r="E428" s="221"/>
      <c r="F428" s="221"/>
      <c r="G428" s="221"/>
      <c r="H428" s="221"/>
      <c r="I428" s="221"/>
      <c r="J428" s="221"/>
      <c r="K428" s="221"/>
      <c r="L428" s="221"/>
      <c r="M428" s="221"/>
      <c r="N428" s="221"/>
      <c r="O428" s="221"/>
      <c r="P428" s="51"/>
    </row>
    <row r="429" spans="5:16" x14ac:dyDescent="0.15">
      <c r="E429" s="221"/>
      <c r="F429" s="221"/>
      <c r="G429" s="221"/>
      <c r="H429" s="221"/>
      <c r="I429" s="221"/>
      <c r="J429" s="221"/>
      <c r="K429" s="221"/>
      <c r="L429" s="221"/>
      <c r="M429" s="221"/>
      <c r="N429" s="221"/>
      <c r="O429" s="221"/>
      <c r="P429" s="51"/>
    </row>
    <row r="430" spans="5:16" x14ac:dyDescent="0.15">
      <c r="E430" s="221"/>
      <c r="F430" s="221"/>
      <c r="G430" s="221"/>
      <c r="H430" s="221"/>
      <c r="I430" s="221"/>
      <c r="J430" s="221"/>
      <c r="K430" s="221"/>
      <c r="L430" s="221"/>
      <c r="M430" s="221"/>
      <c r="N430" s="221"/>
      <c r="O430" s="221"/>
      <c r="P430" s="51"/>
    </row>
    <row r="431" spans="5:16" x14ac:dyDescent="0.15">
      <c r="E431" s="221"/>
      <c r="F431" s="221"/>
      <c r="G431" s="221"/>
      <c r="H431" s="221"/>
      <c r="I431" s="221"/>
      <c r="J431" s="221"/>
      <c r="K431" s="221"/>
      <c r="L431" s="221"/>
      <c r="M431" s="221"/>
      <c r="N431" s="221"/>
      <c r="O431" s="221"/>
      <c r="P431" s="51"/>
    </row>
    <row r="432" spans="5:16" x14ac:dyDescent="0.15">
      <c r="E432" s="221"/>
      <c r="F432" s="221"/>
      <c r="G432" s="221"/>
      <c r="H432" s="221"/>
      <c r="I432" s="221"/>
      <c r="J432" s="221"/>
      <c r="K432" s="221"/>
      <c r="L432" s="221"/>
      <c r="M432" s="230"/>
      <c r="N432" s="230"/>
      <c r="O432" s="230"/>
      <c r="P432" s="51"/>
    </row>
    <row r="433" spans="2:16" x14ac:dyDescent="0.15">
      <c r="E433" s="221"/>
      <c r="F433" s="221"/>
      <c r="G433" s="221"/>
      <c r="H433" s="221"/>
      <c r="I433" s="221"/>
      <c r="J433" s="221"/>
      <c r="K433" s="221"/>
      <c r="L433" s="221"/>
      <c r="M433" s="231"/>
      <c r="N433" s="231"/>
      <c r="O433" s="231"/>
      <c r="P433" s="51"/>
    </row>
    <row r="434" spans="2:16" x14ac:dyDescent="0.15">
      <c r="E434" s="221"/>
      <c r="F434" s="221"/>
      <c r="G434" s="221"/>
      <c r="H434" s="221"/>
      <c r="I434" s="221"/>
      <c r="J434" s="221"/>
      <c r="K434" s="221"/>
      <c r="L434" s="221"/>
      <c r="M434" s="231"/>
      <c r="N434" s="231"/>
      <c r="O434" s="231"/>
      <c r="P434" s="51"/>
    </row>
    <row r="435" spans="2:16" x14ac:dyDescent="0.15">
      <c r="E435" s="221"/>
      <c r="F435" s="221"/>
      <c r="G435" s="221"/>
      <c r="H435" s="221"/>
      <c r="I435" s="221"/>
      <c r="J435" s="221"/>
      <c r="K435" s="221"/>
      <c r="L435" s="221"/>
      <c r="M435" s="231"/>
      <c r="N435" s="231"/>
      <c r="O435" s="231"/>
      <c r="P435" s="51"/>
    </row>
    <row r="436" spans="2:16" x14ac:dyDescent="0.15">
      <c r="E436" s="221"/>
      <c r="F436" s="221"/>
      <c r="G436" s="221"/>
      <c r="H436" s="221"/>
      <c r="I436" s="221"/>
      <c r="J436" s="221"/>
      <c r="K436" s="221"/>
      <c r="L436" s="221"/>
      <c r="M436" s="230"/>
      <c r="N436" s="230"/>
      <c r="O436" s="230"/>
      <c r="P436" s="51"/>
    </row>
    <row r="437" spans="2:16" x14ac:dyDescent="0.15">
      <c r="E437" s="221"/>
      <c r="F437" s="221"/>
      <c r="G437" s="221"/>
      <c r="H437" s="221"/>
      <c r="I437" s="221"/>
      <c r="J437" s="221"/>
      <c r="K437" s="221"/>
      <c r="L437" s="221"/>
      <c r="M437" s="230"/>
      <c r="N437" s="230"/>
      <c r="O437" s="230"/>
      <c r="P437" s="51"/>
    </row>
    <row r="438" spans="2:16" x14ac:dyDescent="0.15">
      <c r="E438" s="221"/>
      <c r="F438" s="221"/>
      <c r="G438" s="221"/>
      <c r="H438" s="221"/>
      <c r="I438" s="221"/>
      <c r="J438" s="221"/>
      <c r="K438" s="221"/>
      <c r="L438" s="221"/>
      <c r="M438" s="230"/>
      <c r="N438" s="230"/>
      <c r="O438" s="230"/>
      <c r="P438" s="51"/>
    </row>
    <row r="439" spans="2:16" x14ac:dyDescent="0.15">
      <c r="E439" s="221"/>
      <c r="F439" s="221"/>
      <c r="G439" s="221"/>
      <c r="H439" s="221"/>
      <c r="I439" s="221"/>
      <c r="J439" s="221"/>
      <c r="K439" s="221"/>
      <c r="L439" s="221"/>
      <c r="M439" s="231"/>
      <c r="N439" s="231"/>
      <c r="O439" s="231"/>
      <c r="P439" s="51"/>
    </row>
    <row r="440" spans="2:16" x14ac:dyDescent="0.15">
      <c r="E440" s="221"/>
      <c r="F440" s="221"/>
      <c r="G440" s="221"/>
      <c r="H440" s="221"/>
      <c r="I440" s="221"/>
      <c r="J440" s="221"/>
      <c r="K440" s="221"/>
      <c r="L440" s="221"/>
      <c r="M440" s="230"/>
      <c r="N440" s="230"/>
      <c r="O440" s="230"/>
      <c r="P440" s="51"/>
    </row>
    <row r="441" spans="2:16" x14ac:dyDescent="0.15">
      <c r="E441" s="221"/>
      <c r="F441" s="221"/>
      <c r="G441" s="221"/>
      <c r="H441" s="221"/>
      <c r="I441" s="221"/>
      <c r="J441" s="221"/>
      <c r="K441" s="221"/>
      <c r="L441" s="221"/>
      <c r="M441" s="230"/>
      <c r="N441" s="230"/>
      <c r="O441" s="230"/>
      <c r="P441" s="51"/>
    </row>
    <row r="442" spans="2:16" x14ac:dyDescent="0.15">
      <c r="E442" s="221"/>
      <c r="F442" s="221"/>
      <c r="G442" s="221"/>
      <c r="H442" s="221"/>
      <c r="I442" s="221"/>
      <c r="J442" s="221"/>
      <c r="K442" s="221"/>
      <c r="L442" s="221"/>
      <c r="M442" s="230"/>
      <c r="N442" s="230"/>
      <c r="O442" s="230"/>
      <c r="P442" s="51"/>
    </row>
    <row r="443" spans="2:16" x14ac:dyDescent="0.15">
      <c r="E443" s="221"/>
      <c r="F443" s="221"/>
      <c r="G443" s="221"/>
      <c r="H443" s="221"/>
      <c r="I443" s="221"/>
      <c r="J443" s="221"/>
      <c r="K443" s="221"/>
      <c r="L443" s="221"/>
      <c r="M443" s="230"/>
      <c r="N443" s="230"/>
      <c r="O443" s="230"/>
      <c r="P443" s="51"/>
    </row>
    <row r="444" spans="2:16" x14ac:dyDescent="0.15">
      <c r="B444" s="99"/>
      <c r="C444" s="99"/>
      <c r="D444" s="99"/>
      <c r="M444" s="232"/>
      <c r="N444" s="232"/>
      <c r="O444" s="232"/>
    </row>
    <row r="445" spans="2:16" x14ac:dyDescent="0.15">
      <c r="B445" s="99"/>
      <c r="C445" s="99"/>
      <c r="D445" s="99"/>
      <c r="M445" s="232"/>
      <c r="N445" s="232"/>
      <c r="O445" s="232"/>
    </row>
    <row r="446" spans="2:16" x14ac:dyDescent="0.15">
      <c r="B446" s="99"/>
      <c r="C446" s="99"/>
      <c r="D446" s="99"/>
      <c r="M446" s="232"/>
      <c r="N446" s="232"/>
      <c r="O446" s="232"/>
    </row>
    <row r="447" spans="2:16" x14ac:dyDescent="0.15">
      <c r="B447" s="99"/>
      <c r="C447" s="99"/>
      <c r="D447" s="99"/>
      <c r="M447" s="232"/>
      <c r="N447" s="232"/>
      <c r="O447" s="232"/>
    </row>
    <row r="448" spans="2:16" x14ac:dyDescent="0.15">
      <c r="B448" s="99"/>
      <c r="C448" s="99"/>
      <c r="D448" s="99"/>
      <c r="M448" s="232"/>
      <c r="N448" s="232"/>
      <c r="O448" s="232"/>
    </row>
    <row r="449" spans="2:15" x14ac:dyDescent="0.15">
      <c r="B449" s="99"/>
      <c r="C449" s="99"/>
      <c r="D449" s="99"/>
      <c r="M449" s="232"/>
      <c r="N449" s="232"/>
      <c r="O449" s="232"/>
    </row>
    <row r="450" spans="2:15" x14ac:dyDescent="0.15">
      <c r="B450" s="99"/>
      <c r="C450" s="99"/>
      <c r="D450" s="99"/>
      <c r="M450" s="232"/>
      <c r="N450" s="232"/>
      <c r="O450" s="232"/>
    </row>
    <row r="451" spans="2:15" x14ac:dyDescent="0.15">
      <c r="B451" s="99"/>
      <c r="C451" s="99"/>
      <c r="D451" s="99"/>
      <c r="M451" s="232"/>
      <c r="N451" s="232"/>
      <c r="O451" s="232"/>
    </row>
    <row r="452" spans="2:15" x14ac:dyDescent="0.15">
      <c r="B452" s="99"/>
      <c r="C452" s="99"/>
      <c r="D452" s="99"/>
      <c r="M452" s="232"/>
      <c r="N452" s="232"/>
      <c r="O452" s="232"/>
    </row>
    <row r="453" spans="2:15" x14ac:dyDescent="0.15">
      <c r="B453" s="99"/>
      <c r="C453" s="99"/>
      <c r="D453" s="99"/>
      <c r="M453" s="232"/>
      <c r="N453" s="232"/>
      <c r="O453" s="232"/>
    </row>
    <row r="454" spans="2:15" x14ac:dyDescent="0.15">
      <c r="B454" s="99"/>
      <c r="C454" s="99"/>
      <c r="D454" s="99"/>
      <c r="M454" s="232"/>
      <c r="N454" s="232"/>
      <c r="O454" s="232"/>
    </row>
    <row r="455" spans="2:15" x14ac:dyDescent="0.15">
      <c r="B455" s="99"/>
      <c r="C455" s="99"/>
      <c r="D455" s="99"/>
      <c r="M455" s="232"/>
      <c r="N455" s="232"/>
      <c r="O455" s="232"/>
    </row>
    <row r="456" spans="2:15" x14ac:dyDescent="0.15">
      <c r="B456" s="99"/>
      <c r="C456" s="99"/>
      <c r="D456" s="99"/>
      <c r="M456" s="232"/>
      <c r="N456" s="232"/>
      <c r="O456" s="232"/>
    </row>
    <row r="457" spans="2:15" x14ac:dyDescent="0.15">
      <c r="B457" s="99"/>
      <c r="C457" s="99"/>
      <c r="D457" s="99"/>
      <c r="M457" s="232"/>
      <c r="N457" s="232"/>
      <c r="O457" s="232"/>
    </row>
    <row r="458" spans="2:15" x14ac:dyDescent="0.15">
      <c r="B458" s="99"/>
      <c r="C458" s="99"/>
      <c r="D458" s="99"/>
      <c r="M458" s="232"/>
      <c r="N458" s="232"/>
      <c r="O458" s="232"/>
    </row>
    <row r="459" spans="2:15" x14ac:dyDescent="0.15">
      <c r="B459" s="99"/>
      <c r="C459" s="99"/>
      <c r="D459" s="99"/>
      <c r="M459" s="232"/>
      <c r="N459" s="232"/>
      <c r="O459" s="232"/>
    </row>
    <row r="460" spans="2:15" x14ac:dyDescent="0.15">
      <c r="B460" s="99"/>
      <c r="C460" s="99"/>
      <c r="D460" s="99"/>
      <c r="M460" s="232"/>
      <c r="N460" s="232"/>
      <c r="O460" s="232"/>
    </row>
    <row r="461" spans="2:15" x14ac:dyDescent="0.15">
      <c r="B461" s="99"/>
      <c r="C461" s="99"/>
      <c r="D461" s="99"/>
      <c r="M461" s="232"/>
      <c r="N461" s="232"/>
      <c r="O461" s="232"/>
    </row>
    <row r="462" spans="2:15" x14ac:dyDescent="0.15">
      <c r="B462" s="99"/>
      <c r="C462" s="99"/>
      <c r="D462" s="99"/>
      <c r="M462" s="232"/>
      <c r="N462" s="232"/>
      <c r="O462" s="232"/>
    </row>
    <row r="463" spans="2:15" x14ac:dyDescent="0.15">
      <c r="B463" s="99"/>
      <c r="C463" s="99"/>
      <c r="D463" s="99"/>
      <c r="M463" s="232"/>
      <c r="N463" s="232"/>
      <c r="O463" s="232"/>
    </row>
    <row r="464" spans="2:15" x14ac:dyDescent="0.15">
      <c r="B464" s="99"/>
      <c r="C464" s="99"/>
      <c r="D464" s="99"/>
      <c r="M464" s="232"/>
      <c r="N464" s="232"/>
      <c r="O464" s="232"/>
    </row>
    <row r="465" spans="2:15" x14ac:dyDescent="0.15">
      <c r="B465" s="99"/>
      <c r="C465" s="99"/>
      <c r="D465" s="99"/>
      <c r="M465" s="232"/>
      <c r="N465" s="232"/>
      <c r="O465" s="232"/>
    </row>
    <row r="466" spans="2:15" x14ac:dyDescent="0.15">
      <c r="B466" s="99"/>
      <c r="C466" s="99"/>
      <c r="D466" s="99"/>
      <c r="M466" s="232"/>
      <c r="N466" s="232"/>
      <c r="O466" s="232"/>
    </row>
    <row r="467" spans="2:15" x14ac:dyDescent="0.15">
      <c r="B467" s="99"/>
      <c r="C467" s="99"/>
      <c r="D467" s="99"/>
      <c r="M467" s="232"/>
      <c r="N467" s="232"/>
      <c r="O467" s="232"/>
    </row>
    <row r="468" spans="2:15" x14ac:dyDescent="0.15">
      <c r="B468" s="99"/>
      <c r="C468" s="99"/>
      <c r="D468" s="99"/>
      <c r="M468" s="232"/>
      <c r="N468" s="232"/>
      <c r="O468" s="232"/>
    </row>
    <row r="469" spans="2:15" x14ac:dyDescent="0.15">
      <c r="B469" s="99"/>
      <c r="C469" s="99"/>
      <c r="D469" s="99"/>
      <c r="M469" s="232"/>
      <c r="N469" s="232"/>
      <c r="O469" s="232"/>
    </row>
    <row r="470" spans="2:15" x14ac:dyDescent="0.15">
      <c r="B470" s="99"/>
      <c r="C470" s="99"/>
      <c r="D470" s="99"/>
      <c r="M470" s="232"/>
      <c r="N470" s="232"/>
      <c r="O470" s="232"/>
    </row>
    <row r="471" spans="2:15" x14ac:dyDescent="0.15">
      <c r="B471" s="99"/>
      <c r="C471" s="99"/>
      <c r="D471" s="99"/>
      <c r="M471" s="232"/>
      <c r="N471" s="232"/>
      <c r="O471" s="232"/>
    </row>
    <row r="472" spans="2:15" x14ac:dyDescent="0.15">
      <c r="B472" s="99"/>
      <c r="C472" s="99"/>
      <c r="D472" s="99"/>
      <c r="M472" s="232"/>
      <c r="N472" s="232"/>
      <c r="O472" s="232"/>
    </row>
    <row r="473" spans="2:15" x14ac:dyDescent="0.15">
      <c r="B473" s="99"/>
      <c r="C473" s="99"/>
      <c r="D473" s="99"/>
      <c r="M473" s="232"/>
      <c r="N473" s="232"/>
      <c r="O473" s="232"/>
    </row>
    <row r="474" spans="2:15" x14ac:dyDescent="0.15">
      <c r="B474" s="99"/>
      <c r="C474" s="99"/>
      <c r="D474" s="99"/>
      <c r="M474" s="232"/>
      <c r="N474" s="232"/>
      <c r="O474" s="232"/>
    </row>
    <row r="475" spans="2:15" x14ac:dyDescent="0.15">
      <c r="B475" s="99"/>
      <c r="C475" s="99"/>
      <c r="D475" s="99"/>
      <c r="M475" s="232"/>
      <c r="N475" s="232"/>
      <c r="O475" s="232"/>
    </row>
    <row r="476" spans="2:15" x14ac:dyDescent="0.15">
      <c r="B476" s="99"/>
      <c r="C476" s="99"/>
      <c r="D476" s="99"/>
      <c r="M476" s="232"/>
      <c r="N476" s="232"/>
      <c r="O476" s="232"/>
    </row>
    <row r="477" spans="2:15" x14ac:dyDescent="0.15">
      <c r="B477" s="99"/>
      <c r="C477" s="99"/>
      <c r="D477" s="99"/>
      <c r="M477" s="232"/>
      <c r="N477" s="232"/>
      <c r="O477" s="232"/>
    </row>
    <row r="478" spans="2:15" x14ac:dyDescent="0.15">
      <c r="B478" s="99"/>
      <c r="C478" s="99"/>
      <c r="D478" s="99"/>
      <c r="M478" s="232"/>
      <c r="N478" s="232"/>
      <c r="O478" s="232"/>
    </row>
    <row r="479" spans="2:15" x14ac:dyDescent="0.15">
      <c r="B479" s="99"/>
      <c r="C479" s="99"/>
      <c r="D479" s="99"/>
      <c r="M479" s="232"/>
      <c r="N479" s="232"/>
      <c r="O479" s="232"/>
    </row>
    <row r="480" spans="2:15" x14ac:dyDescent="0.15">
      <c r="B480" s="99"/>
      <c r="C480" s="99"/>
      <c r="D480" s="99"/>
      <c r="M480" s="232"/>
      <c r="N480" s="232"/>
      <c r="O480" s="232"/>
    </row>
    <row r="481" spans="2:15" x14ac:dyDescent="0.15">
      <c r="B481" s="99"/>
      <c r="C481" s="99"/>
      <c r="D481" s="99"/>
      <c r="M481" s="232"/>
      <c r="N481" s="232"/>
      <c r="O481" s="232"/>
    </row>
    <row r="482" spans="2:15" x14ac:dyDescent="0.15">
      <c r="B482" s="99"/>
      <c r="C482" s="99"/>
      <c r="D482" s="99"/>
      <c r="M482" s="232"/>
      <c r="N482" s="232"/>
      <c r="O482" s="232"/>
    </row>
    <row r="483" spans="2:15" x14ac:dyDescent="0.15">
      <c r="B483" s="99"/>
      <c r="C483" s="99"/>
      <c r="D483" s="99"/>
      <c r="M483" s="232"/>
      <c r="N483" s="232"/>
      <c r="O483" s="232"/>
    </row>
    <row r="484" spans="2:15" x14ac:dyDescent="0.15">
      <c r="B484" s="99"/>
      <c r="C484" s="99"/>
      <c r="D484" s="99"/>
      <c r="M484" s="232"/>
      <c r="N484" s="232"/>
      <c r="O484" s="232"/>
    </row>
    <row r="485" spans="2:15" x14ac:dyDescent="0.15">
      <c r="B485" s="99"/>
      <c r="C485" s="99"/>
      <c r="D485" s="99"/>
      <c r="M485" s="232"/>
      <c r="N485" s="232"/>
      <c r="O485" s="232"/>
    </row>
    <row r="486" spans="2:15" x14ac:dyDescent="0.15">
      <c r="B486" s="99"/>
      <c r="C486" s="99"/>
      <c r="D486" s="99"/>
      <c r="M486" s="232"/>
      <c r="N486" s="232"/>
      <c r="O486" s="232"/>
    </row>
    <row r="487" spans="2:15" x14ac:dyDescent="0.15">
      <c r="B487" s="99"/>
      <c r="C487" s="99"/>
      <c r="D487" s="99"/>
      <c r="M487" s="232"/>
      <c r="N487" s="232"/>
      <c r="O487" s="232"/>
    </row>
    <row r="488" spans="2:15" x14ac:dyDescent="0.15">
      <c r="B488" s="99"/>
      <c r="C488" s="99"/>
      <c r="D488" s="99"/>
      <c r="M488" s="232"/>
      <c r="N488" s="232"/>
      <c r="O488" s="232"/>
    </row>
    <row r="489" spans="2:15" x14ac:dyDescent="0.15">
      <c r="B489" s="99"/>
      <c r="C489" s="99"/>
      <c r="D489" s="99"/>
      <c r="M489" s="232"/>
      <c r="N489" s="232"/>
      <c r="O489" s="232"/>
    </row>
    <row r="490" spans="2:15" x14ac:dyDescent="0.15">
      <c r="B490" s="99"/>
      <c r="C490" s="99"/>
      <c r="D490" s="99"/>
      <c r="M490" s="232"/>
      <c r="N490" s="232"/>
      <c r="O490" s="232"/>
    </row>
    <row r="491" spans="2:15" x14ac:dyDescent="0.15">
      <c r="B491" s="99"/>
      <c r="C491" s="99"/>
      <c r="D491" s="99"/>
      <c r="M491" s="232"/>
      <c r="N491" s="232"/>
      <c r="O491" s="232"/>
    </row>
    <row r="492" spans="2:15" x14ac:dyDescent="0.15">
      <c r="B492" s="99"/>
      <c r="C492" s="99"/>
      <c r="D492" s="99"/>
      <c r="M492" s="232"/>
      <c r="N492" s="232"/>
      <c r="O492" s="232"/>
    </row>
    <row r="493" spans="2:15" x14ac:dyDescent="0.15">
      <c r="B493" s="99"/>
      <c r="C493" s="99"/>
      <c r="D493" s="99"/>
      <c r="M493" s="232"/>
      <c r="N493" s="232"/>
      <c r="O493" s="232"/>
    </row>
    <row r="494" spans="2:15" x14ac:dyDescent="0.15">
      <c r="B494" s="99"/>
      <c r="C494" s="99"/>
      <c r="D494" s="99"/>
      <c r="M494" s="232"/>
      <c r="N494" s="232"/>
      <c r="O494" s="232"/>
    </row>
    <row r="495" spans="2:15" x14ac:dyDescent="0.15">
      <c r="B495" s="99"/>
      <c r="C495" s="99"/>
      <c r="D495" s="99"/>
      <c r="M495" s="232"/>
      <c r="N495" s="232"/>
      <c r="O495" s="232"/>
    </row>
    <row r="496" spans="2:15" x14ac:dyDescent="0.15">
      <c r="B496" s="99"/>
      <c r="C496" s="99"/>
      <c r="D496" s="99"/>
      <c r="M496" s="232"/>
      <c r="N496" s="232"/>
      <c r="O496" s="232"/>
    </row>
    <row r="497" spans="2:15" x14ac:dyDescent="0.15">
      <c r="B497" s="99"/>
      <c r="C497" s="99"/>
      <c r="D497" s="99"/>
      <c r="M497" s="232"/>
      <c r="N497" s="232"/>
      <c r="O497" s="232"/>
    </row>
    <row r="498" spans="2:15" x14ac:dyDescent="0.15">
      <c r="B498" s="99"/>
      <c r="C498" s="99"/>
      <c r="D498" s="99"/>
      <c r="M498" s="232"/>
      <c r="N498" s="232"/>
      <c r="O498" s="232"/>
    </row>
    <row r="499" spans="2:15" x14ac:dyDescent="0.15">
      <c r="B499" s="99"/>
      <c r="C499" s="99"/>
      <c r="D499" s="99"/>
      <c r="M499" s="232"/>
      <c r="N499" s="232"/>
      <c r="O499" s="232"/>
    </row>
    <row r="500" spans="2:15" x14ac:dyDescent="0.15">
      <c r="B500" s="99"/>
      <c r="C500" s="99"/>
      <c r="D500" s="99"/>
      <c r="M500" s="232"/>
      <c r="N500" s="232"/>
      <c r="O500" s="232"/>
    </row>
    <row r="501" spans="2:15" x14ac:dyDescent="0.15">
      <c r="B501" s="99"/>
      <c r="C501" s="99"/>
      <c r="D501" s="99"/>
      <c r="M501" s="232"/>
      <c r="N501" s="232"/>
      <c r="O501" s="232"/>
    </row>
    <row r="502" spans="2:15" x14ac:dyDescent="0.15">
      <c r="B502" s="99"/>
      <c r="C502" s="99"/>
      <c r="D502" s="99"/>
      <c r="M502" s="232"/>
      <c r="N502" s="232"/>
      <c r="O502" s="232"/>
    </row>
    <row r="503" spans="2:15" x14ac:dyDescent="0.15">
      <c r="B503" s="99"/>
      <c r="C503" s="99"/>
      <c r="D503" s="99"/>
      <c r="M503" s="232"/>
      <c r="N503" s="232"/>
      <c r="O503" s="232"/>
    </row>
    <row r="504" spans="2:15" x14ac:dyDescent="0.15">
      <c r="B504" s="99"/>
      <c r="C504" s="99"/>
      <c r="D504" s="99"/>
      <c r="M504" s="232"/>
      <c r="N504" s="232"/>
      <c r="O504" s="232"/>
    </row>
    <row r="505" spans="2:15" x14ac:dyDescent="0.15">
      <c r="B505" s="99"/>
      <c r="C505" s="99"/>
      <c r="D505" s="99"/>
      <c r="M505" s="232"/>
      <c r="N505" s="232"/>
      <c r="O505" s="232"/>
    </row>
    <row r="506" spans="2:15" x14ac:dyDescent="0.15">
      <c r="B506" s="99"/>
      <c r="C506" s="99"/>
      <c r="D506" s="99"/>
      <c r="M506" s="232"/>
      <c r="N506" s="232"/>
      <c r="O506" s="232"/>
    </row>
    <row r="507" spans="2:15" x14ac:dyDescent="0.15">
      <c r="B507" s="99"/>
      <c r="C507" s="99"/>
      <c r="D507" s="99"/>
      <c r="M507" s="232"/>
      <c r="N507" s="232"/>
      <c r="O507" s="232"/>
    </row>
    <row r="508" spans="2:15" x14ac:dyDescent="0.15">
      <c r="B508" s="99"/>
      <c r="C508" s="99"/>
      <c r="D508" s="99"/>
      <c r="M508" s="232"/>
      <c r="N508" s="232"/>
      <c r="O508" s="232"/>
    </row>
    <row r="509" spans="2:15" x14ac:dyDescent="0.15">
      <c r="B509" s="99"/>
      <c r="C509" s="99"/>
      <c r="D509" s="99"/>
      <c r="M509" s="232"/>
      <c r="N509" s="232"/>
      <c r="O509" s="232"/>
    </row>
    <row r="510" spans="2:15" x14ac:dyDescent="0.15">
      <c r="B510" s="99"/>
      <c r="C510" s="99"/>
      <c r="D510" s="99"/>
      <c r="M510" s="232"/>
      <c r="N510" s="232"/>
      <c r="O510" s="232"/>
    </row>
    <row r="511" spans="2:15" x14ac:dyDescent="0.15">
      <c r="B511" s="99"/>
      <c r="C511" s="99"/>
      <c r="D511" s="99"/>
      <c r="M511" s="232"/>
      <c r="N511" s="232"/>
      <c r="O511" s="232"/>
    </row>
    <row r="512" spans="2:15" x14ac:dyDescent="0.15">
      <c r="B512" s="99"/>
      <c r="C512" s="99"/>
      <c r="D512" s="99"/>
      <c r="M512" s="232"/>
      <c r="N512" s="232"/>
      <c r="O512" s="232"/>
    </row>
    <row r="513" spans="2:15" x14ac:dyDescent="0.15">
      <c r="B513" s="99"/>
      <c r="C513" s="99"/>
      <c r="D513" s="99"/>
      <c r="M513" s="232"/>
      <c r="N513" s="232"/>
      <c r="O513" s="232"/>
    </row>
    <row r="514" spans="2:15" x14ac:dyDescent="0.15">
      <c r="B514" s="99"/>
      <c r="C514" s="99"/>
      <c r="D514" s="99"/>
      <c r="M514" s="232"/>
      <c r="N514" s="232"/>
      <c r="O514" s="232"/>
    </row>
    <row r="515" spans="2:15" x14ac:dyDescent="0.15">
      <c r="B515" s="99"/>
      <c r="C515" s="99"/>
      <c r="D515" s="99"/>
      <c r="M515" s="232"/>
      <c r="N515" s="232"/>
      <c r="O515" s="232"/>
    </row>
    <row r="516" spans="2:15" x14ac:dyDescent="0.15">
      <c r="B516" s="99"/>
      <c r="C516" s="99"/>
      <c r="D516" s="99"/>
      <c r="M516" s="232"/>
      <c r="N516" s="232"/>
      <c r="O516" s="232"/>
    </row>
    <row r="517" spans="2:15" x14ac:dyDescent="0.15">
      <c r="B517" s="99"/>
      <c r="C517" s="99"/>
      <c r="D517" s="99"/>
      <c r="M517" s="232"/>
      <c r="N517" s="232"/>
      <c r="O517" s="232"/>
    </row>
    <row r="518" spans="2:15" x14ac:dyDescent="0.15">
      <c r="B518" s="99"/>
      <c r="C518" s="99"/>
      <c r="D518" s="99"/>
      <c r="M518" s="232"/>
      <c r="N518" s="232"/>
      <c r="O518" s="232"/>
    </row>
    <row r="519" spans="2:15" x14ac:dyDescent="0.15">
      <c r="B519" s="99"/>
      <c r="C519" s="99"/>
      <c r="D519" s="99"/>
      <c r="M519" s="232"/>
      <c r="N519" s="232"/>
      <c r="O519" s="232"/>
    </row>
    <row r="520" spans="2:15" x14ac:dyDescent="0.15">
      <c r="B520" s="99"/>
      <c r="C520" s="99"/>
      <c r="D520" s="99"/>
      <c r="M520" s="232"/>
      <c r="N520" s="232"/>
      <c r="O520" s="232"/>
    </row>
    <row r="521" spans="2:15" x14ac:dyDescent="0.15">
      <c r="B521" s="99"/>
      <c r="C521" s="99"/>
      <c r="D521" s="99"/>
      <c r="M521" s="232"/>
      <c r="N521" s="232"/>
      <c r="O521" s="232"/>
    </row>
    <row r="522" spans="2:15" x14ac:dyDescent="0.15">
      <c r="B522" s="99"/>
      <c r="C522" s="99"/>
      <c r="D522" s="99"/>
      <c r="M522" s="232"/>
      <c r="N522" s="232"/>
      <c r="O522" s="232"/>
    </row>
    <row r="523" spans="2:15" x14ac:dyDescent="0.15">
      <c r="B523" s="99"/>
      <c r="C523" s="99"/>
      <c r="D523" s="99"/>
      <c r="M523" s="232"/>
      <c r="N523" s="232"/>
      <c r="O523" s="232"/>
    </row>
    <row r="524" spans="2:15" x14ac:dyDescent="0.15">
      <c r="B524" s="99"/>
      <c r="C524" s="99"/>
      <c r="D524" s="99"/>
      <c r="M524" s="232"/>
      <c r="N524" s="232"/>
      <c r="O524" s="232"/>
    </row>
    <row r="525" spans="2:15" x14ac:dyDescent="0.15">
      <c r="B525" s="99"/>
      <c r="C525" s="99"/>
      <c r="D525" s="99"/>
      <c r="M525" s="232"/>
      <c r="N525" s="232"/>
      <c r="O525" s="232"/>
    </row>
    <row r="526" spans="2:15" x14ac:dyDescent="0.15">
      <c r="B526" s="99"/>
      <c r="C526" s="99"/>
      <c r="D526" s="99"/>
      <c r="M526" s="232"/>
      <c r="N526" s="232"/>
      <c r="O526" s="232"/>
    </row>
    <row r="527" spans="2:15" x14ac:dyDescent="0.15">
      <c r="B527" s="99"/>
      <c r="C527" s="99"/>
      <c r="D527" s="99"/>
      <c r="M527" s="232"/>
      <c r="N527" s="232"/>
      <c r="O527" s="232"/>
    </row>
    <row r="528" spans="2:15" x14ac:dyDescent="0.15">
      <c r="B528" s="99"/>
      <c r="C528" s="99"/>
      <c r="D528" s="99"/>
      <c r="M528" s="232"/>
      <c r="N528" s="232"/>
      <c r="O528" s="232"/>
    </row>
    <row r="529" spans="2:15" x14ac:dyDescent="0.15">
      <c r="B529" s="99"/>
      <c r="C529" s="99"/>
      <c r="D529" s="99"/>
      <c r="M529" s="232"/>
      <c r="N529" s="232"/>
      <c r="O529" s="232"/>
    </row>
    <row r="530" spans="2:15" x14ac:dyDescent="0.15">
      <c r="B530" s="99"/>
      <c r="C530" s="99"/>
      <c r="D530" s="99"/>
      <c r="M530" s="232"/>
      <c r="N530" s="232"/>
      <c r="O530" s="232"/>
    </row>
    <row r="531" spans="2:15" x14ac:dyDescent="0.15">
      <c r="B531" s="99"/>
      <c r="C531" s="99"/>
      <c r="D531" s="99"/>
      <c r="M531" s="232"/>
      <c r="N531" s="232"/>
      <c r="O531" s="232"/>
    </row>
    <row r="532" spans="2:15" x14ac:dyDescent="0.15">
      <c r="B532" s="99"/>
      <c r="C532" s="99"/>
      <c r="D532" s="99"/>
      <c r="M532" s="232"/>
      <c r="N532" s="232"/>
      <c r="O532" s="232"/>
    </row>
    <row r="533" spans="2:15" x14ac:dyDescent="0.15">
      <c r="B533" s="99"/>
      <c r="C533" s="99"/>
      <c r="D533" s="99"/>
      <c r="M533" s="232"/>
      <c r="N533" s="232"/>
      <c r="O533" s="232"/>
    </row>
    <row r="534" spans="2:15" x14ac:dyDescent="0.15">
      <c r="B534" s="99"/>
      <c r="C534" s="99"/>
      <c r="D534" s="99"/>
      <c r="M534" s="232"/>
      <c r="N534" s="232"/>
      <c r="O534" s="232"/>
    </row>
    <row r="535" spans="2:15" x14ac:dyDescent="0.15">
      <c r="B535" s="99"/>
      <c r="C535" s="99"/>
      <c r="D535" s="99"/>
      <c r="M535" s="232"/>
      <c r="N535" s="232"/>
      <c r="O535" s="232"/>
    </row>
    <row r="536" spans="2:15" x14ac:dyDescent="0.15">
      <c r="B536" s="99"/>
      <c r="C536" s="99"/>
      <c r="D536" s="99"/>
      <c r="M536" s="232"/>
      <c r="N536" s="232"/>
      <c r="O536" s="232"/>
    </row>
    <row r="537" spans="2:15" x14ac:dyDescent="0.15">
      <c r="B537" s="99"/>
      <c r="C537" s="99"/>
      <c r="D537" s="99"/>
      <c r="M537" s="232"/>
      <c r="N537" s="232"/>
      <c r="O537" s="232"/>
    </row>
    <row r="538" spans="2:15" x14ac:dyDescent="0.15">
      <c r="B538" s="99"/>
      <c r="C538" s="99"/>
      <c r="D538" s="99"/>
      <c r="M538" s="232"/>
      <c r="N538" s="232"/>
      <c r="O538" s="232"/>
    </row>
    <row r="539" spans="2:15" x14ac:dyDescent="0.15">
      <c r="B539" s="99"/>
      <c r="C539" s="99"/>
      <c r="D539" s="99"/>
      <c r="M539" s="232"/>
      <c r="N539" s="232"/>
      <c r="O539" s="232"/>
    </row>
    <row r="540" spans="2:15" x14ac:dyDescent="0.15">
      <c r="B540" s="99"/>
      <c r="C540" s="99"/>
      <c r="D540" s="99"/>
      <c r="M540" s="232"/>
      <c r="N540" s="232"/>
      <c r="O540" s="232"/>
    </row>
    <row r="541" spans="2:15" x14ac:dyDescent="0.15">
      <c r="B541" s="99"/>
      <c r="C541" s="99"/>
      <c r="D541" s="99"/>
      <c r="M541" s="232"/>
      <c r="N541" s="232"/>
      <c r="O541" s="232"/>
    </row>
    <row r="542" spans="2:15" x14ac:dyDescent="0.15">
      <c r="B542" s="99"/>
      <c r="C542" s="99"/>
      <c r="D542" s="99"/>
      <c r="M542" s="232"/>
      <c r="N542" s="232"/>
      <c r="O542" s="232"/>
    </row>
    <row r="543" spans="2:15" x14ac:dyDescent="0.15">
      <c r="B543" s="99"/>
      <c r="C543" s="99"/>
      <c r="D543" s="99"/>
      <c r="M543" s="232"/>
      <c r="N543" s="232"/>
      <c r="O543" s="232"/>
    </row>
    <row r="544" spans="2:15" x14ac:dyDescent="0.15">
      <c r="B544" s="99"/>
      <c r="C544" s="99"/>
      <c r="D544" s="99"/>
      <c r="M544" s="232"/>
      <c r="N544" s="232"/>
      <c r="O544" s="232"/>
    </row>
    <row r="545" spans="2:15" x14ac:dyDescent="0.15">
      <c r="B545" s="99"/>
      <c r="C545" s="99"/>
      <c r="D545" s="99"/>
      <c r="M545" s="232"/>
      <c r="N545" s="232"/>
      <c r="O545" s="232"/>
    </row>
    <row r="546" spans="2:15" x14ac:dyDescent="0.15">
      <c r="B546" s="99"/>
      <c r="C546" s="99"/>
      <c r="D546" s="99"/>
      <c r="M546" s="232"/>
      <c r="N546" s="232"/>
      <c r="O546" s="232"/>
    </row>
    <row r="547" spans="2:15" x14ac:dyDescent="0.15">
      <c r="B547" s="99"/>
      <c r="C547" s="99"/>
      <c r="D547" s="99"/>
      <c r="M547" s="232"/>
      <c r="N547" s="232"/>
      <c r="O547" s="232"/>
    </row>
    <row r="548" spans="2:15" x14ac:dyDescent="0.15">
      <c r="B548" s="99"/>
      <c r="C548" s="99"/>
      <c r="D548" s="99"/>
      <c r="M548" s="232"/>
      <c r="N548" s="232"/>
      <c r="O548" s="232"/>
    </row>
    <row r="549" spans="2:15" x14ac:dyDescent="0.15">
      <c r="B549" s="99"/>
      <c r="C549" s="99"/>
      <c r="D549" s="99"/>
      <c r="M549" s="232"/>
      <c r="N549" s="232"/>
      <c r="O549" s="232"/>
    </row>
    <row r="550" spans="2:15" x14ac:dyDescent="0.15">
      <c r="B550" s="99"/>
      <c r="C550" s="99"/>
      <c r="D550" s="99"/>
      <c r="M550" s="232"/>
      <c r="N550" s="232"/>
      <c r="O550" s="232"/>
    </row>
    <row r="551" spans="2:15" x14ac:dyDescent="0.15">
      <c r="B551" s="99"/>
      <c r="C551" s="99"/>
      <c r="D551" s="99"/>
      <c r="M551" s="232"/>
      <c r="N551" s="232"/>
      <c r="O551" s="232"/>
    </row>
    <row r="552" spans="2:15" x14ac:dyDescent="0.15">
      <c r="B552" s="99"/>
      <c r="C552" s="99"/>
      <c r="D552" s="99"/>
      <c r="M552" s="232"/>
      <c r="N552" s="232"/>
      <c r="O552" s="232"/>
    </row>
    <row r="553" spans="2:15" x14ac:dyDescent="0.15">
      <c r="B553" s="99"/>
      <c r="C553" s="99"/>
      <c r="D553" s="99"/>
      <c r="M553" s="232"/>
      <c r="N553" s="232"/>
      <c r="O553" s="232"/>
    </row>
    <row r="554" spans="2:15" x14ac:dyDescent="0.15">
      <c r="B554" s="99"/>
      <c r="C554" s="99"/>
      <c r="D554" s="99"/>
      <c r="M554" s="232"/>
      <c r="N554" s="232"/>
      <c r="O554" s="232"/>
    </row>
    <row r="555" spans="2:15" x14ac:dyDescent="0.15">
      <c r="B555" s="99"/>
      <c r="C555" s="99"/>
      <c r="D555" s="99"/>
      <c r="M555" s="232"/>
      <c r="N555" s="232"/>
      <c r="O555" s="232"/>
    </row>
    <row r="556" spans="2:15" x14ac:dyDescent="0.15">
      <c r="B556" s="99"/>
      <c r="C556" s="99"/>
      <c r="D556" s="99"/>
      <c r="M556" s="232"/>
      <c r="N556" s="232"/>
      <c r="O556" s="232"/>
    </row>
    <row r="557" spans="2:15" x14ac:dyDescent="0.15">
      <c r="B557" s="99"/>
      <c r="C557" s="99"/>
      <c r="D557" s="99"/>
      <c r="M557" s="232"/>
      <c r="N557" s="232"/>
      <c r="O557" s="232"/>
    </row>
    <row r="558" spans="2:15" x14ac:dyDescent="0.15">
      <c r="B558" s="99"/>
      <c r="C558" s="99"/>
      <c r="D558" s="99"/>
      <c r="M558" s="232"/>
      <c r="N558" s="232"/>
      <c r="O558" s="232"/>
    </row>
    <row r="559" spans="2:15" x14ac:dyDescent="0.15">
      <c r="B559" s="99"/>
      <c r="C559" s="99"/>
      <c r="D559" s="99"/>
      <c r="M559" s="232"/>
      <c r="N559" s="232"/>
      <c r="O559" s="232"/>
    </row>
    <row r="560" spans="2:15" x14ac:dyDescent="0.15">
      <c r="B560" s="99"/>
      <c r="C560" s="99"/>
      <c r="D560" s="99"/>
      <c r="M560" s="232"/>
      <c r="N560" s="232"/>
      <c r="O560" s="232"/>
    </row>
    <row r="561" spans="2:15" x14ac:dyDescent="0.15">
      <c r="B561" s="99"/>
      <c r="C561" s="99"/>
      <c r="D561" s="99"/>
      <c r="M561" s="232"/>
      <c r="N561" s="232"/>
      <c r="O561" s="232"/>
    </row>
    <row r="562" spans="2:15" x14ac:dyDescent="0.15">
      <c r="B562" s="99"/>
      <c r="C562" s="99"/>
      <c r="D562" s="99"/>
      <c r="M562" s="232"/>
      <c r="N562" s="232"/>
      <c r="O562" s="232"/>
    </row>
    <row r="563" spans="2:15" x14ac:dyDescent="0.15">
      <c r="B563" s="99"/>
      <c r="C563" s="99"/>
      <c r="D563" s="99"/>
      <c r="M563" s="232"/>
      <c r="N563" s="232"/>
      <c r="O563" s="232"/>
    </row>
    <row r="564" spans="2:15" x14ac:dyDescent="0.15">
      <c r="B564" s="99"/>
      <c r="C564" s="99"/>
      <c r="D564" s="99"/>
      <c r="M564" s="232"/>
      <c r="N564" s="232"/>
      <c r="O564" s="232"/>
    </row>
    <row r="565" spans="2:15" x14ac:dyDescent="0.15">
      <c r="B565" s="99"/>
      <c r="C565" s="99"/>
      <c r="D565" s="99"/>
      <c r="M565" s="232"/>
      <c r="N565" s="232"/>
      <c r="O565" s="232"/>
    </row>
    <row r="566" spans="2:15" x14ac:dyDescent="0.15">
      <c r="B566" s="99"/>
      <c r="C566" s="99"/>
      <c r="D566" s="99"/>
      <c r="M566" s="232"/>
      <c r="N566" s="232"/>
      <c r="O566" s="232"/>
    </row>
    <row r="567" spans="2:15" x14ac:dyDescent="0.15">
      <c r="B567" s="99"/>
      <c r="C567" s="99"/>
      <c r="D567" s="99"/>
      <c r="M567" s="232"/>
      <c r="N567" s="232"/>
      <c r="O567" s="232"/>
    </row>
    <row r="568" spans="2:15" x14ac:dyDescent="0.15">
      <c r="B568" s="99"/>
      <c r="C568" s="99"/>
      <c r="D568" s="99"/>
      <c r="M568" s="232"/>
      <c r="N568" s="232"/>
      <c r="O568" s="232"/>
    </row>
    <row r="569" spans="2:15" x14ac:dyDescent="0.15">
      <c r="B569" s="99"/>
      <c r="C569" s="99"/>
      <c r="D569" s="99"/>
      <c r="M569" s="232"/>
      <c r="N569" s="232"/>
      <c r="O569" s="232"/>
    </row>
    <row r="570" spans="2:15" x14ac:dyDescent="0.15">
      <c r="B570" s="99"/>
      <c r="C570" s="99"/>
      <c r="D570" s="99"/>
      <c r="M570" s="232"/>
      <c r="N570" s="232"/>
      <c r="O570" s="232"/>
    </row>
    <row r="571" spans="2:15" x14ac:dyDescent="0.15">
      <c r="B571" s="99"/>
      <c r="C571" s="99"/>
      <c r="D571" s="99"/>
      <c r="M571" s="232"/>
      <c r="N571" s="232"/>
      <c r="O571" s="232"/>
    </row>
    <row r="572" spans="2:15" x14ac:dyDescent="0.15">
      <c r="B572" s="99"/>
      <c r="C572" s="99"/>
      <c r="D572" s="99"/>
      <c r="M572" s="232"/>
      <c r="N572" s="232"/>
      <c r="O572" s="232"/>
    </row>
    <row r="573" spans="2:15" x14ac:dyDescent="0.15">
      <c r="B573" s="99"/>
      <c r="C573" s="99"/>
      <c r="D573" s="99"/>
      <c r="M573" s="232"/>
      <c r="N573" s="232"/>
      <c r="O573" s="232"/>
    </row>
    <row r="574" spans="2:15" x14ac:dyDescent="0.15">
      <c r="B574" s="99"/>
      <c r="C574" s="99"/>
      <c r="D574" s="99"/>
      <c r="M574" s="232"/>
      <c r="N574" s="232"/>
      <c r="O574" s="232"/>
    </row>
    <row r="575" spans="2:15" x14ac:dyDescent="0.15">
      <c r="B575" s="99"/>
      <c r="C575" s="99"/>
      <c r="D575" s="99"/>
      <c r="M575" s="232"/>
      <c r="N575" s="232"/>
      <c r="O575" s="232"/>
    </row>
    <row r="576" spans="2:15" x14ac:dyDescent="0.15">
      <c r="B576" s="99"/>
      <c r="C576" s="99"/>
      <c r="D576" s="99"/>
      <c r="M576" s="232"/>
      <c r="N576" s="232"/>
      <c r="O576" s="232"/>
    </row>
    <row r="577" spans="1:15" x14ac:dyDescent="0.15">
      <c r="B577" s="99"/>
      <c r="C577" s="99"/>
      <c r="D577" s="99"/>
      <c r="M577" s="232"/>
      <c r="N577" s="232"/>
      <c r="O577" s="232"/>
    </row>
    <row r="578" spans="1:15" x14ac:dyDescent="0.15">
      <c r="B578" s="99"/>
      <c r="C578" s="99"/>
      <c r="D578" s="99"/>
      <c r="M578" s="232"/>
      <c r="N578" s="232"/>
      <c r="O578" s="232"/>
    </row>
    <row r="579" spans="1:15" x14ac:dyDescent="0.15">
      <c r="B579" s="99"/>
      <c r="C579" s="99"/>
      <c r="D579" s="99"/>
      <c r="M579" s="232"/>
      <c r="N579" s="232"/>
      <c r="O579" s="232"/>
    </row>
    <row r="580" spans="1:15" x14ac:dyDescent="0.15">
      <c r="B580" s="99"/>
      <c r="C580" s="99"/>
      <c r="D580" s="99"/>
      <c r="M580" s="232"/>
      <c r="N580" s="232"/>
      <c r="O580" s="232"/>
    </row>
    <row r="586" spans="1:15" x14ac:dyDescent="0.15">
      <c r="A586" s="34"/>
      <c r="B586" s="99"/>
      <c r="C586" s="99"/>
      <c r="D586" s="99"/>
      <c r="M586" s="232"/>
      <c r="N586" s="232"/>
      <c r="O586" s="232"/>
    </row>
    <row r="587" spans="1:15" x14ac:dyDescent="0.15">
      <c r="A587" s="34"/>
      <c r="B587" s="99"/>
      <c r="C587" s="99"/>
      <c r="D587" s="99"/>
      <c r="M587" s="232"/>
      <c r="N587" s="232"/>
      <c r="O587" s="232"/>
    </row>
    <row r="588" spans="1:15" x14ac:dyDescent="0.15">
      <c r="A588" s="34"/>
      <c r="B588" s="99"/>
      <c r="C588" s="99"/>
      <c r="D588" s="99"/>
      <c r="M588" s="232"/>
      <c r="N588" s="232"/>
      <c r="O588" s="232"/>
    </row>
    <row r="589" spans="1:15" x14ac:dyDescent="0.15">
      <c r="A589" s="34"/>
      <c r="B589" s="99"/>
      <c r="C589" s="99"/>
      <c r="D589" s="99"/>
      <c r="M589" s="232"/>
      <c r="N589" s="232"/>
      <c r="O589" s="232"/>
    </row>
    <row r="590" spans="1:15" x14ac:dyDescent="0.15">
      <c r="A590" s="34"/>
      <c r="B590" s="99"/>
      <c r="C590" s="99"/>
      <c r="D590" s="99"/>
      <c r="M590" s="232"/>
      <c r="N590" s="232"/>
      <c r="O590" s="232"/>
    </row>
    <row r="591" spans="1:15" x14ac:dyDescent="0.15">
      <c r="A591" s="34"/>
      <c r="B591" s="99"/>
      <c r="C591" s="99"/>
      <c r="D591" s="99"/>
      <c r="M591" s="232"/>
      <c r="N591" s="232"/>
      <c r="O591" s="232"/>
    </row>
    <row r="592" spans="1:15" x14ac:dyDescent="0.15">
      <c r="A592" s="34"/>
      <c r="B592" s="99"/>
      <c r="C592" s="99"/>
      <c r="D592" s="99"/>
      <c r="M592" s="232"/>
      <c r="N592" s="232"/>
      <c r="O592" s="232"/>
    </row>
    <row r="593" spans="1:15" x14ac:dyDescent="0.15">
      <c r="A593" s="34"/>
      <c r="B593" s="99"/>
      <c r="C593" s="99"/>
      <c r="D593" s="99"/>
      <c r="M593" s="232"/>
      <c r="N593" s="232"/>
      <c r="O593" s="232"/>
    </row>
    <row r="594" spans="1:15" x14ac:dyDescent="0.15">
      <c r="A594" s="34"/>
      <c r="B594" s="99"/>
      <c r="C594" s="99"/>
      <c r="D594" s="99"/>
      <c r="M594" s="232"/>
      <c r="N594" s="232"/>
      <c r="O594" s="232"/>
    </row>
    <row r="595" spans="1:15" x14ac:dyDescent="0.15">
      <c r="A595" s="34"/>
      <c r="B595" s="99"/>
      <c r="C595" s="99"/>
      <c r="D595" s="99"/>
      <c r="M595" s="232"/>
      <c r="N595" s="232"/>
      <c r="O595" s="232"/>
    </row>
    <row r="596" spans="1:15" x14ac:dyDescent="0.15">
      <c r="A596" s="34"/>
      <c r="B596" s="99"/>
      <c r="C596" s="99"/>
      <c r="D596" s="99"/>
      <c r="M596" s="232"/>
      <c r="N596" s="232"/>
      <c r="O596" s="232"/>
    </row>
    <row r="597" spans="1:15" x14ac:dyDescent="0.15">
      <c r="A597" s="34"/>
      <c r="B597" s="99"/>
      <c r="C597" s="99"/>
      <c r="D597" s="99"/>
      <c r="M597" s="232"/>
      <c r="N597" s="232"/>
      <c r="O597" s="232"/>
    </row>
    <row r="598" spans="1:15" x14ac:dyDescent="0.15">
      <c r="A598" s="34"/>
      <c r="B598" s="99"/>
      <c r="C598" s="99"/>
      <c r="D598" s="99"/>
      <c r="M598" s="232"/>
      <c r="N598" s="232"/>
      <c r="O598" s="232"/>
    </row>
    <row r="599" spans="1:15" x14ac:dyDescent="0.15">
      <c r="A599" s="34"/>
      <c r="B599" s="99"/>
      <c r="C599" s="99"/>
      <c r="D599" s="99"/>
      <c r="M599" s="232"/>
      <c r="N599" s="232"/>
      <c r="O599" s="232"/>
    </row>
    <row r="600" spans="1:15" x14ac:dyDescent="0.15">
      <c r="A600" s="34"/>
      <c r="B600" s="99"/>
      <c r="C600" s="99"/>
      <c r="D600" s="99"/>
      <c r="M600" s="232"/>
      <c r="N600" s="232"/>
      <c r="O600" s="232"/>
    </row>
    <row r="601" spans="1:15" x14ac:dyDescent="0.15">
      <c r="A601" s="34"/>
      <c r="B601" s="99"/>
      <c r="C601" s="99"/>
      <c r="D601" s="99"/>
      <c r="M601" s="232"/>
      <c r="N601" s="232"/>
      <c r="O601" s="232"/>
    </row>
    <row r="602" spans="1:15" x14ac:dyDescent="0.15">
      <c r="A602" s="34"/>
      <c r="B602" s="99"/>
      <c r="C602" s="99"/>
      <c r="D602" s="99"/>
      <c r="M602" s="232"/>
      <c r="N602" s="232"/>
      <c r="O602" s="232"/>
    </row>
    <row r="603" spans="1:15" x14ac:dyDescent="0.15">
      <c r="A603" s="34"/>
      <c r="B603" s="99"/>
      <c r="C603" s="99"/>
      <c r="D603" s="99"/>
      <c r="M603" s="232"/>
      <c r="N603" s="232"/>
      <c r="O603" s="232"/>
    </row>
    <row r="604" spans="1:15" x14ac:dyDescent="0.15">
      <c r="A604" s="34"/>
      <c r="B604" s="99"/>
      <c r="C604" s="99"/>
      <c r="D604" s="99"/>
      <c r="M604" s="232"/>
      <c r="N604" s="232"/>
      <c r="O604" s="232"/>
    </row>
    <row r="605" spans="1:15" x14ac:dyDescent="0.15">
      <c r="A605" s="34"/>
      <c r="B605" s="99"/>
      <c r="C605" s="99"/>
      <c r="D605" s="99"/>
      <c r="M605" s="232"/>
      <c r="N605" s="232"/>
      <c r="O605" s="232"/>
    </row>
    <row r="606" spans="1:15" x14ac:dyDescent="0.15">
      <c r="A606" s="34"/>
      <c r="B606" s="99"/>
      <c r="C606" s="99"/>
      <c r="D606" s="99"/>
      <c r="M606" s="232"/>
      <c r="N606" s="232"/>
      <c r="O606" s="232"/>
    </row>
    <row r="607" spans="1:15" x14ac:dyDescent="0.15">
      <c r="A607" s="34"/>
      <c r="B607" s="99"/>
      <c r="C607" s="99"/>
      <c r="D607" s="99"/>
      <c r="M607" s="232"/>
      <c r="N607" s="232"/>
      <c r="O607" s="232"/>
    </row>
    <row r="608" spans="1:15" x14ac:dyDescent="0.15">
      <c r="A608" s="34"/>
      <c r="B608" s="99"/>
      <c r="C608" s="99"/>
      <c r="D608" s="99"/>
      <c r="M608" s="232"/>
      <c r="N608" s="232"/>
      <c r="O608" s="232"/>
    </row>
    <row r="609" spans="1:15" x14ac:dyDescent="0.15">
      <c r="A609" s="34"/>
      <c r="B609" s="99"/>
      <c r="C609" s="99"/>
      <c r="D609" s="99"/>
      <c r="M609" s="232"/>
      <c r="N609" s="232"/>
      <c r="O609" s="232"/>
    </row>
    <row r="610" spans="1:15" x14ac:dyDescent="0.15">
      <c r="A610" s="34"/>
      <c r="B610" s="99"/>
      <c r="C610" s="99"/>
      <c r="D610" s="99"/>
      <c r="M610" s="232"/>
      <c r="N610" s="232"/>
      <c r="O610" s="232"/>
    </row>
    <row r="611" spans="1:15" x14ac:dyDescent="0.15">
      <c r="A611" s="34"/>
      <c r="B611" s="99"/>
      <c r="C611" s="99"/>
      <c r="D611" s="99"/>
      <c r="M611" s="232"/>
      <c r="N611" s="232"/>
      <c r="O611" s="232"/>
    </row>
    <row r="612" spans="1:15" x14ac:dyDescent="0.15">
      <c r="A612" s="34"/>
      <c r="B612" s="99"/>
      <c r="C612" s="99"/>
      <c r="D612" s="99"/>
      <c r="M612" s="232"/>
      <c r="N612" s="232"/>
      <c r="O612" s="232"/>
    </row>
    <row r="613" spans="1:15" x14ac:dyDescent="0.15">
      <c r="A613" s="34"/>
      <c r="B613" s="99"/>
      <c r="C613" s="99"/>
      <c r="D613" s="99"/>
      <c r="M613" s="232"/>
      <c r="N613" s="232"/>
      <c r="O613" s="232"/>
    </row>
    <row r="614" spans="1:15" x14ac:dyDescent="0.15">
      <c r="A614" s="34"/>
      <c r="B614" s="99"/>
      <c r="C614" s="99"/>
      <c r="D614" s="99"/>
      <c r="M614" s="232"/>
      <c r="N614" s="232"/>
      <c r="O614" s="232"/>
    </row>
    <row r="615" spans="1:15" x14ac:dyDescent="0.15">
      <c r="A615" s="34"/>
      <c r="B615" s="99"/>
      <c r="C615" s="99"/>
      <c r="D615" s="99"/>
      <c r="M615" s="232"/>
      <c r="N615" s="232"/>
      <c r="O615" s="232"/>
    </row>
    <row r="616" spans="1:15" x14ac:dyDescent="0.15">
      <c r="A616" s="34"/>
      <c r="B616" s="99"/>
      <c r="C616" s="99"/>
      <c r="D616" s="99"/>
      <c r="M616" s="232"/>
      <c r="N616" s="232"/>
      <c r="O616" s="232"/>
    </row>
    <row r="617" spans="1:15" x14ac:dyDescent="0.15">
      <c r="A617" s="34"/>
      <c r="B617" s="99"/>
      <c r="C617" s="99"/>
      <c r="D617" s="99"/>
      <c r="M617" s="232"/>
      <c r="N617" s="232"/>
      <c r="O617" s="232"/>
    </row>
    <row r="618" spans="1:15" x14ac:dyDescent="0.15">
      <c r="A618" s="34"/>
      <c r="B618" s="99"/>
      <c r="C618" s="99"/>
      <c r="D618" s="99"/>
      <c r="M618" s="232"/>
      <c r="N618" s="232"/>
      <c r="O618" s="232"/>
    </row>
    <row r="619" spans="1:15" x14ac:dyDescent="0.15">
      <c r="A619" s="34"/>
      <c r="B619" s="99"/>
      <c r="C619" s="99"/>
      <c r="D619" s="99"/>
      <c r="M619" s="232"/>
      <c r="N619" s="232"/>
      <c r="O619" s="232"/>
    </row>
    <row r="620" spans="1:15" x14ac:dyDescent="0.15">
      <c r="A620" s="34"/>
      <c r="B620" s="99"/>
      <c r="C620" s="99"/>
      <c r="D620" s="99"/>
      <c r="M620" s="232"/>
      <c r="N620" s="232"/>
      <c r="O620" s="232"/>
    </row>
    <row r="621" spans="1:15" x14ac:dyDescent="0.15">
      <c r="A621" s="34"/>
      <c r="B621" s="99"/>
      <c r="C621" s="99"/>
      <c r="D621" s="99"/>
      <c r="M621" s="232"/>
      <c r="N621" s="232"/>
      <c r="O621" s="232"/>
    </row>
    <row r="622" spans="1:15" x14ac:dyDescent="0.15">
      <c r="A622" s="34"/>
      <c r="B622" s="99"/>
      <c r="C622" s="99"/>
      <c r="D622" s="99"/>
      <c r="M622" s="232"/>
      <c r="N622" s="232"/>
      <c r="O622" s="232"/>
    </row>
    <row r="623" spans="1:15" x14ac:dyDescent="0.15">
      <c r="A623" s="34"/>
      <c r="B623" s="99"/>
      <c r="C623" s="99"/>
      <c r="D623" s="99"/>
      <c r="M623" s="232"/>
      <c r="N623" s="232"/>
      <c r="O623" s="232"/>
    </row>
    <row r="624" spans="1:15" x14ac:dyDescent="0.15">
      <c r="A624" s="34"/>
      <c r="B624" s="99"/>
      <c r="C624" s="99"/>
      <c r="D624" s="99"/>
      <c r="M624" s="232"/>
      <c r="N624" s="232"/>
      <c r="O624" s="232"/>
    </row>
    <row r="625" spans="1:15" x14ac:dyDescent="0.15">
      <c r="A625" s="34"/>
      <c r="B625" s="99"/>
      <c r="C625" s="99"/>
      <c r="D625" s="99"/>
      <c r="M625" s="232"/>
      <c r="N625" s="232"/>
      <c r="O625" s="232"/>
    </row>
    <row r="626" spans="1:15" x14ac:dyDescent="0.15">
      <c r="A626" s="34"/>
      <c r="B626" s="99"/>
      <c r="C626" s="99"/>
      <c r="D626" s="99"/>
      <c r="M626" s="232"/>
      <c r="N626" s="232"/>
      <c r="O626" s="232"/>
    </row>
    <row r="627" spans="1:15" x14ac:dyDescent="0.15">
      <c r="A627" s="34"/>
      <c r="B627" s="99"/>
      <c r="C627" s="99"/>
      <c r="D627" s="99"/>
      <c r="M627" s="232"/>
      <c r="N627" s="232"/>
      <c r="O627" s="232"/>
    </row>
    <row r="628" spans="1:15" x14ac:dyDescent="0.15">
      <c r="A628" s="34"/>
      <c r="B628" s="99"/>
      <c r="C628" s="99"/>
      <c r="D628" s="99"/>
      <c r="M628" s="232"/>
      <c r="N628" s="232"/>
      <c r="O628" s="232"/>
    </row>
    <row r="629" spans="1:15" x14ac:dyDescent="0.15">
      <c r="A629" s="34"/>
      <c r="B629" s="99"/>
      <c r="C629" s="99"/>
      <c r="D629" s="99"/>
      <c r="M629" s="232"/>
      <c r="N629" s="232"/>
      <c r="O629" s="232"/>
    </row>
    <row r="630" spans="1:15" x14ac:dyDescent="0.15">
      <c r="A630" s="34"/>
      <c r="B630" s="99"/>
      <c r="C630" s="99"/>
      <c r="D630" s="99"/>
      <c r="M630" s="232"/>
      <c r="N630" s="232"/>
      <c r="O630" s="232"/>
    </row>
    <row r="631" spans="1:15" x14ac:dyDescent="0.15">
      <c r="A631" s="34"/>
      <c r="B631" s="99"/>
      <c r="C631" s="99"/>
      <c r="D631" s="99"/>
      <c r="M631" s="232"/>
      <c r="N631" s="232"/>
      <c r="O631" s="232"/>
    </row>
    <row r="632" spans="1:15" x14ac:dyDescent="0.15">
      <c r="A632" s="34"/>
      <c r="B632" s="99"/>
      <c r="C632" s="99"/>
      <c r="D632" s="99"/>
      <c r="M632" s="232"/>
      <c r="N632" s="232"/>
      <c r="O632" s="232"/>
    </row>
    <row r="633" spans="1:15" x14ac:dyDescent="0.15">
      <c r="A633" s="34"/>
      <c r="B633" s="99"/>
      <c r="C633" s="99"/>
      <c r="D633" s="99"/>
      <c r="M633" s="232"/>
      <c r="N633" s="232"/>
      <c r="O633" s="232"/>
    </row>
    <row r="634" spans="1:15" x14ac:dyDescent="0.15">
      <c r="A634" s="34"/>
      <c r="B634" s="99"/>
      <c r="C634" s="99"/>
      <c r="D634" s="99"/>
      <c r="M634" s="232"/>
      <c r="N634" s="232"/>
      <c r="O634" s="232"/>
    </row>
    <row r="635" spans="1:15" x14ac:dyDescent="0.15">
      <c r="A635" s="34"/>
      <c r="B635" s="99"/>
      <c r="C635" s="99"/>
      <c r="D635" s="99"/>
      <c r="M635" s="232"/>
      <c r="N635" s="232"/>
      <c r="O635" s="232"/>
    </row>
    <row r="636" spans="1:15" x14ac:dyDescent="0.15">
      <c r="A636" s="34"/>
      <c r="B636" s="99"/>
      <c r="C636" s="99"/>
      <c r="D636" s="99"/>
      <c r="M636" s="232"/>
      <c r="N636" s="232"/>
      <c r="O636" s="232"/>
    </row>
    <row r="637" spans="1:15" x14ac:dyDescent="0.15">
      <c r="A637" s="34"/>
      <c r="B637" s="99"/>
      <c r="C637" s="99"/>
      <c r="D637" s="99"/>
      <c r="M637" s="232"/>
      <c r="N637" s="232"/>
      <c r="O637" s="232"/>
    </row>
    <row r="638" spans="1:15" x14ac:dyDescent="0.15">
      <c r="A638" s="34"/>
      <c r="B638" s="99"/>
      <c r="C638" s="99"/>
      <c r="D638" s="99"/>
      <c r="M638" s="232"/>
      <c r="N638" s="232"/>
      <c r="O638" s="232"/>
    </row>
    <row r="639" spans="1:15" x14ac:dyDescent="0.15">
      <c r="A639" s="34"/>
      <c r="B639" s="99"/>
      <c r="C639" s="99"/>
      <c r="D639" s="99"/>
      <c r="M639" s="232"/>
      <c r="N639" s="232"/>
      <c r="O639" s="232"/>
    </row>
    <row r="640" spans="1:15" x14ac:dyDescent="0.15">
      <c r="A640" s="34"/>
      <c r="B640" s="99"/>
      <c r="C640" s="99"/>
      <c r="D640" s="99"/>
      <c r="M640" s="232"/>
      <c r="N640" s="232"/>
      <c r="O640" s="232"/>
    </row>
    <row r="641" spans="1:15" x14ac:dyDescent="0.15">
      <c r="A641" s="34"/>
      <c r="B641" s="99"/>
      <c r="C641" s="99"/>
      <c r="D641" s="99"/>
      <c r="M641" s="232"/>
      <c r="N641" s="232"/>
      <c r="O641" s="232"/>
    </row>
    <row r="642" spans="1:15" x14ac:dyDescent="0.15">
      <c r="A642" s="34"/>
      <c r="B642" s="99"/>
      <c r="C642" s="99"/>
      <c r="D642" s="99"/>
      <c r="M642" s="232"/>
      <c r="N642" s="232"/>
      <c r="O642" s="232"/>
    </row>
    <row r="643" spans="1:15" x14ac:dyDescent="0.15">
      <c r="A643" s="34"/>
      <c r="B643" s="99"/>
      <c r="C643" s="99"/>
      <c r="D643" s="99"/>
      <c r="M643" s="232"/>
      <c r="N643" s="232"/>
      <c r="O643" s="232"/>
    </row>
    <row r="644" spans="1:15" x14ac:dyDescent="0.15">
      <c r="A644" s="34"/>
      <c r="B644" s="99"/>
      <c r="C644" s="99"/>
      <c r="D644" s="99"/>
      <c r="M644" s="232"/>
      <c r="N644" s="232"/>
      <c r="O644" s="232"/>
    </row>
    <row r="645" spans="1:15" x14ac:dyDescent="0.15">
      <c r="A645" s="34"/>
      <c r="B645" s="99"/>
      <c r="C645" s="99"/>
      <c r="D645" s="99"/>
      <c r="M645" s="232"/>
      <c r="N645" s="232"/>
      <c r="O645" s="232"/>
    </row>
    <row r="646" spans="1:15" x14ac:dyDescent="0.15">
      <c r="A646" s="34"/>
      <c r="B646" s="99"/>
      <c r="C646" s="99"/>
      <c r="D646" s="99"/>
      <c r="M646" s="232"/>
      <c r="N646" s="232"/>
      <c r="O646" s="232"/>
    </row>
    <row r="647" spans="1:15" x14ac:dyDescent="0.15">
      <c r="A647" s="34"/>
      <c r="B647" s="99"/>
      <c r="C647" s="99"/>
      <c r="D647" s="99"/>
      <c r="M647" s="232"/>
      <c r="N647" s="232"/>
      <c r="O647" s="232"/>
    </row>
    <row r="648" spans="1:15" x14ac:dyDescent="0.15">
      <c r="A648" s="34"/>
      <c r="B648" s="99"/>
      <c r="C648" s="99"/>
      <c r="D648" s="99"/>
      <c r="M648" s="232"/>
      <c r="N648" s="232"/>
      <c r="O648" s="232"/>
    </row>
    <row r="649" spans="1:15" x14ac:dyDescent="0.15">
      <c r="A649" s="34"/>
      <c r="B649" s="99"/>
      <c r="C649" s="99"/>
      <c r="D649" s="99"/>
      <c r="M649" s="232"/>
      <c r="N649" s="232"/>
      <c r="O649" s="232"/>
    </row>
    <row r="650" spans="1:15" x14ac:dyDescent="0.15">
      <c r="A650" s="34"/>
      <c r="B650" s="99"/>
      <c r="C650" s="99"/>
      <c r="D650" s="99"/>
      <c r="M650" s="232"/>
      <c r="N650" s="232"/>
      <c r="O650" s="232"/>
    </row>
    <row r="651" spans="1:15" x14ac:dyDescent="0.15">
      <c r="A651" s="34"/>
      <c r="B651" s="99"/>
      <c r="C651" s="99"/>
      <c r="D651" s="99"/>
      <c r="M651" s="232"/>
      <c r="N651" s="232"/>
      <c r="O651" s="232"/>
    </row>
    <row r="652" spans="1:15" x14ac:dyDescent="0.15">
      <c r="A652" s="34"/>
      <c r="B652" s="99"/>
      <c r="C652" s="99"/>
      <c r="D652" s="99"/>
      <c r="M652" s="232"/>
      <c r="N652" s="232"/>
      <c r="O652" s="232"/>
    </row>
    <row r="653" spans="1:15" x14ac:dyDescent="0.15">
      <c r="A653" s="34"/>
      <c r="B653" s="99"/>
      <c r="C653" s="99"/>
      <c r="D653" s="99"/>
      <c r="M653" s="232"/>
      <c r="N653" s="232"/>
      <c r="O653" s="232"/>
    </row>
    <row r="654" spans="1:15" x14ac:dyDescent="0.15">
      <c r="A654" s="34"/>
      <c r="B654" s="99"/>
      <c r="C654" s="99"/>
      <c r="D654" s="99"/>
      <c r="M654" s="232"/>
      <c r="N654" s="232"/>
      <c r="O654" s="232"/>
    </row>
    <row r="655" spans="1:15" x14ac:dyDescent="0.15">
      <c r="M655" s="221"/>
      <c r="N655" s="221"/>
      <c r="O655" s="221"/>
    </row>
    <row r="656" spans="1:15" x14ac:dyDescent="0.15">
      <c r="M656" s="221"/>
      <c r="N656" s="221"/>
      <c r="O656" s="221"/>
    </row>
    <row r="657" spans="13:15" x14ac:dyDescent="0.15">
      <c r="M657" s="221"/>
      <c r="N657" s="221"/>
      <c r="O657" s="221"/>
    </row>
    <row r="658" spans="13:15" x14ac:dyDescent="0.15">
      <c r="M658" s="221"/>
      <c r="N658" s="221"/>
      <c r="O658" s="221"/>
    </row>
    <row r="659" spans="13:15" x14ac:dyDescent="0.15">
      <c r="M659" s="221"/>
      <c r="N659" s="221"/>
      <c r="O659" s="221"/>
    </row>
    <row r="660" spans="13:15" x14ac:dyDescent="0.15">
      <c r="M660" s="221"/>
      <c r="N660" s="221"/>
      <c r="O660" s="221"/>
    </row>
    <row r="661" spans="13:15" x14ac:dyDescent="0.15">
      <c r="M661" s="221"/>
      <c r="N661" s="221"/>
      <c r="O661" s="221"/>
    </row>
    <row r="662" spans="13:15" x14ac:dyDescent="0.15">
      <c r="M662" s="221"/>
      <c r="N662" s="221"/>
      <c r="O662" s="221"/>
    </row>
    <row r="663" spans="13:15" x14ac:dyDescent="0.15">
      <c r="M663" s="221"/>
      <c r="N663" s="221"/>
      <c r="O663" s="221"/>
    </row>
    <row r="664" spans="13:15" x14ac:dyDescent="0.15">
      <c r="M664" s="221"/>
      <c r="N664" s="221"/>
      <c r="O664" s="221"/>
    </row>
    <row r="665" spans="13:15" x14ac:dyDescent="0.15">
      <c r="M665" s="221"/>
      <c r="N665" s="221"/>
      <c r="O665" s="221"/>
    </row>
    <row r="666" spans="13:15" x14ac:dyDescent="0.15">
      <c r="M666" s="221"/>
      <c r="N666" s="221"/>
      <c r="O666" s="221"/>
    </row>
    <row r="667" spans="13:15" x14ac:dyDescent="0.15">
      <c r="M667" s="221"/>
      <c r="N667" s="221"/>
      <c r="O667" s="221"/>
    </row>
    <row r="668" spans="13:15" x14ac:dyDescent="0.15">
      <c r="M668" s="221"/>
      <c r="N668" s="221"/>
      <c r="O668" s="221"/>
    </row>
    <row r="669" spans="13:15" x14ac:dyDescent="0.15">
      <c r="M669" s="221"/>
      <c r="N669" s="221"/>
      <c r="O669" s="221"/>
    </row>
    <row r="670" spans="13:15" x14ac:dyDescent="0.15">
      <c r="M670" s="221"/>
      <c r="N670" s="221"/>
      <c r="O670" s="221"/>
    </row>
    <row r="671" spans="13:15" x14ac:dyDescent="0.15">
      <c r="M671" s="221"/>
      <c r="N671" s="221"/>
      <c r="O671" s="221"/>
    </row>
    <row r="672" spans="13:15" x14ac:dyDescent="0.15">
      <c r="M672" s="221"/>
      <c r="N672" s="221"/>
      <c r="O672" s="221"/>
    </row>
    <row r="673" spans="13:15" x14ac:dyDescent="0.15">
      <c r="M673" s="221"/>
      <c r="N673" s="221"/>
      <c r="O673" s="221"/>
    </row>
    <row r="674" spans="13:15" x14ac:dyDescent="0.15">
      <c r="M674" s="221"/>
      <c r="N674" s="221"/>
      <c r="O674" s="221"/>
    </row>
    <row r="675" spans="13:15" x14ac:dyDescent="0.15">
      <c r="M675" s="221"/>
      <c r="N675" s="221"/>
      <c r="O675" s="221"/>
    </row>
  </sheetData>
  <sortState xmlns:xlrd2="http://schemas.microsoft.com/office/spreadsheetml/2017/richdata2" ref="B2:D688">
    <sortCondition ref="B2:B688"/>
    <sortCondition ref="C2:C688"/>
  </sortState>
  <pageMargins left="0.7" right="0.7" top="0.75" bottom="0.75" header="0.3" footer="0.3"/>
  <pageSetup orientation="portrait"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7E81363-8EE3-4AA5-92B6-3111478A5F4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14</vt:i4>
      </vt:variant>
    </vt:vector>
  </HeadingPairs>
  <TitlesOfParts>
    <vt:vector size="17" baseType="lpstr">
      <vt:lpstr>Soil</vt:lpstr>
      <vt:lpstr>C_N Ratio</vt:lpstr>
      <vt:lpstr>Soil_Samples</vt:lpstr>
      <vt:lpstr>Soil!Criteria</vt:lpstr>
      <vt:lpstr>Soil_Samples!Criteria</vt:lpstr>
      <vt:lpstr>Soil!Extract</vt:lpstr>
      <vt:lpstr>Soil_Samples!Extract</vt:lpstr>
      <vt:lpstr>K_Deficiency</vt:lpstr>
      <vt:lpstr>K_Shortfall</vt:lpstr>
      <vt:lpstr>N_Deficiency</vt:lpstr>
      <vt:lpstr>N_Shortfall</vt:lpstr>
      <vt:lpstr>OM_Deficiency</vt:lpstr>
      <vt:lpstr>OM_Shortfall</vt:lpstr>
      <vt:lpstr>P_Deficiency</vt:lpstr>
      <vt:lpstr>P_Shortfall</vt:lpstr>
      <vt:lpstr>pH</vt:lpstr>
      <vt:lpstr>TextureIndex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Agronomics</dc:creator>
  <cp:lastModifiedBy>Shahzad Afzal Awan</cp:lastModifiedBy>
  <cp:lastPrinted>2025-11-18T07:41:32Z</cp:lastPrinted>
  <dcterms:created xsi:type="dcterms:W3CDTF">2024-11-14T07:51:48Z</dcterms:created>
  <dcterms:modified xsi:type="dcterms:W3CDTF">2025-12-21T17:27:12Z</dcterms:modified>
</cp:coreProperties>
</file>